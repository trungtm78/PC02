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Cases" sheetId="2" state="visible" r:id="rId2"/>
    <sheet xmlns:r="http://schemas.openxmlformats.org/officeDocument/2006/relationships" name="Test Data" sheetId="3" state="visible" r:id="rId3"/>
    <sheet xmlns:r="http://schemas.openxmlformats.org/officeDocument/2006/relationships" name="Bug Tracker" sheetId="4" state="visible" r:id="rId4"/>
    <sheet xmlns:r="http://schemas.openxmlformats.org/officeDocument/2006/relationships" name="Regression Log" sheetId="5" state="visible" r:id="rId5"/>
  </sheets>
  <definedNames>
    <definedName name="_xlnm._FilterDatabase" localSheetId="1" hidden="1">'Test Cases'!$A$3:$V$72</definedName>
    <definedName name="_xlnm._FilterDatabase" localSheetId="3" hidden="1">'Bug Tracker'!$A$3:$I$53</definedName>
    <definedName name="_xlnm._FilterDatabase" localSheetId="4" hidden="1">'Regression Log'!$A$3:$M$33</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FFFFFF"/>
      <sz val="14"/>
    </font>
    <font>
      <name val="Arial"/>
      <i val="1"/>
      <color rgb="00595959"/>
      <sz val="9"/>
    </font>
    <font>
      <name val="Arial"/>
      <b val="1"/>
      <color rgb="00FFFFFF"/>
      <sz val="11"/>
    </font>
    <font>
      <name val="Arial"/>
      <sz val="10"/>
    </font>
    <font>
      <name val="Arial"/>
      <b val="1"/>
      <color rgb="00C00000"/>
      <sz val="10"/>
    </font>
    <font>
      <name val="Arial"/>
      <b val="1"/>
      <color rgb="00ED7D31"/>
      <sz val="10"/>
    </font>
    <font>
      <name val="Arial"/>
      <b val="1"/>
      <color rgb="00FFC000"/>
      <sz val="10"/>
    </font>
    <font>
      <name val="Arial"/>
      <b val="1"/>
      <color rgb="00FFFFFF"/>
      <sz val="12"/>
    </font>
    <font>
      <name val="Arial"/>
      <b val="1"/>
      <color rgb="00FFFFFF"/>
      <sz val="16"/>
    </font>
    <font>
      <name val="Arial"/>
      <b val="1"/>
      <sz val="12"/>
    </font>
    <font>
      <name val="Arial"/>
      <b val="1"/>
      <color rgb="00FFFFFF"/>
    </font>
    <font>
      <name val="Arial"/>
      <b val="1"/>
      <sz val="11"/>
    </font>
    <font>
      <name val="Arial"/>
      <b val="1"/>
      <color rgb="001F4E78"/>
      <sz val="12"/>
    </font>
    <font>
      <name val="Arial"/>
      <b val="1"/>
      <color rgb="00009900"/>
      <sz val="14"/>
    </font>
    <font>
      <name val="Arial"/>
      <i val="1"/>
      <sz val="9"/>
    </font>
    <font>
      <name val="Arial"/>
      <b val="1"/>
      <sz val="14"/>
    </font>
    <font>
      <name val="Arial"/>
      <b val="1"/>
      <sz val="10"/>
    </font>
    <font>
      <name val="Arial"/>
      <b val="1"/>
      <color rgb="0070AD47"/>
      <sz val="10"/>
    </font>
    <font>
      <name val="Arial"/>
      <b val="1"/>
      <color rgb="00C00000"/>
    </font>
  </fonts>
  <fills count="22">
    <fill>
      <patternFill/>
    </fill>
    <fill>
      <patternFill patternType="gray125"/>
    </fill>
    <fill>
      <patternFill patternType="solid">
        <fgColor rgb="001F4E78"/>
      </patternFill>
    </fill>
    <fill>
      <patternFill patternType="solid">
        <fgColor rgb="00C6EFCE"/>
      </patternFill>
    </fill>
    <fill>
      <patternFill patternType="solid">
        <fgColor rgb="00FFC7CE"/>
      </patternFill>
    </fill>
    <fill>
      <patternFill patternType="solid">
        <fgColor rgb="00DDEBF7"/>
      </patternFill>
    </fill>
    <fill>
      <patternFill patternType="solid">
        <fgColor rgb="00E2EFDA"/>
      </patternFill>
    </fill>
    <fill>
      <patternFill patternType="solid">
        <fgColor rgb="00FFF2CC"/>
      </patternFill>
    </fill>
    <fill>
      <patternFill patternType="solid">
        <fgColor rgb="00D9E1F2"/>
      </patternFill>
    </fill>
    <fill>
      <patternFill patternType="solid">
        <fgColor rgb="00FFB6C1"/>
      </patternFill>
    </fill>
    <fill>
      <patternFill patternType="solid">
        <fgColor rgb="00F4B084"/>
      </patternFill>
    </fill>
    <fill>
      <patternFill patternType="solid">
        <fgColor rgb="00FFD966"/>
      </patternFill>
    </fill>
    <fill>
      <patternFill patternType="solid">
        <fgColor rgb="00B4A7D6"/>
      </patternFill>
    </fill>
    <fill>
      <patternFill patternType="solid">
        <fgColor rgb="00A9D08E"/>
      </patternFill>
    </fill>
    <fill>
      <patternFill patternType="solid">
        <fgColor rgb="00C9C9C9"/>
      </patternFill>
    </fill>
    <fill>
      <patternFill patternType="solid">
        <fgColor rgb="002E75B6"/>
      </patternFill>
    </fill>
    <fill>
      <patternFill patternType="solid">
        <fgColor rgb="00FCE4D6"/>
      </patternFill>
    </fill>
    <fill>
      <patternFill patternType="solid">
        <fgColor rgb="009BC2E6"/>
      </patternFill>
    </fill>
    <fill>
      <patternFill patternType="solid">
        <fgColor rgb="00FFE699"/>
      </patternFill>
    </fill>
    <fill>
      <patternFill patternType="solid">
        <fgColor rgb="00F8CBAD"/>
      </patternFill>
    </fill>
    <fill>
      <patternFill patternType="solid">
        <fgColor rgb="00BDD7EE"/>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2">
    <xf numFmtId="0" fontId="0" fillId="0" borderId="0" pivotButton="0" quotePrefix="0" xfId="0"/>
    <xf numFmtId="0" fontId="9" fillId="2" borderId="0" applyAlignment="1" pivotButton="0" quotePrefix="0" xfId="0">
      <alignment horizontal="center" vertical="center"/>
    </xf>
    <xf numFmtId="0" fontId="11" fillId="15" borderId="0" applyAlignment="1" pivotButton="0" quotePrefix="0" xfId="0">
      <alignment horizontal="left" vertical="center" indent="1"/>
    </xf>
    <xf numFmtId="0" fontId="12" fillId="0" borderId="1" pivotButton="0" quotePrefix="0" xfId="0"/>
    <xf numFmtId="0" fontId="13" fillId="0" borderId="1" pivotButton="0" quotePrefix="0" xfId="0"/>
    <xf numFmtId="0" fontId="2" fillId="0" borderId="1" pivotButton="0" quotePrefix="0" xfId="0"/>
    <xf numFmtId="164" fontId="14" fillId="0" borderId="1" pivotButton="0" quotePrefix="0" xfId="0"/>
    <xf numFmtId="0" fontId="15" fillId="0" borderId="1" pivotButton="0" quotePrefix="0" xfId="0"/>
    <xf numFmtId="164" fontId="16" fillId="0" borderId="1" pivotButton="0" quotePrefix="0" xfId="0"/>
    <xf numFmtId="0" fontId="8" fillId="15" borderId="0" applyAlignment="1" pivotButton="0" quotePrefix="0" xfId="0">
      <alignment horizontal="left" vertical="center" indent="1"/>
    </xf>
    <xf numFmtId="0" fontId="3" fillId="15" borderId="1" applyAlignment="1" pivotButton="0" quotePrefix="0" xfId="0">
      <alignment horizontal="center" vertical="center" wrapText="1"/>
    </xf>
    <xf numFmtId="0" fontId="17" fillId="3" borderId="1" applyAlignment="1" pivotButton="0" quotePrefix="0" xfId="0">
      <alignment horizontal="left"/>
    </xf>
    <xf numFmtId="0" fontId="0" fillId="0" borderId="1" applyAlignment="1" pivotButton="0" quotePrefix="0" xfId="0">
      <alignment horizontal="center"/>
    </xf>
    <xf numFmtId="164" fontId="0" fillId="0" borderId="1" applyAlignment="1" pivotButton="0" quotePrefix="0" xfId="0">
      <alignment horizontal="center"/>
    </xf>
    <xf numFmtId="0" fontId="17" fillId="4" borderId="1" applyAlignment="1" pivotButton="0" quotePrefix="0" xfId="0">
      <alignment horizontal="left"/>
    </xf>
    <xf numFmtId="0" fontId="17" fillId="16" borderId="1" applyAlignment="1" pivotButton="0" quotePrefix="0" xfId="0">
      <alignment horizontal="left"/>
    </xf>
    <xf numFmtId="0" fontId="17" fillId="5" borderId="1" applyAlignment="1" pivotButton="0" quotePrefix="0" xfId="0">
      <alignment horizontal="left"/>
    </xf>
    <xf numFmtId="0" fontId="17" fillId="6" borderId="1" applyAlignment="1" pivotButton="0" quotePrefix="0" xfId="0">
      <alignment horizontal="left"/>
    </xf>
    <xf numFmtId="0" fontId="17" fillId="7" borderId="1" applyAlignment="1" pivotButton="0" quotePrefix="0" xfId="0">
      <alignment horizontal="left"/>
    </xf>
    <xf numFmtId="0" fontId="17" fillId="8" borderId="1" applyAlignment="1" pivotButton="0" quotePrefix="0" xfId="0">
      <alignment horizontal="left"/>
    </xf>
    <xf numFmtId="0" fontId="17" fillId="9" borderId="1" applyAlignment="1" pivotButton="0" quotePrefix="0" xfId="0">
      <alignment horizontal="left"/>
    </xf>
    <xf numFmtId="0" fontId="17" fillId="10" borderId="1" applyAlignment="1" pivotButton="0" quotePrefix="0" xfId="0">
      <alignment horizontal="left"/>
    </xf>
    <xf numFmtId="0" fontId="17" fillId="11" borderId="1" applyAlignment="1" pivotButton="0" quotePrefix="0" xfId="0">
      <alignment horizontal="left"/>
    </xf>
    <xf numFmtId="0" fontId="17" fillId="12" borderId="1" applyAlignment="1" pivotButton="0" quotePrefix="0" xfId="0">
      <alignment horizontal="left"/>
    </xf>
    <xf numFmtId="0" fontId="17" fillId="13" borderId="1" applyAlignment="1" pivotButton="0" quotePrefix="0" xfId="0">
      <alignment horizontal="left"/>
    </xf>
    <xf numFmtId="0" fontId="17" fillId="17" borderId="1" applyAlignment="1" pivotButton="0" quotePrefix="0" xfId="0">
      <alignment horizontal="left"/>
    </xf>
    <xf numFmtId="0" fontId="17" fillId="18" borderId="1" applyAlignment="1" pivotButton="0" quotePrefix="0" xfId="0">
      <alignment horizontal="left"/>
    </xf>
    <xf numFmtId="0" fontId="17" fillId="19" borderId="1" applyAlignment="1" pivotButton="0" quotePrefix="0" xfId="0">
      <alignment horizontal="left"/>
    </xf>
    <xf numFmtId="0" fontId="17" fillId="14" borderId="1" applyAlignment="1" pivotButton="0" quotePrefix="0" xfId="0">
      <alignment horizontal="left"/>
    </xf>
    <xf numFmtId="0" fontId="17" fillId="20" borderId="1" applyAlignment="1" pivotButton="0" quotePrefix="0" xfId="0">
      <alignment horizontal="left"/>
    </xf>
    <xf numFmtId="0" fontId="5" fillId="0" borderId="1" applyAlignment="1" pivotButton="0" quotePrefix="0" xfId="0">
      <alignment horizontal="left"/>
    </xf>
    <xf numFmtId="0" fontId="6" fillId="0" borderId="1" applyAlignment="1" pivotButton="0" quotePrefix="0" xfId="0">
      <alignment horizontal="left"/>
    </xf>
    <xf numFmtId="0" fontId="7" fillId="0" borderId="1" applyAlignment="1" pivotButton="0" quotePrefix="0" xfId="0">
      <alignment horizontal="left"/>
    </xf>
    <xf numFmtId="0" fontId="18" fillId="0" borderId="1" applyAlignment="1" pivotButton="0" quotePrefix="0" xfId="0">
      <alignment horizontal="left"/>
    </xf>
    <xf numFmtId="0" fontId="0" fillId="0" borderId="1" applyAlignment="1" pivotButton="0" quotePrefix="0" xfId="0">
      <alignment horizontal="left"/>
    </xf>
    <xf numFmtId="0" fontId="19" fillId="0" borderId="1" applyAlignment="1" pivotButton="0" quotePrefix="0" xfId="0">
      <alignment horizontal="left"/>
    </xf>
    <xf numFmtId="0" fontId="8" fillId="21" borderId="0" applyAlignment="1" pivotButton="0" quotePrefix="0" xfId="0">
      <alignment horizontal="center" vertical="center" wrapText="1"/>
    </xf>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center" vertical="top" wrapText="1"/>
    </xf>
    <xf numFmtId="0" fontId="5" fillId="0" borderId="1" applyAlignment="1" pivotButton="0" quotePrefix="0" xfId="0">
      <alignment horizontal="center" vertical="top" wrapText="1"/>
    </xf>
    <xf numFmtId="0" fontId="4" fillId="0" borderId="1" applyAlignment="1" pivotButton="0" quotePrefix="0" xfId="0">
      <alignment horizontal="left" vertical="top" wrapText="1"/>
    </xf>
    <xf numFmtId="0" fontId="4" fillId="4" borderId="1" applyAlignment="1" pivotButton="0" quotePrefix="0" xfId="0">
      <alignment horizontal="center" vertical="top"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4" fillId="5" borderId="1" applyAlignment="1" pivotButton="0" quotePrefix="0" xfId="0">
      <alignment horizontal="center"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4" fillId="8" borderId="1" applyAlignment="1" pivotButton="0" quotePrefix="0" xfId="0">
      <alignment horizontal="center" vertical="top" wrapText="1"/>
    </xf>
    <xf numFmtId="0" fontId="4" fillId="9" borderId="1" applyAlignment="1" pivotButton="0" quotePrefix="0" xfId="0">
      <alignment horizontal="center" vertical="top" wrapText="1"/>
    </xf>
    <xf numFmtId="0" fontId="4" fillId="10" borderId="1" applyAlignment="1" pivotButton="0" quotePrefix="0" xfId="0">
      <alignment horizontal="center" vertical="top" wrapText="1"/>
    </xf>
    <xf numFmtId="0" fontId="4" fillId="11" borderId="1" applyAlignment="1" pivotButton="0" quotePrefix="0" xfId="0">
      <alignment horizontal="center" vertical="top" wrapText="1"/>
    </xf>
    <xf numFmtId="0" fontId="4" fillId="12" borderId="1" applyAlignment="1" pivotButton="0" quotePrefix="0" xfId="0">
      <alignment horizontal="center" vertical="top" wrapText="1"/>
    </xf>
    <xf numFmtId="0" fontId="4" fillId="13" borderId="1" applyAlignment="1" pivotButton="0" quotePrefix="0" xfId="0">
      <alignment horizontal="center" vertical="top" wrapText="1"/>
    </xf>
    <xf numFmtId="0" fontId="4" fillId="14" borderId="1" applyAlignment="1" pivotButton="0" quotePrefix="0" xfId="0">
      <alignment horizontal="center" vertical="top" wrapText="1"/>
    </xf>
    <xf numFmtId="0" fontId="8" fillId="2" borderId="0" applyAlignment="1" pivotButton="0" quotePrefix="0" xfId="0">
      <alignment horizontal="left" vertical="center" indent="1"/>
    </xf>
    <xf numFmtId="0" fontId="2" fillId="0" borderId="0" applyAlignment="1" pivotButton="0" quotePrefix="0" xfId="0">
      <alignment horizontal="center"/>
    </xf>
    <xf numFmtId="0" fontId="1" fillId="21" borderId="0" applyAlignment="1" pivotButton="0" quotePrefix="0" xfId="0">
      <alignment horizontal="center" vertical="center"/>
    </xf>
    <xf numFmtId="0" fontId="2" fillId="0" borderId="0" applyAlignment="1" pivotButton="0" quotePrefix="0" xfId="0">
      <alignment horizontal="center" wrapText="1"/>
    </xf>
    <xf numFmtId="0" fontId="3" fillId="21" borderId="1" applyAlignment="1" pivotButton="0" quotePrefix="0" xfId="0">
      <alignment horizontal="center" vertical="center" wrapText="1"/>
    </xf>
  </cellXfs>
  <cellStyles count="1">
    <cellStyle name="Normal" xfId="0" builtinId="0" hidden="0"/>
  </cellStyles>
  <dxfs count="12">
    <dxf>
      <font>
        <name val="Arial"/>
        <b val="1"/>
        <color rgb="00FFFFFF"/>
      </font>
      <fill>
        <patternFill patternType="solid">
          <fgColor rgb="00C00000"/>
        </patternFill>
      </fill>
    </dxf>
    <dxf>
      <font>
        <name val="Arial"/>
        <b val="1"/>
        <color rgb="00FFFFFF"/>
        <sz val="14"/>
      </font>
      <fill>
        <patternFill patternType="solid">
          <fgColor rgb="00C00000"/>
        </patternFill>
      </fill>
    </dxf>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
      <font>
        <name val="Arial"/>
        <b val="1"/>
        <color rgb="00FFFFFF"/>
        <sz val="10"/>
      </font>
      <fill>
        <patternFill patternType="solid">
          <fgColor rgb="00C00000"/>
        </patternFill>
      </fill>
    </dxf>
    <dxf>
      <fill>
        <patternFill patternType="solid">
          <fgColor rgb="00B4C7E7"/>
        </patternFill>
      </fill>
    </dxf>
    <dxf>
      <fill>
        <patternFill patternType="solid">
          <fgColor rgb="00FFB6C1"/>
        </patternFill>
      </fill>
    </dxf>
    <dxf>
      <fill>
        <patternFill patternType="solid">
          <fgColor rgb="00ED7D31"/>
        </patternFill>
      </fill>
    </dxf>
    <dxf>
      <fill>
        <patternFill patternType="solid">
          <fgColor rgb="00FFC000"/>
        </patternFill>
      </fill>
    </dxf>
    <dxf>
      <fill>
        <patternFill patternType="solid">
          <fgColor rgb="0070AD4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8" customWidth="1" min="1" max="1"/>
    <col width="18" customWidth="1" min="2" max="2"/>
    <col width="18" customWidth="1" min="3" max="3"/>
    <col width="14" customWidth="1" min="4" max="4"/>
    <col width="14" customWidth="1" min="5" max="5"/>
    <col width="14" customWidth="1" min="6" max="6"/>
  </cols>
  <sheetData>
    <row r="1" ht="35" customHeight="1">
      <c r="A1" s="1" t="inlineStr">
        <is>
          <t>📊 DASHBOARD - UAT EXECUTION SUMMARY</t>
        </is>
      </c>
    </row>
    <row r="3">
      <c r="A3" s="2" t="inlineStr">
        <is>
          <t>TỔNG QUAN</t>
        </is>
      </c>
    </row>
    <row r="4">
      <c r="A4" s="3" t="inlineStr">
        <is>
          <t>Tổng số TC</t>
        </is>
      </c>
      <c r="B4" s="4" t="n">
        <v>69</v>
      </c>
      <c r="C4" s="5" t="inlineStr">
        <is>
          <t>Số test case đã viết</t>
        </is>
      </c>
    </row>
    <row r="5">
      <c r="A5" s="3" t="inlineStr">
        <is>
          <t>Đã thực thi</t>
        </is>
      </c>
      <c r="B5" s="4">
        <f>COUNTIF('Test Cases'!Q4:Q72,"Đạt")+COUNTIF('Test Cases'!Q4:Q72,"Không đạt")+COUNTIF('Test Cases'!Q4:Q72,"Bị chặn")</f>
        <v/>
      </c>
      <c r="C5" s="5" t="inlineStr">
        <is>
          <t>TC đã có Status</t>
        </is>
      </c>
    </row>
    <row r="6">
      <c r="A6" s="3" t="inlineStr">
        <is>
          <t>Đạt</t>
        </is>
      </c>
      <c r="B6" s="4">
        <f>COUNTIF('Test Cases'!Q4:Q72,"Đạt")</f>
        <v/>
      </c>
      <c r="C6" s="5" t="inlineStr">
        <is>
          <t>TC pass</t>
        </is>
      </c>
    </row>
    <row r="7">
      <c r="A7" s="3" t="inlineStr">
        <is>
          <t>Không đạt</t>
        </is>
      </c>
      <c r="B7" s="4">
        <f>COUNTIF('Test Cases'!Q4:Q72,"Không đạt")</f>
        <v/>
      </c>
      <c r="C7" s="5" t="inlineStr">
        <is>
          <t>TC fail - có bug</t>
        </is>
      </c>
    </row>
    <row r="8">
      <c r="A8" s="3" t="inlineStr">
        <is>
          <t>Bị chặn</t>
        </is>
      </c>
      <c r="B8" s="4">
        <f>COUNTIF('Test Cases'!Q4:Q72,"Bị chặn")</f>
        <v/>
      </c>
      <c r="C8" s="5" t="inlineStr">
        <is>
          <t>Không chạy được</t>
        </is>
      </c>
    </row>
    <row r="9">
      <c r="A9" s="3" t="inlineStr">
        <is>
          <t>Chưa chạy</t>
        </is>
      </c>
      <c r="B9" s="4">
        <f>COUNTBLANK('Test Cases'!Q4:Q72)+COUNTIF('Test Cases'!Q4:Q72,"Chưa chạy")</f>
        <v/>
      </c>
      <c r="C9" s="5" t="inlineStr">
        <is>
          <t>Còn lại</t>
        </is>
      </c>
    </row>
    <row r="11">
      <c r="A11" s="3" t="inlineStr">
        <is>
          <t>Tỷ lệ đạt</t>
        </is>
      </c>
      <c r="B11" s="6">
        <f>IFERROR(COUNTIF('Test Cases'!Q4:Q72,"Đạt")/(COUNTIF('Test Cases'!Q4:Q72,"Đạt")+COUNTIF('Test Cases'!Q4:Q72,"Không đạt")),0)</f>
        <v/>
      </c>
      <c r="C11" s="7" t="inlineStr">
        <is>
          <t>Đạt / (Đạt + Không đạt)</t>
        </is>
      </c>
    </row>
    <row r="12">
      <c r="A12" s="3" t="inlineStr">
        <is>
          <t>Tỷ lệ hoàn thành</t>
        </is>
      </c>
      <c r="B12" s="8">
        <f>IFERROR((COUNTIF('Test Cases'!Q4:Q72,"Đạt")+COUNTIF('Test Cases'!Q4:Q72,"Không đạt")+COUNTIF('Test Cases'!Q4:Q72,"Bị chặn"))/69,0)</f>
        <v/>
      </c>
      <c r="C12" s="7" t="inlineStr">
        <is>
          <t>Đã chạy / Tổng</t>
        </is>
      </c>
    </row>
    <row r="14">
      <c r="A14" s="9" t="inlineStr">
        <is>
          <t>ĐỘ PHỦ THEO LOẠI</t>
        </is>
      </c>
    </row>
    <row r="15">
      <c r="A15" s="10" t="inlineStr">
        <is>
          <t>Loại</t>
        </is>
      </c>
      <c r="B15" s="10" t="inlineStr">
        <is>
          <t>Số TC</t>
        </is>
      </c>
      <c r="C15" s="10" t="inlineStr">
        <is>
          <t>Tỷ lệ</t>
        </is>
      </c>
      <c r="D15" s="10" t="inlineStr">
        <is>
          <t>Pass</t>
        </is>
      </c>
      <c r="E15" s="10" t="inlineStr">
        <is>
          <t>Fail</t>
        </is>
      </c>
      <c r="F15" s="10" t="inlineStr">
        <is>
          <t>Pass rate</t>
        </is>
      </c>
    </row>
    <row r="16">
      <c r="A16" s="11" t="inlineStr">
        <is>
          <t>GREEN</t>
        </is>
      </c>
      <c r="B16" s="12">
        <f>COUNTIF('Test Cases'!B4:B72,"GREEN")</f>
        <v/>
      </c>
      <c r="C16" s="13">
        <f>IFERROR(B16/69,0)</f>
        <v/>
      </c>
      <c r="D16" s="12">
        <f>COUNTIFS('Test Cases'!B4:B72,"GREEN",'Test Cases'!Q4:Q72,"Đạt")</f>
        <v/>
      </c>
      <c r="E16" s="12">
        <f>COUNTIFS('Test Cases'!B4:B72,"GREEN",'Test Cases'!Q4:Q72,"Không đạt")</f>
        <v/>
      </c>
      <c r="F16" s="13">
        <f>IFERROR(D16/(D16+E16),0)</f>
        <v/>
      </c>
    </row>
    <row r="17">
      <c r="A17" s="14" t="inlineStr">
        <is>
          <t>RED</t>
        </is>
      </c>
      <c r="B17" s="12">
        <f>COUNTIF('Test Cases'!B4:B72,"RED")</f>
        <v/>
      </c>
      <c r="C17" s="13">
        <f>IFERROR(B17/69,0)</f>
        <v/>
      </c>
      <c r="D17" s="12">
        <f>COUNTIFS('Test Cases'!B4:B72,"RED",'Test Cases'!Q4:Q72,"Đạt")</f>
        <v/>
      </c>
      <c r="E17" s="12">
        <f>COUNTIFS('Test Cases'!B4:B72,"RED",'Test Cases'!Q4:Q72,"Không đạt")</f>
        <v/>
      </c>
      <c r="F17" s="13">
        <f>IFERROR(D17/(D17+E17),0)</f>
        <v/>
      </c>
    </row>
    <row r="18">
      <c r="A18" s="15" t="inlineStr">
        <is>
          <t>EDGE</t>
        </is>
      </c>
      <c r="B18" s="12">
        <f>COUNTIF('Test Cases'!B4:B72,"EDGE")</f>
        <v/>
      </c>
      <c r="C18" s="13">
        <f>IFERROR(B18/69,0)</f>
        <v/>
      </c>
      <c r="D18" s="12">
        <f>COUNTIFS('Test Cases'!B4:B72,"EDGE",'Test Cases'!Q4:Q72,"Đạt")</f>
        <v/>
      </c>
      <c r="E18" s="12">
        <f>COUNTIFS('Test Cases'!B4:B72,"EDGE",'Test Cases'!Q4:Q72,"Không đạt")</f>
        <v/>
      </c>
      <c r="F18" s="13">
        <f>IFERROR(D18/(D18+E18),0)</f>
        <v/>
      </c>
    </row>
    <row r="19">
      <c r="A19" s="16" t="inlineStr">
        <is>
          <t>BOUNDARY</t>
        </is>
      </c>
      <c r="B19" s="12">
        <f>COUNTIF('Test Cases'!B4:B72,"BOUNDARY")</f>
        <v/>
      </c>
      <c r="C19" s="13">
        <f>IFERROR(B19/69,0)</f>
        <v/>
      </c>
      <c r="D19" s="12">
        <f>COUNTIFS('Test Cases'!B4:B72,"BOUNDARY",'Test Cases'!Q4:Q72,"Đạt")</f>
        <v/>
      </c>
      <c r="E19" s="12">
        <f>COUNTIFS('Test Cases'!B4:B72,"BOUNDARY",'Test Cases'!Q4:Q72,"Không đạt")</f>
        <v/>
      </c>
      <c r="F19" s="13">
        <f>IFERROR(D19/(D19+E19),0)</f>
        <v/>
      </c>
    </row>
    <row r="20">
      <c r="A20" s="17" t="inlineStr">
        <is>
          <t>EP</t>
        </is>
      </c>
      <c r="B20" s="12">
        <f>COUNTIF('Test Cases'!B4:B72,"EP")</f>
        <v/>
      </c>
      <c r="C20" s="13">
        <f>IFERROR(B20/69,0)</f>
        <v/>
      </c>
      <c r="D20" s="12">
        <f>COUNTIFS('Test Cases'!B4:B72,"EP",'Test Cases'!Q4:Q72,"Đạt")</f>
        <v/>
      </c>
      <c r="E20" s="12">
        <f>COUNTIFS('Test Cases'!B4:B72,"EP",'Test Cases'!Q4:Q72,"Không đạt")</f>
        <v/>
      </c>
      <c r="F20" s="13">
        <f>IFERROR(D20/(D20+E20),0)</f>
        <v/>
      </c>
    </row>
    <row r="21">
      <c r="A21" s="18" t="inlineStr">
        <is>
          <t>STATE</t>
        </is>
      </c>
      <c r="B21" s="12">
        <f>COUNTIF('Test Cases'!B4:B72,"STATE")</f>
        <v/>
      </c>
      <c r="C21" s="13">
        <f>IFERROR(B21/69,0)</f>
        <v/>
      </c>
      <c r="D21" s="12">
        <f>COUNTIFS('Test Cases'!B4:B72,"STATE",'Test Cases'!Q4:Q72,"Đạt")</f>
        <v/>
      </c>
      <c r="E21" s="12">
        <f>COUNTIFS('Test Cases'!B4:B72,"STATE",'Test Cases'!Q4:Q72,"Không đạt")</f>
        <v/>
      </c>
      <c r="F21" s="13">
        <f>IFERROR(D21/(D21+E21),0)</f>
        <v/>
      </c>
    </row>
    <row r="22">
      <c r="A22" s="19" t="inlineStr">
        <is>
          <t>DECISION</t>
        </is>
      </c>
      <c r="B22" s="12">
        <f>COUNTIF('Test Cases'!B4:B72,"DECISION")</f>
        <v/>
      </c>
      <c r="C22" s="13">
        <f>IFERROR(B22/69,0)</f>
        <v/>
      </c>
      <c r="D22" s="12">
        <f>COUNTIFS('Test Cases'!B4:B72,"DECISION",'Test Cases'!Q4:Q72,"Đạt")</f>
        <v/>
      </c>
      <c r="E22" s="12">
        <f>COUNTIFS('Test Cases'!B4:B72,"DECISION",'Test Cases'!Q4:Q72,"Không đạt")</f>
        <v/>
      </c>
      <c r="F22" s="13">
        <f>IFERROR(D22/(D22+E22),0)</f>
        <v/>
      </c>
    </row>
    <row r="23">
      <c r="A23" s="20" t="inlineStr">
        <is>
          <t>SECURITY</t>
        </is>
      </c>
      <c r="B23" s="12">
        <f>COUNTIF('Test Cases'!B4:B72,"SECURITY")</f>
        <v/>
      </c>
      <c r="C23" s="13">
        <f>IFERROR(B23/69,0)</f>
        <v/>
      </c>
      <c r="D23" s="12">
        <f>COUNTIFS('Test Cases'!B4:B72,"SECURITY",'Test Cases'!Q4:Q72,"Đạt")</f>
        <v/>
      </c>
      <c r="E23" s="12">
        <f>COUNTIFS('Test Cases'!B4:B72,"SECURITY",'Test Cases'!Q4:Q72,"Không đạt")</f>
        <v/>
      </c>
      <c r="F23" s="13">
        <f>IFERROR(D23/(D23+E23),0)</f>
        <v/>
      </c>
    </row>
    <row r="24">
      <c r="A24" s="21" t="inlineStr">
        <is>
          <t>DATA</t>
        </is>
      </c>
      <c r="B24" s="12">
        <f>COUNTIF('Test Cases'!B4:B72,"DATA")</f>
        <v/>
      </c>
      <c r="C24" s="13">
        <f>IFERROR(B24/69,0)</f>
        <v/>
      </c>
      <c r="D24" s="12">
        <f>COUNTIFS('Test Cases'!B4:B72,"DATA",'Test Cases'!Q4:Q72,"Đạt")</f>
        <v/>
      </c>
      <c r="E24" s="12">
        <f>COUNTIFS('Test Cases'!B4:B72,"DATA",'Test Cases'!Q4:Q72,"Không đạt")</f>
        <v/>
      </c>
      <c r="F24" s="13">
        <f>IFERROR(D24/(D24+E24),0)</f>
        <v/>
      </c>
    </row>
    <row r="25">
      <c r="A25" s="22" t="inlineStr">
        <is>
          <t>PERFORMANCE</t>
        </is>
      </c>
      <c r="B25" s="12">
        <f>COUNTIF('Test Cases'!B4:B72,"PERFORMANCE")</f>
        <v/>
      </c>
      <c r="C25" s="13">
        <f>IFERROR(B25/69,0)</f>
        <v/>
      </c>
      <c r="D25" s="12">
        <f>COUNTIFS('Test Cases'!B4:B72,"PERFORMANCE",'Test Cases'!Q4:Q72,"Đạt")</f>
        <v/>
      </c>
      <c r="E25" s="12">
        <f>COUNTIFS('Test Cases'!B4:B72,"PERFORMANCE",'Test Cases'!Q4:Q72,"Không đạt")</f>
        <v/>
      </c>
      <c r="F25" s="13">
        <f>IFERROR(D25/(D25+E25),0)</f>
        <v/>
      </c>
    </row>
    <row r="26">
      <c r="A26" s="23" t="inlineStr">
        <is>
          <t>A11Y</t>
        </is>
      </c>
      <c r="B26" s="12">
        <f>COUNTIF('Test Cases'!B4:B72,"A11Y")</f>
        <v/>
      </c>
      <c r="C26" s="13">
        <f>IFERROR(B26/69,0)</f>
        <v/>
      </c>
      <c r="D26" s="12">
        <f>COUNTIFS('Test Cases'!B4:B72,"A11Y",'Test Cases'!Q4:Q72,"Đạt")</f>
        <v/>
      </c>
      <c r="E26" s="12">
        <f>COUNTIFS('Test Cases'!B4:B72,"A11Y",'Test Cases'!Q4:Q72,"Không đạt")</f>
        <v/>
      </c>
      <c r="F26" s="13">
        <f>IFERROR(D26/(D26+E26),0)</f>
        <v/>
      </c>
    </row>
    <row r="27">
      <c r="A27" s="24" t="inlineStr">
        <is>
          <t>COMPAT</t>
        </is>
      </c>
      <c r="B27" s="12">
        <f>COUNTIF('Test Cases'!B4:B72,"COMPAT")</f>
        <v/>
      </c>
      <c r="C27" s="13">
        <f>IFERROR(B27/69,0)</f>
        <v/>
      </c>
      <c r="D27" s="12">
        <f>COUNTIFS('Test Cases'!B4:B72,"COMPAT",'Test Cases'!Q4:Q72,"Đạt")</f>
        <v/>
      </c>
      <c r="E27" s="12">
        <f>COUNTIFS('Test Cases'!B4:B72,"COMPAT",'Test Cases'!Q4:Q72,"Không đạt")</f>
        <v/>
      </c>
      <c r="F27" s="13">
        <f>IFERROR(D27/(D27+E27),0)</f>
        <v/>
      </c>
    </row>
    <row r="28">
      <c r="A28" s="25" t="inlineStr">
        <is>
          <t>INTEGRATION</t>
        </is>
      </c>
      <c r="B28" s="12">
        <f>COUNTIF('Test Cases'!B4:B72,"INTEGRATION")</f>
        <v/>
      </c>
      <c r="C28" s="13">
        <f>IFERROR(B28/69,0)</f>
        <v/>
      </c>
      <c r="D28" s="12">
        <f>COUNTIFS('Test Cases'!B4:B72,"INTEGRATION",'Test Cases'!Q4:Q72,"Đạt")</f>
        <v/>
      </c>
      <c r="E28" s="12">
        <f>COUNTIFS('Test Cases'!B4:B72,"INTEGRATION",'Test Cases'!Q4:Q72,"Không đạt")</f>
        <v/>
      </c>
      <c r="F28" s="13">
        <f>IFERROR(D28/(D28+E28),0)</f>
        <v/>
      </c>
    </row>
    <row r="29">
      <c r="A29" s="26" t="inlineStr">
        <is>
          <t>REGRESSION</t>
        </is>
      </c>
      <c r="B29" s="12">
        <f>COUNTIF('Test Cases'!B4:B72,"REGRESSION")</f>
        <v/>
      </c>
      <c r="C29" s="13">
        <f>IFERROR(B29/69,0)</f>
        <v/>
      </c>
      <c r="D29" s="12">
        <f>COUNTIFS('Test Cases'!B4:B72,"REGRESSION",'Test Cases'!Q4:Q72,"Đạt")</f>
        <v/>
      </c>
      <c r="E29" s="12">
        <f>COUNTIFS('Test Cases'!B4:B72,"REGRESSION",'Test Cases'!Q4:Q72,"Không đạt")</f>
        <v/>
      </c>
      <c r="F29" s="13">
        <f>IFERROR(D29/(D29+E29),0)</f>
        <v/>
      </c>
    </row>
    <row r="30">
      <c r="A30" s="27" t="inlineStr">
        <is>
          <t>RECOVERY</t>
        </is>
      </c>
      <c r="B30" s="12">
        <f>COUNTIF('Test Cases'!B4:B72,"RECOVERY")</f>
        <v/>
      </c>
      <c r="C30" s="13">
        <f>IFERROR(B30/69,0)</f>
        <v/>
      </c>
      <c r="D30" s="12">
        <f>COUNTIFS('Test Cases'!B4:B72,"RECOVERY",'Test Cases'!Q4:Q72,"Đạt")</f>
        <v/>
      </c>
      <c r="E30" s="12">
        <f>COUNTIFS('Test Cases'!B4:B72,"RECOVERY",'Test Cases'!Q4:Q72,"Không đạt")</f>
        <v/>
      </c>
      <c r="F30" s="13">
        <f>IFERROR(D30/(D30+E30),0)</f>
        <v/>
      </c>
    </row>
    <row r="31">
      <c r="A31" s="28" t="inlineStr">
        <is>
          <t>AUDIT</t>
        </is>
      </c>
      <c r="B31" s="12">
        <f>COUNTIF('Test Cases'!B4:B72,"AUDIT")</f>
        <v/>
      </c>
      <c r="C31" s="13">
        <f>IFERROR(B31/69,0)</f>
        <v/>
      </c>
      <c r="D31" s="12">
        <f>COUNTIFS('Test Cases'!B4:B72,"AUDIT",'Test Cases'!Q4:Q72,"Đạt")</f>
        <v/>
      </c>
      <c r="E31" s="12">
        <f>COUNTIFS('Test Cases'!B4:B72,"AUDIT",'Test Cases'!Q4:Q72,"Không đạt")</f>
        <v/>
      </c>
      <c r="F31" s="13">
        <f>IFERROR(D31/(D31+E31),0)</f>
        <v/>
      </c>
    </row>
    <row r="32">
      <c r="A32" s="29" t="inlineStr">
        <is>
          <t>USABILITY</t>
        </is>
      </c>
      <c r="B32" s="12">
        <f>COUNTIF('Test Cases'!B4:B72,"USABILITY")</f>
        <v/>
      </c>
      <c r="C32" s="13">
        <f>IFERROR(B32/69,0)</f>
        <v/>
      </c>
      <c r="D32" s="12">
        <f>COUNTIFS('Test Cases'!B4:B72,"USABILITY",'Test Cases'!Q4:Q72,"Đạt")</f>
        <v/>
      </c>
      <c r="E32" s="12">
        <f>COUNTIFS('Test Cases'!B4:B72,"USABILITY",'Test Cases'!Q4:Q72,"Không đạt")</f>
        <v/>
      </c>
      <c r="F32" s="13">
        <f>IFERROR(D32/(D32+E32),0)</f>
        <v/>
      </c>
    </row>
    <row r="34">
      <c r="A34" s="9" t="inlineStr">
        <is>
          <t>THEO ĐỘ ƯU TIÊN</t>
        </is>
      </c>
    </row>
    <row r="35">
      <c r="A35" s="10" t="inlineStr">
        <is>
          <t>Priority</t>
        </is>
      </c>
      <c r="B35" s="10" t="inlineStr">
        <is>
          <t>Số TC</t>
        </is>
      </c>
      <c r="C35" s="10" t="inlineStr">
        <is>
          <t>Tỷ lệ</t>
        </is>
      </c>
      <c r="D35" s="10" t="inlineStr">
        <is>
          <t>Pass</t>
        </is>
      </c>
      <c r="E35" s="10" t="inlineStr">
        <is>
          <t>Fail</t>
        </is>
      </c>
      <c r="F35" s="10" t="inlineStr">
        <is>
          <t>Pass rate</t>
        </is>
      </c>
    </row>
    <row r="36">
      <c r="A36" s="30" t="inlineStr">
        <is>
          <t>P0</t>
        </is>
      </c>
      <c r="B36" s="12">
        <f>COUNTIF('Test Cases'!C4:C72,"P0")</f>
        <v/>
      </c>
      <c r="C36" s="13">
        <f>IFERROR(B36/69,0)</f>
        <v/>
      </c>
      <c r="D36" s="12">
        <f>COUNTIFS('Test Cases'!C4:C72,"P0",'Test Cases'!Q4:Q72,"Đạt")</f>
        <v/>
      </c>
      <c r="E36" s="12">
        <f>COUNTIFS('Test Cases'!C4:C72,"P0",'Test Cases'!Q4:Q72,"Không đạt")</f>
        <v/>
      </c>
      <c r="F36" s="13">
        <f>IFERROR(D36/(D36+E36),0)</f>
        <v/>
      </c>
    </row>
    <row r="37">
      <c r="A37" s="31" t="inlineStr">
        <is>
          <t>P1</t>
        </is>
      </c>
      <c r="B37" s="12">
        <f>COUNTIF('Test Cases'!C4:C72,"P1")</f>
        <v/>
      </c>
      <c r="C37" s="13">
        <f>IFERROR(B37/69,0)</f>
        <v/>
      </c>
      <c r="D37" s="12">
        <f>COUNTIFS('Test Cases'!C4:C72,"P1",'Test Cases'!Q4:Q72,"Đạt")</f>
        <v/>
      </c>
      <c r="E37" s="12">
        <f>COUNTIFS('Test Cases'!C4:C72,"P1",'Test Cases'!Q4:Q72,"Không đạt")</f>
        <v/>
      </c>
      <c r="F37" s="13">
        <f>IFERROR(D37/(D37+E37),0)</f>
        <v/>
      </c>
    </row>
    <row r="38">
      <c r="A38" s="32" t="inlineStr">
        <is>
          <t>P2</t>
        </is>
      </c>
      <c r="B38" s="12">
        <f>COUNTIF('Test Cases'!C4:C72,"P2")</f>
        <v/>
      </c>
      <c r="C38" s="13">
        <f>IFERROR(B38/69,0)</f>
        <v/>
      </c>
      <c r="D38" s="12">
        <f>COUNTIFS('Test Cases'!C4:C72,"P2",'Test Cases'!Q4:Q72,"Đạt")</f>
        <v/>
      </c>
      <c r="E38" s="12">
        <f>COUNTIFS('Test Cases'!C4:C72,"P2",'Test Cases'!Q4:Q72,"Không đạt")</f>
        <v/>
      </c>
      <c r="F38" s="13">
        <f>IFERROR(D38/(D38+E38),0)</f>
        <v/>
      </c>
    </row>
    <row r="39">
      <c r="A39" s="33" t="inlineStr">
        <is>
          <t>P3</t>
        </is>
      </c>
      <c r="B39" s="12">
        <f>COUNTIF('Test Cases'!C4:C72,"P3")</f>
        <v/>
      </c>
      <c r="C39" s="13">
        <f>IFERROR(B39/69,0)</f>
        <v/>
      </c>
      <c r="D39" s="12">
        <f>COUNTIFS('Test Cases'!C4:C72,"P3",'Test Cases'!Q4:Q72,"Đạt")</f>
        <v/>
      </c>
      <c r="E39" s="12">
        <f>COUNTIFS('Test Cases'!C4:C72,"P3",'Test Cases'!Q4:Q72,"Không đạt")</f>
        <v/>
      </c>
      <c r="F39" s="13">
        <f>IFERROR(D39/(D39+E39),0)</f>
        <v/>
      </c>
    </row>
    <row r="41">
      <c r="A41" s="9" t="inlineStr">
        <is>
          <t>EXIT CRITERIA</t>
        </is>
      </c>
    </row>
    <row r="42">
      <c r="A42" s="10" t="inlineStr">
        <is>
          <t>Tiêu chí</t>
        </is>
      </c>
      <c r="B42" s="10" t="inlineStr">
        <is>
          <t>Yêu cầu</t>
        </is>
      </c>
      <c r="C42" s="10" t="inlineStr">
        <is>
          <t>Thực tế</t>
        </is>
      </c>
      <c r="D42" s="10" t="inlineStr">
        <is>
          <t>Trạng thái</t>
        </is>
      </c>
    </row>
    <row r="43">
      <c r="A43" s="34" t="inlineStr">
        <is>
          <t>P0 pass rate</t>
        </is>
      </c>
      <c r="B43" s="12" t="inlineStr">
        <is>
          <t>≥ 100%</t>
        </is>
      </c>
      <c r="C43" s="13">
        <f>IFERROR(COUNTIFS('Test Cases'!C4:C72,"P0",'Test Cases'!Q4:Q72,"Đạt")/COUNTIF('Test Cases'!C4:C72,"P0"),0)</f>
        <v/>
      </c>
      <c r="D43" s="12">
        <f>IF(C43&gt;=1,"✅ Đạt","❌ Chưa đạt")</f>
        <v/>
      </c>
    </row>
    <row r="44">
      <c r="A44" s="34" t="inlineStr">
        <is>
          <t>P1 pass rate</t>
        </is>
      </c>
      <c r="B44" s="12" t="inlineStr">
        <is>
          <t>≥ 95%</t>
        </is>
      </c>
      <c r="C44" s="13">
        <f>IFERROR(COUNTIFS('Test Cases'!C4:C72,"P1",'Test Cases'!Q4:Q72,"Đạt")/COUNTIF('Test Cases'!C4:C72,"P1"),0)</f>
        <v/>
      </c>
      <c r="D44" s="12">
        <f>IF(C44&gt;=0.95,"✅ Đạt","❌ Chưa đạt")</f>
        <v/>
      </c>
    </row>
    <row r="45">
      <c r="A45" s="34" t="inlineStr">
        <is>
          <t>P2 pass rate</t>
        </is>
      </c>
      <c r="B45" s="12" t="inlineStr">
        <is>
          <t>≥ 85%</t>
        </is>
      </c>
      <c r="C45" s="13">
        <f>IFERROR(COUNTIFS('Test Cases'!C4:C72,"P2",'Test Cases'!Q4:Q72,"Đạt")/MAX(COUNTIF('Test Cases'!C4:C72,"P2"),1),1)</f>
        <v/>
      </c>
      <c r="D45" s="12">
        <f>IF(C45&gt;=0.85,"✅ Đạt","❌ Chưa đạt")</f>
        <v/>
      </c>
    </row>
    <row r="46">
      <c r="A46" s="34" t="inlineStr">
        <is>
          <t>Bug Critical mở</t>
        </is>
      </c>
      <c r="B46" s="12">
        <f> 0</f>
        <v/>
      </c>
      <c r="C46" s="12">
        <f>COUNTIFS('Bug Tracker'!D:D,"Critical",'Bug Tracker'!E:E,"Open")+COUNTIFS('Bug Tracker'!D:D,"Critical",'Bug Tracker'!E:E,"Fixing")+COUNTIFS('Bug Tracker'!D:D,"Critical",'Bug Tracker'!E:E,"Fixed")</f>
        <v/>
      </c>
      <c r="D46" s="12">
        <f>IF(C46=0,"✅ Đạt","❌ Chưa đạt")</f>
        <v/>
      </c>
    </row>
    <row r="47">
      <c r="A47" s="35" t="inlineStr">
        <is>
          <t>TC bị regression</t>
        </is>
      </c>
      <c r="B47" s="12">
        <f> 0</f>
        <v/>
      </c>
      <c r="C47" s="12">
        <f>COUNTIF('Test Cases'!U:U,"⚠️ REGRESSION")</f>
        <v/>
      </c>
      <c r="D47" s="12">
        <f>IF(C47=0,"✅ Không có","🚨 BLOCK RELEASE")</f>
        <v/>
      </c>
    </row>
    <row r="48">
      <c r="A48" s="35" t="inlineStr">
        <is>
          <t>Regression chưa fix</t>
        </is>
      </c>
      <c r="B48" s="12">
        <f> 0</f>
        <v/>
      </c>
      <c r="C48" s="12">
        <f>COUNTIF('Regression Log'!K:K,"No")+COUNTIF('Regression Log'!K:K,"Verifying")</f>
        <v/>
      </c>
      <c r="D48" s="12">
        <f>IF(C48=0,"✅ Không có","🚨 BLOCK RELEASE")</f>
        <v/>
      </c>
    </row>
    <row r="50" ht="40" customHeight="1">
      <c r="A50" s="36">
        <f>IF(OR(C47&gt;0,C48&gt;0),"🚨 CẢNH BÁO REGRESSION: "&amp;C47&amp;" TC level-down, "&amp;C48&amp;" bug regression chưa fix - XEM Regression Log sheet","")</f>
        <v/>
      </c>
    </row>
    <row r="52" ht="30" customHeight="1">
      <c r="A52" s="37">
        <f>IF(AND(C43&gt;=1,C44&gt;=0.95,C45&gt;=0.85,C46=0,C47=0,C48=0),"🎉 SẴN SÀNG RELEASE",IF(OR(C47&gt;0,C48&gt;0),"⛔ BLOCK RELEASE — CÓ REGRESSION (LEVEL DOWN)","⛔ CHƯA SẴN SÀNG RELEASE"))</f>
        <v/>
      </c>
    </row>
  </sheetData>
  <mergeCells count="7">
    <mergeCell ref="A41:F41"/>
    <mergeCell ref="A52:F52"/>
    <mergeCell ref="A14:F14"/>
    <mergeCell ref="A1:F1"/>
    <mergeCell ref="A34:F34"/>
    <mergeCell ref="A50:F50"/>
    <mergeCell ref="A3:F3"/>
  </mergeCells>
  <conditionalFormatting sqref="D47">
    <cfRule type="cellIs" priority="1" operator="equal" dxfId="0">
      <formula>"🚨 BLOCK RELEASE"</formula>
    </cfRule>
  </conditionalFormatting>
  <conditionalFormatting sqref="D48">
    <cfRule type="cellIs" priority="2" operator="equal" dxfId="0">
      <formula>"🚨 BLOCK RELEASE"</formula>
    </cfRule>
  </conditionalFormatting>
  <conditionalFormatting sqref="A52">
    <cfRule type="expression" priority="3" dxfId="1">
      <formula>OR(C47&gt;0,C48&gt;0)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2"/>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1" customWidth="1" min="3" max="3"/>
    <col width="15" customWidth="1" min="4" max="4"/>
    <col width="35" customWidth="1" min="5" max="5"/>
    <col width="14" customWidth="1" min="6" max="6"/>
    <col width="18" customWidth="1" min="7" max="7"/>
    <col width="13" customWidth="1" min="8" max="8"/>
    <col width="30" customWidth="1" min="9" max="9"/>
    <col width="40" customWidth="1" min="10" max="10"/>
    <col width="25" customWidth="1" min="11" max="11"/>
    <col width="35" customWidth="1" min="12" max="12"/>
    <col width="30" customWidth="1" min="13" max="13"/>
    <col width="30" customWidth="1" min="14" max="14"/>
    <col width="14" customWidth="1" min="15" max="15"/>
    <col width="35" customWidth="1" min="16" max="16"/>
    <col width="14" customWidth="1" min="17" max="17"/>
    <col width="14" customWidth="1" min="18" max="18"/>
    <col width="16" customWidth="1" min="19" max="19"/>
    <col width="22" customWidth="1" min="20" max="20"/>
    <col width="14" customWidth="1" min="21" max="21"/>
    <col width="25" customWidth="1" min="22" max="22"/>
  </cols>
  <sheetData>
    <row r="1" ht="30" customHeight="1">
      <c r="A1" s="37" t="inlineStr">
        <is>
          <t>BỘ TEST CASE UAT: Quản lý vụ việc (Case Management)</t>
        </is>
      </c>
    </row>
    <row r="2">
      <c r="A2" s="38" t="inlineStr">
        <is>
          <t>Tổng số TC: 69 | Ngày tạo: 23/05/2026 | Generated by uat-test-writer skill</t>
        </is>
      </c>
    </row>
    <row r="3" ht="40" customHeight="1">
      <c r="A3" s="39" t="inlineStr">
        <is>
          <t>TC-ID</t>
        </is>
      </c>
      <c r="B3" s="39" t="inlineStr">
        <is>
          <t>Loại</t>
        </is>
      </c>
      <c r="C3" s="39" t="inlineStr">
        <is>
          <t>Độ ưu tiên</t>
        </is>
      </c>
      <c r="D3" s="39" t="inlineStr">
        <is>
          <t>Module</t>
        </is>
      </c>
      <c r="E3" s="39" t="inlineStr">
        <is>
          <t>Tiêu đề</t>
        </is>
      </c>
      <c r="F3" s="39" t="inlineStr">
        <is>
          <t>Yêu cầu</t>
        </is>
      </c>
      <c r="G3" s="39" t="inlineStr">
        <is>
          <t>Kỹ thuật test</t>
        </is>
      </c>
      <c r="H3" s="39" t="inlineStr">
        <is>
          <t>Mức độ rủi ro</t>
        </is>
      </c>
      <c r="I3" s="39" t="inlineStr">
        <is>
          <t>Điều kiện tiên quyết</t>
        </is>
      </c>
      <c r="J3" s="39" t="inlineStr">
        <is>
          <t>Các bước kiểm thử</t>
        </is>
      </c>
      <c r="K3" s="39" t="inlineStr">
        <is>
          <t>Dữ liệu kiểm thử</t>
        </is>
      </c>
      <c r="L3" s="39" t="inlineStr">
        <is>
          <t>Kết quả mong đợi - UI</t>
        </is>
      </c>
      <c r="M3" s="39" t="inlineStr">
        <is>
          <t>Kết quả mong đợi - API</t>
        </is>
      </c>
      <c r="N3" s="39" t="inlineStr">
        <is>
          <t>Kết quả mong đợi - Side effects</t>
        </is>
      </c>
      <c r="O3" s="39" t="inlineStr">
        <is>
          <t>Severity nếu fail</t>
        </is>
      </c>
      <c r="P3" s="39" t="inlineStr">
        <is>
          <t>Kết quả thực tế</t>
        </is>
      </c>
      <c r="Q3" s="39" t="inlineStr">
        <is>
          <t>Trạng thái</t>
        </is>
      </c>
      <c r="R3" s="39" t="inlineStr">
        <is>
          <t>Bug ID</t>
        </is>
      </c>
      <c r="S3" s="39" t="inlineStr">
        <is>
          <t>Lần chạy cuối</t>
        </is>
      </c>
      <c r="T3" s="39" t="inlineStr">
        <is>
          <t>Lịch sử chạy</t>
        </is>
      </c>
      <c r="U3" s="39" t="inlineStr">
        <is>
          <t>Cờ regression</t>
        </is>
      </c>
      <c r="V3" s="39" t="inlineStr">
        <is>
          <t>Ghi chú</t>
        </is>
      </c>
    </row>
    <row r="4" ht="80" customHeight="1">
      <c r="A4" s="40" t="inlineStr">
        <is>
          <t>TC-001</t>
        </is>
      </c>
      <c r="B4" s="41" t="inlineStr">
        <is>
          <t>GREEN</t>
        </is>
      </c>
      <c r="C4" s="42" t="inlineStr">
        <is>
          <t>P0</t>
        </is>
      </c>
      <c r="D4" s="43" t="inlineStr">
        <is>
          <t>Create</t>
        </is>
      </c>
      <c r="E4" s="43" t="inlineStr">
        <is>
          <t>Tạo vụ án mới với caseProvenance=DIRECT_DISCOVERY thành công</t>
        </is>
      </c>
      <c r="F4" s="40" t="inlineStr">
        <is>
          <t>REQ-CASE-CR-01</t>
        </is>
      </c>
      <c r="G4" s="40" t="inlineStr">
        <is>
          <t>Use case testing</t>
        </is>
      </c>
      <c r="H4" s="40" t="inlineStr">
        <is>
          <t>Cao</t>
        </is>
      </c>
      <c r="I4" s="43" t="inlineStr">
        <is>
          <t>1. User đã login với role có quyền 'write' subject Case (Điều tra viên)
2. Đã có ít nhất 1 Team gắn user
3. Token JWT hợp lệ</t>
        </is>
      </c>
      <c r="J4" s="43" t="inlineStr">
        <is>
          <t>1. Login với tài khoản dieuTra1@pc02.local
2. Navigate /cases/new
3. Nhập name = 'Vụ trộm cắp xe máy tại Q1 ngày 12/05/2026'
4. Chọn caseProvenance = 'Phát hiện trực tiếp (DIRECT_DISCOVERY)'
5. Nhập crime = 'Trộm cắp tài sản — Đ.173 BLHS'
6. Chọn capDoToiPham = 'NGHIEM_TRONG'
7. Nhập subjectsCount = 2
8. Nhập ngayKhoiTo = '2026-05-12'
9. Click 'Lưu'</t>
        </is>
      </c>
      <c r="K4" s="43" t="inlineStr">
        <is>
          <t>name='Vụ trộm cắp xe máy tại Q1 ngày 12/05/2026', caseProvenance='DIRECT_DISCOVERY', crime='Trộm cắp tài sản — Đ.173 BLHS', capDoToiPham='NGHIEM_TRONG', subjectsCount=2, ngayKhoiTo='2026-05-12'</t>
        </is>
      </c>
      <c r="L4" s="43" t="inlineStr">
        <is>
          <t>1. Toast 'Tạo vụ án thành công' xuất hiện
2. Redirect tới /cases/&lt;id&gt;
3. Trang chi tiết hiển thị đầy đủ field vừa nhập
4. Status badge hiển thị 'Tiếp nhận'</t>
        </is>
      </c>
      <c r="M4" s="43" t="inlineStr">
        <is>
          <t>1. POST /api/v1/cases trả 201 Created
2. Response body: {success:true, data:{id, name, status:'TIEP_NHAN', caseProvenance:'DIRECT_DISCOVERY', createdById:&lt;userId&gt;, assignedTeamId:&lt;teamId&gt;, deadline:&lt;auto-calc&gt;, createdAt, updatedAt}}
3. Header Location: /api/v1/cases/&lt;id&gt; (nếu có)</t>
        </is>
      </c>
      <c r="N4" s="43" t="inlineStr">
        <is>
          <t>1. DB row trong table cases với deletedAt=NULL, status='TIEP_NHAN'
2. Audit log CASE_CREATED có userId, subjectId=&lt;caseId&gt;, ipAddress, userAgent
3. assignedTeamId được auto-set theo dataScope của ward officer (v0.33)
4. deadline auto-tính từ SystemSetting key caseDeadlineDays</t>
        </is>
      </c>
      <c r="O4" s="40" t="inlineStr">
        <is>
          <t>Critical</t>
        </is>
      </c>
      <c r="P4" s="43" t="inlineStr">
        <is>
          <t>Đạt như expected. Thời gian: 0ms</t>
        </is>
      </c>
      <c r="Q4" s="40" t="inlineStr">
        <is>
          <t>Đạt</t>
        </is>
      </c>
      <c r="R4" s="40" t="inlineStr"/>
      <c r="S4" s="40" t="inlineStr">
        <is>
          <t>23/05/2026 17:23</t>
        </is>
      </c>
      <c r="T4" s="43" t="inlineStr">
        <is>
          <t>R1:Đạt</t>
        </is>
      </c>
      <c r="U4" s="40" t="inlineStr"/>
      <c r="V4" s="43" t="inlineStr">
        <is>
          <t>Smoke test chính của feature — fail nghĩa là feature broken hoàn toàn</t>
        </is>
      </c>
    </row>
    <row r="5" ht="80" customHeight="1">
      <c r="A5" s="40" t="inlineStr">
        <is>
          <t>TC-002</t>
        </is>
      </c>
      <c r="B5" s="41" t="inlineStr">
        <is>
          <t>GREEN</t>
        </is>
      </c>
      <c r="C5" s="42" t="inlineStr">
        <is>
          <t>P0</t>
        </is>
      </c>
      <c r="D5" s="43" t="inlineStr">
        <is>
          <t>Create</t>
        </is>
      </c>
      <c r="E5" s="43" t="inlineStr">
        <is>
          <t>Tạo Case FROM_PETITION với linkedPetitionId + expectedPetitionUpdatedAt hợp lệ</t>
        </is>
      </c>
      <c r="F5" s="40" t="inlineStr">
        <is>
          <t>REQ-CASE-CR-02</t>
        </is>
      </c>
      <c r="G5" s="40" t="inlineStr">
        <is>
          <t>Use case testing + Decision Table C1</t>
        </is>
      </c>
      <c r="H5" s="40" t="inlineStr">
        <is>
          <t>Cao</t>
        </is>
      </c>
      <c r="I5" s="43" t="inlineStr">
        <is>
          <t>1. User login role điều tra viên
2. Có sẵn 1 Petition (id=PET-001) status=TIEP_NHAN, updatedAt='2026-05-20T10:00:00.000Z'</t>
        </is>
      </c>
      <c r="J5" s="43" t="inlineStr">
        <is>
          <t>1. Login
2. Vào /petitions/PET-001 → click 'Khởi tố vụ án'
3. Form mở với caseProvenance pre-fill = FROM_PETITION, linkedPetitionId=PET-001, expectedPetitionUpdatedAt=PET.updatedAt
4. Nhập name = 'Vụ án từ đơn thư PET-001'
5. Submit</t>
        </is>
      </c>
      <c r="K5" s="43" t="inlineStr">
        <is>
          <t>linkedPetitionId='PET-001', expectedPetitionUpdatedAt='2026-05-20T10:00:00.000Z', caseProvenance='FROM_PETITION', name='Vụ án từ đơn thư PET-001'</t>
        </is>
      </c>
      <c r="L5" s="43" t="inlineStr">
        <is>
          <t>1. Toast 'Tạo vụ án thành công'
2. Redirect /cases/&lt;newId&gt;
3. Trang detail hiển thị tab 'Nguồn tin' với link sang Petition gốc PET-001
4. Trên trang Petition cũng hiển thị badge 'Đã khởi tố thành vụ án' và link sang Case</t>
        </is>
      </c>
      <c r="M5" s="43" t="inlineStr">
        <is>
          <t>1. POST /cases trả 201
2. Response data có linkedPetitionId='PET-001', caseProvenance='FROM_PETITION'
3. KHÔNG có ConflictException nếu expectedPetitionUpdatedAt khớp</t>
        </is>
      </c>
      <c r="N5" s="43" t="inlineStr">
        <is>
          <t>1. Petition.linkedCaseId được set = newId (atomic transaction)
2. Petition.status có thể chuyển sang DA_KHOI_TO (tùy spec)
3. Audit log CASE_CREATED + PETITION_LINKED</t>
        </is>
      </c>
      <c r="O5" s="40" t="inlineStr">
        <is>
          <t>Critical</t>
        </is>
      </c>
      <c r="P5" s="43" t="inlineStr">
        <is>
          <t>Test đã bị skip</t>
        </is>
      </c>
      <c r="Q5" s="40" t="inlineStr">
        <is>
          <t>Bỏ qua</t>
        </is>
      </c>
      <c r="R5" s="40" t="inlineStr"/>
      <c r="S5" s="40" t="inlineStr">
        <is>
          <t>23/05/2026 17:23</t>
        </is>
      </c>
      <c r="T5" s="43" t="inlineStr">
        <is>
          <t>R1:Bỏ qua</t>
        </is>
      </c>
      <c r="U5" s="40" t="inlineStr"/>
      <c r="V5" s="43" t="inlineStr">
        <is>
          <t>Provenance contract Deploy-2 (v0.37.1) — atomic link bắt buộc</t>
        </is>
      </c>
    </row>
    <row r="6" ht="80" customHeight="1">
      <c r="A6" s="40" t="inlineStr">
        <is>
          <t>TC-003</t>
        </is>
      </c>
      <c r="B6" s="41" t="inlineStr">
        <is>
          <t>GREEN</t>
        </is>
      </c>
      <c r="C6" s="42" t="inlineStr">
        <is>
          <t>P0</t>
        </is>
      </c>
      <c r="D6" s="43" t="inlineStr">
        <is>
          <t>Create</t>
        </is>
      </c>
      <c r="E6" s="43" t="inlineStr">
        <is>
          <t>Tạo Case FROM_INCIDENT với linkedIncidentId hợp lệ</t>
        </is>
      </c>
      <c r="F6" s="40" t="inlineStr">
        <is>
          <t>REQ-CASE-CR-03</t>
        </is>
      </c>
      <c r="G6" s="40" t="inlineStr">
        <is>
          <t>Use case testing</t>
        </is>
      </c>
      <c r="H6" s="40" t="inlineStr">
        <is>
          <t>Cao</t>
        </is>
      </c>
      <c r="I6" s="43" t="inlineStr">
        <is>
          <t>1. User login
2. Có Incident id=INC-001 chưa được link</t>
        </is>
      </c>
      <c r="J6" s="43" t="inlineStr">
        <is>
          <t>1. Vào /incidents/INC-001 → click 'Khởi tố thành vụ án'
2. Form pre-fill caseProvenance=FROM_INCIDENT, linkedIncidentId=INC-001
3. Nhập name = 'Vụ án từ vụ việc INC-001'
4. Submit</t>
        </is>
      </c>
      <c r="K6" s="43" t="inlineStr">
        <is>
          <t>linkedIncidentId='INC-001', expectedIncidentUpdatedAt='2026-05-20T11:00:00.000Z', caseProvenance='FROM_INCIDENT'</t>
        </is>
      </c>
      <c r="L6" s="43" t="inlineStr">
        <is>
          <t>1. Toast success
2. Detail Case hiển thị link nguồn = Incident INC-001
3. Trang Incident hiển thị badge 'Đã khởi tố'</t>
        </is>
      </c>
      <c r="M6" s="43" t="inlineStr">
        <is>
          <t>1. POST /cases 201
2. linkedIncidentId='INC-001' trong response</t>
        </is>
      </c>
      <c r="N6" s="43" t="inlineStr">
        <is>
          <t>1. Incident.linkedCaseId set = newId
2. Audit CASE_CREATED + INCIDENT_LINKED</t>
        </is>
      </c>
      <c r="O6" s="40" t="inlineStr">
        <is>
          <t>Critical</t>
        </is>
      </c>
      <c r="P6" s="43" t="inlineStr">
        <is>
          <t>Test đã bị skip</t>
        </is>
      </c>
      <c r="Q6" s="40" t="inlineStr">
        <is>
          <t>Bỏ qua</t>
        </is>
      </c>
      <c r="R6" s="40" t="inlineStr"/>
      <c r="S6" s="40" t="inlineStr">
        <is>
          <t>23/05/2026 17:23</t>
        </is>
      </c>
      <c r="T6" s="43" t="inlineStr">
        <is>
          <t>R1:Bỏ qua</t>
        </is>
      </c>
      <c r="U6" s="40" t="inlineStr"/>
      <c r="V6" s="43" t="inlineStr"/>
    </row>
    <row r="7" ht="80" customHeight="1">
      <c r="A7" s="40" t="inlineStr">
        <is>
          <t>TC-004</t>
        </is>
      </c>
      <c r="B7" s="41" t="inlineStr">
        <is>
          <t>GREEN</t>
        </is>
      </c>
      <c r="C7" s="42" t="inlineStr">
        <is>
          <t>P0</t>
        </is>
      </c>
      <c r="D7" s="43" t="inlineStr">
        <is>
          <t>Read</t>
        </is>
      </c>
      <c r="E7" s="43" t="inlineStr">
        <is>
          <t>Xem chi tiết vụ án được phân công cho mình</t>
        </is>
      </c>
      <c r="F7" s="40" t="inlineStr">
        <is>
          <t>REQ-CASE-RD-01</t>
        </is>
      </c>
      <c r="G7" s="40" t="inlineStr">
        <is>
          <t>Use case testing</t>
        </is>
      </c>
      <c r="H7" s="40" t="inlineStr">
        <is>
          <t>Cao</t>
        </is>
      </c>
      <c r="I7" s="43" t="inlineStr">
        <is>
          <t>1. User login (investigator A)
2. Có Case id=CASE-001 với investigatorId = A.id</t>
        </is>
      </c>
      <c r="J7" s="43" t="inlineStr">
        <is>
          <t>1. Vào /cases
2. Click row CASE-001
3. Quan sát trang detail</t>
        </is>
      </c>
      <c r="K7" s="43" t="inlineStr">
        <is>
          <t>caseId='CASE-001', user.id='userA'</t>
        </is>
      </c>
      <c r="L7" s="43" t="inlineStr">
        <is>
          <t>1. Hiển thị đủ thông tin: name, crime, status badge, capDoToiPham, deadline, đơn vị, ngày tạo, người được phân công
2. Tab 'Lịch sử trạng thái', 'Đối tượng', 'Tài liệu', 'Luật sư' đầy đủ
3. Nút 'Sửa' và 'Xóa' hiển thị (đủ quyền)</t>
        </is>
      </c>
      <c r="M7" s="43" t="inlineStr">
        <is>
          <t>1. GET /cases/:id trả 200
2. Response data đầy đủ field + relations (investigator, assignedTeam)</t>
        </is>
      </c>
      <c r="N7" s="43" t="inlineStr">
        <is>
          <t>Không side effect (read-only)</t>
        </is>
      </c>
      <c r="O7" s="40" t="inlineStr">
        <is>
          <t>High</t>
        </is>
      </c>
      <c r="P7" s="43" t="inlineStr">
        <is>
          <t>Đạt như expected. Thời gian: 0ms</t>
        </is>
      </c>
      <c r="Q7" s="40" t="inlineStr">
        <is>
          <t>Đạt</t>
        </is>
      </c>
      <c r="R7" s="40" t="inlineStr"/>
      <c r="S7" s="40" t="inlineStr">
        <is>
          <t>23/05/2026 17:23</t>
        </is>
      </c>
      <c r="T7" s="43" t="inlineStr">
        <is>
          <t>R1:Đạt</t>
        </is>
      </c>
      <c r="U7" s="40" t="inlineStr"/>
      <c r="V7" s="43" t="inlineStr"/>
    </row>
    <row r="8" ht="80" customHeight="1">
      <c r="A8" s="40" t="inlineStr">
        <is>
          <t>TC-005</t>
        </is>
      </c>
      <c r="B8" s="41" t="inlineStr">
        <is>
          <t>GREEN</t>
        </is>
      </c>
      <c r="C8" s="42" t="inlineStr">
        <is>
          <t>P0</t>
        </is>
      </c>
      <c r="D8" s="43" t="inlineStr">
        <is>
          <t>Read</t>
        </is>
      </c>
      <c r="E8" s="43" t="inlineStr">
        <is>
          <t>Liệt kê danh sách vụ án — paginated default 20/page</t>
        </is>
      </c>
      <c r="F8" s="40" t="inlineStr">
        <is>
          <t>REQ-CASE-RD-02</t>
        </is>
      </c>
      <c r="G8" s="40" t="inlineStr">
        <is>
          <t>Use case testing</t>
        </is>
      </c>
      <c r="H8" s="40" t="inlineStr">
        <is>
          <t>TB</t>
        </is>
      </c>
      <c r="I8" s="43" t="inlineStr">
        <is>
          <t>1. User login
2. DB có ≥25 case thuộc scope user</t>
        </is>
      </c>
      <c r="J8" s="43" t="inlineStr">
        <is>
          <t>1. Vào /cases
2. Quan sát bảng + pagination
3. Click trang 2</t>
        </is>
      </c>
      <c r="K8" s="43" t="inlineStr">
        <is>
          <t>default limit=20, offset=0</t>
        </is>
      </c>
      <c r="L8" s="43" t="inlineStr">
        <is>
          <t>1. Bảng hiển thị 20 row
2. Pagination control hiển thị 'Trang 1 / 2 (25 vụ)'
3. Click trang 2 → 5 row còn lại
4. Cột Status badge có màu (TIEP_NHAN xám, DANG_DIEU_TRA xanh dương, TAM_DINH_CHI vàng, etc.)</t>
        </is>
      </c>
      <c r="M8" s="43" t="inlineStr">
        <is>
          <t>1. GET /cases?limit=20&amp;offset=0 → 200, data có 20 item, total=25, page=1, pageSize=20
2. GET /cases?limit=20&amp;offset=20 → 200, data có 5 item</t>
        </is>
      </c>
      <c r="N8" s="43" t="inlineStr">
        <is>
          <t>Không side effect</t>
        </is>
      </c>
      <c r="O8" s="40" t="inlineStr">
        <is>
          <t>High</t>
        </is>
      </c>
      <c r="P8" s="43" t="inlineStr">
        <is>
          <t>Đạt như expected. Thời gian: 0ms</t>
        </is>
      </c>
      <c r="Q8" s="40" t="inlineStr">
        <is>
          <t>Đạt</t>
        </is>
      </c>
      <c r="R8" s="40" t="inlineStr"/>
      <c r="S8" s="40" t="inlineStr">
        <is>
          <t>23/05/2026 17:23</t>
        </is>
      </c>
      <c r="T8" s="43" t="inlineStr">
        <is>
          <t>R1:Đạt</t>
        </is>
      </c>
      <c r="U8" s="40" t="inlineStr"/>
      <c r="V8" s="43" t="inlineStr"/>
    </row>
    <row r="9" ht="80" customHeight="1">
      <c r="A9" s="40" t="inlineStr">
        <is>
          <t>TC-006</t>
        </is>
      </c>
      <c r="B9" s="41" t="inlineStr">
        <is>
          <t>GREEN</t>
        </is>
      </c>
      <c r="C9" s="42" t="inlineStr">
        <is>
          <t>P0</t>
        </is>
      </c>
      <c r="D9" s="43" t="inlineStr">
        <is>
          <t>Update</t>
        </is>
      </c>
      <c r="E9" s="43" t="inlineStr">
        <is>
          <t>Cập nhật name + crime của vụ án</t>
        </is>
      </c>
      <c r="F9" s="40" t="inlineStr">
        <is>
          <t>REQ-CASE-UP-01</t>
        </is>
      </c>
      <c r="G9" s="40" t="inlineStr">
        <is>
          <t>Use case testing</t>
        </is>
      </c>
      <c r="H9" s="40" t="inlineStr">
        <is>
          <t>Cao</t>
        </is>
      </c>
      <c r="I9" s="43" t="inlineStr">
        <is>
          <t>1. User login (chính chủ Case)
2. Case CASE-001 status=TIEP_NHAN, updatedAt='2026-05-20T08:00:00.000Z'</t>
        </is>
      </c>
      <c r="J9" s="43" t="inlineStr">
        <is>
          <t>1. Vào /cases/CASE-001/edit
2. Sửa name = 'Vụ trộm xe máy đã cập nhật'
3. Sửa crime = 'Trộm cắp tài sản (đã reclassify)'
4. Click 'Lưu'</t>
        </is>
      </c>
      <c r="K9" s="43" t="inlineStr">
        <is>
          <t>name='Vụ trộm xe máy đã cập nhật', crime='Trộm cắp tài sản (đã reclassify)', expectedUpdatedAt='2026-05-20T08:00:00.000Z'</t>
        </is>
      </c>
      <c r="L9" s="43" t="inlineStr">
        <is>
          <t>1. Toast 'Cập nhật vụ án thành công'
2. Redirect /cases/CASE-001
3. Trang detail hiển thị giá trị mới
4. updatedAt đổi sang giá trị mới</t>
        </is>
      </c>
      <c r="M9" s="43" t="inlineStr">
        <is>
          <t>1. PUT /cases/CASE-001 → 200
2. Response data có name + crime mới, updatedAt mới</t>
        </is>
      </c>
      <c r="N9" s="43" t="inlineStr">
        <is>
          <t>1. DB row updated
2. Audit log CASE_UPDATED chứa diff before/after (v0.30 wrapUpdate)</t>
        </is>
      </c>
      <c r="O9" s="40" t="inlineStr">
        <is>
          <t>Critical</t>
        </is>
      </c>
      <c r="P9" s="43" t="inlineStr">
        <is>
          <t>Đạt như expected. Thời gian: 0ms</t>
        </is>
      </c>
      <c r="Q9" s="40" t="inlineStr">
        <is>
          <t>Đạt</t>
        </is>
      </c>
      <c r="R9" s="40" t="inlineStr"/>
      <c r="S9" s="40" t="inlineStr">
        <is>
          <t>23/05/2026 17:23</t>
        </is>
      </c>
      <c r="T9" s="43" t="inlineStr">
        <is>
          <t>R1:Đạt</t>
        </is>
      </c>
      <c r="U9" s="40" t="inlineStr"/>
      <c r="V9" s="43" t="inlineStr"/>
    </row>
    <row r="10" ht="80" customHeight="1">
      <c r="A10" s="40" t="inlineStr">
        <is>
          <t>TC-007</t>
        </is>
      </c>
      <c r="B10" s="41" t="inlineStr">
        <is>
          <t>GREEN</t>
        </is>
      </c>
      <c r="C10" s="42" t="inlineStr">
        <is>
          <t>P0</t>
        </is>
      </c>
      <c r="D10" s="43" t="inlineStr">
        <is>
          <t>Delete</t>
        </is>
      </c>
      <c r="E10" s="43" t="inlineStr">
        <is>
          <t>Xóa mềm vụ TIEP_NHAN với reason đúng quy cách</t>
        </is>
      </c>
      <c r="F10" s="40" t="inlineStr">
        <is>
          <t>REQ-CASE-DEL-01</t>
        </is>
      </c>
      <c r="G10" s="40" t="inlineStr">
        <is>
          <t>Use case testing</t>
        </is>
      </c>
      <c r="H10" s="40" t="inlineStr">
        <is>
          <t>Cao</t>
        </is>
      </c>
      <c r="I10" s="43" t="inlineStr">
        <is>
          <t>1. User login (creator hoặc admin)
2. Case CASE-100 status=TIEP_NHAN</t>
        </is>
      </c>
      <c r="J10" s="43" t="inlineStr">
        <is>
          <t>1. Mở /cases/CASE-100
2. Click 'Xóa vụ án'
3. Modal hiện ra yêu cầu nhập reason
4. Nhập reason = 'Trùng lặp với CASE-099 — đã được phát hiện sau khi đối chiếu hồ sơ ngày 22/05/2026'
5. Confirm</t>
        </is>
      </c>
      <c r="K10" s="43" t="inlineStr">
        <is>
          <t>caseId='CASE-100', reason='Trùng lặp với CASE-099 — đã được phát hiện sau khi đối chiếu hồ sơ ngày 22/05/2026' (76 chars)</t>
        </is>
      </c>
      <c r="L10" s="43" t="inlineStr">
        <is>
          <t>1. Modal đóng
2. Toast 'Đã xóa vụ án (có thể khôi phục)'
3. Redirect /cases
4. CASE-100 biến mất khỏi list</t>
        </is>
      </c>
      <c r="M10" s="43" t="inlineStr">
        <is>
          <t>1. DELETE /cases/CASE-100 với body {reason: '...'} → 200
2. Response: {success:true, message:'Đã xóa vụ án'}</t>
        </is>
      </c>
      <c r="N10" s="43" t="inlineStr">
        <is>
          <t>1. DB: cases.deletedAt set timestamp; row vẫn còn
2. Audit CASE_DELETED chứa reason đầy đủ
3. Linked Petition/Incident KHÔNG bị xóa (onDelete: Restrict)</t>
        </is>
      </c>
      <c r="O10" s="40" t="inlineStr">
        <is>
          <t>Critical</t>
        </is>
      </c>
      <c r="P10" s="43" t="inlineStr">
        <is>
          <t>Đạt như expected. Thời gian: 0ms</t>
        </is>
      </c>
      <c r="Q10" s="40" t="inlineStr">
        <is>
          <t>Đạt</t>
        </is>
      </c>
      <c r="R10" s="40" t="inlineStr"/>
      <c r="S10" s="40" t="inlineStr">
        <is>
          <t>23/05/2026 17:23</t>
        </is>
      </c>
      <c r="T10" s="43" t="inlineStr">
        <is>
          <t>R1:Đạt</t>
        </is>
      </c>
      <c r="U10" s="40" t="inlineStr"/>
      <c r="V10" s="43" t="inlineStr">
        <is>
          <t>Test với cả creator (v0.31.0.2) và admin</t>
        </is>
      </c>
    </row>
    <row r="11" ht="80" customHeight="1">
      <c r="A11" s="40" t="inlineStr">
        <is>
          <t>TC-008</t>
        </is>
      </c>
      <c r="B11" s="41" t="inlineStr">
        <is>
          <t>GREEN</t>
        </is>
      </c>
      <c r="C11" s="42" t="inlineStr">
        <is>
          <t>P0</t>
        </is>
      </c>
      <c r="D11" s="43" t="inlineStr">
        <is>
          <t>Restore</t>
        </is>
      </c>
      <c r="E11" s="43" t="inlineStr">
        <is>
          <t>ADMIN khôi phục vụ án đã xóa mềm</t>
        </is>
      </c>
      <c r="F11" s="40" t="inlineStr">
        <is>
          <t>REQ-CASE-RES-01</t>
        </is>
      </c>
      <c r="G11" s="40" t="inlineStr">
        <is>
          <t>Use case testing</t>
        </is>
      </c>
      <c r="H11" s="40" t="inlineStr">
        <is>
          <t>Cao</t>
        </is>
      </c>
      <c r="I11" s="43" t="inlineStr">
        <is>
          <t>1. Login với role ADMIN
2. Case CASE-100 đã bị soft-deleted</t>
        </is>
      </c>
      <c r="J11" s="43" t="inlineStr">
        <is>
          <t>1. Vào /admin/deleted-cases (hoặc /cases/admin/deleted)
2. Tìm CASE-100
3. Click 'Khôi phục'
4. Nhập reason = 'Khôi phục theo yêu cầu Trưởng phòng — biên bản số 15 ngày 22/05/2026'
5. Confirm</t>
        </is>
      </c>
      <c r="K11" s="43" t="inlineStr">
        <is>
          <t>caseId='CASE-100', reason='Khôi phục theo yêu cầu Trưởng phòng — biên bản số 15 ngày 22/05/2026'</t>
        </is>
      </c>
      <c r="L11" s="43" t="inlineStr">
        <is>
          <t>1. Toast 'Khôi phục vụ án thành công'
2. CASE-100 quay lại /cases list với status TIEP_NHAN nguyên trạng</t>
        </is>
      </c>
      <c r="M11" s="43" t="inlineStr">
        <is>
          <t>1. POST /cases/CASE-100/restore với {reason} → 200
2. Response data có Case đã restore</t>
        </is>
      </c>
      <c r="N11" s="43" t="inlineStr">
        <is>
          <t>1. DB: deletedAt set NULL
2. Audit CASE_RESTORED + reason</t>
        </is>
      </c>
      <c r="O11" s="40" t="inlineStr">
        <is>
          <t>Critical</t>
        </is>
      </c>
      <c r="P11" s="43" t="inlineStr">
        <is>
          <t>Đạt như expected. Thời gian: 0ms</t>
        </is>
      </c>
      <c r="Q11" s="40" t="inlineStr">
        <is>
          <t>Đạt</t>
        </is>
      </c>
      <c r="R11" s="40" t="inlineStr"/>
      <c r="S11" s="40" t="inlineStr">
        <is>
          <t>23/05/2026 17:23</t>
        </is>
      </c>
      <c r="T11" s="43" t="inlineStr">
        <is>
          <t>R1:Đạt</t>
        </is>
      </c>
      <c r="U11" s="40" t="inlineStr"/>
      <c r="V11" s="43" t="inlineStr"/>
    </row>
    <row r="12" ht="80" customHeight="1">
      <c r="A12" s="40" t="inlineStr">
        <is>
          <t>TC-009</t>
        </is>
      </c>
      <c r="B12" s="44" t="inlineStr">
        <is>
          <t>RED</t>
        </is>
      </c>
      <c r="C12" s="42" t="inlineStr">
        <is>
          <t>P0</t>
        </is>
      </c>
      <c r="D12" s="43" t="inlineStr">
        <is>
          <t>Create</t>
        </is>
      </c>
      <c r="E12" s="43" t="inlineStr">
        <is>
          <t>Thiếu trường caseProvenance — phải trả 400</t>
        </is>
      </c>
      <c r="F12" s="40" t="inlineStr">
        <is>
          <t>REQ-CASE-CR-VAL-01</t>
        </is>
      </c>
      <c r="G12" s="40" t="inlineStr">
        <is>
          <t>Error guessing — required field</t>
        </is>
      </c>
      <c r="H12" s="40" t="inlineStr">
        <is>
          <t>Cao</t>
        </is>
      </c>
      <c r="I12" s="43" t="inlineStr">
        <is>
          <t>1. User login</t>
        </is>
      </c>
      <c r="J12" s="43" t="inlineStr">
        <is>
          <t>1. Gửi POST /api/v1/cases với body {name:'X', crime:'Y'} — KHÔNG có caseProvenance
2. Quan sát response</t>
        </is>
      </c>
      <c r="K12" s="43" t="inlineStr">
        <is>
          <t>body = {name:'Vụ X', crime:'Trộm cắp'} — không có caseProvenance</t>
        </is>
      </c>
      <c r="L12" s="43" t="inlineStr">
        <is>
          <t>Nếu qua UI: nút 'Lưu' phải disabled cho đến khi chọn provenance; hoặc validation error đỏ ngay dưới field 'Nguồn tin'</t>
        </is>
      </c>
      <c r="M12" s="43" t="inlineStr">
        <is>
          <t>1. POST /cases trả 400 Bad Request
2. Response message chứa 'caseProvenance bắt buộc — chọn FROM_PETITION / FROM_INCIDENT / DIRECT_DISCOVERY / TRANSFERRED / OTHER_LEGAL_SOURCE (BLTTHS Đ.143)'</t>
        </is>
      </c>
      <c r="N12" s="43" t="inlineStr">
        <is>
          <t>1. Không có row nào được insert vào cases
2. Không có audit log CASE_CREATED</t>
        </is>
      </c>
      <c r="O12" s="40" t="inlineStr">
        <is>
          <t>Critical</t>
        </is>
      </c>
      <c r="P12" s="43" t="inlineStr">
        <is>
          <t>Đạt như expected. Thời gian: 0ms</t>
        </is>
      </c>
      <c r="Q12" s="40" t="inlineStr">
        <is>
          <t>Đạt</t>
        </is>
      </c>
      <c r="R12" s="40" t="inlineStr"/>
      <c r="S12" s="40" t="inlineStr">
        <is>
          <t>23/05/2026 17:23</t>
        </is>
      </c>
      <c r="T12" s="43" t="inlineStr">
        <is>
          <t>R1:Đạt</t>
        </is>
      </c>
      <c r="U12" s="40" t="inlineStr"/>
      <c r="V12" s="43" t="inlineStr">
        <is>
          <t>v0.37.1 Provenance contract — required field</t>
        </is>
      </c>
    </row>
    <row r="13" ht="80" customHeight="1">
      <c r="A13" s="40" t="inlineStr">
        <is>
          <t>TC-010</t>
        </is>
      </c>
      <c r="B13" s="44" t="inlineStr">
        <is>
          <t>RED</t>
        </is>
      </c>
      <c r="C13" s="42" t="inlineStr">
        <is>
          <t>P0</t>
        </is>
      </c>
      <c r="D13" s="43" t="inlineStr">
        <is>
          <t>Create</t>
        </is>
      </c>
      <c r="E13" s="43" t="inlineStr">
        <is>
          <t>FROM_PETITION nhưng không truyền linkedPetitionId — phải 400</t>
        </is>
      </c>
      <c r="F13" s="40" t="inlineStr">
        <is>
          <t>REQ-CASE-CR-VAL-02</t>
        </is>
      </c>
      <c r="G13" s="40" t="inlineStr">
        <is>
          <t>Conditional validation</t>
        </is>
      </c>
      <c r="H13" s="40" t="inlineStr">
        <is>
          <t>Cao</t>
        </is>
      </c>
      <c r="I13" s="43" t="inlineStr">
        <is>
          <t>1. User login</t>
        </is>
      </c>
      <c r="J13" s="43" t="inlineStr">
        <is>
          <t>1. POST /cases body {name:'X', caseProvenance:'FROM_PETITION'} — không có linkedPetitionId</t>
        </is>
      </c>
      <c r="K13" s="43" t="inlineStr">
        <is>
          <t>body={name:'Vụ X', caseProvenance:'FROM_PETITION'}</t>
        </is>
      </c>
      <c r="L13" s="43" t="inlineStr">
        <is>
          <t>Validation đỏ dưới field 'Đơn thư liên kết'</t>
        </is>
      </c>
      <c r="M13" s="43" t="inlineStr">
        <is>
          <t>1. 400 Bad Request
2. Message: 'linkedPetitionId required when caseProvenance is FROM_PETITION'</t>
        </is>
      </c>
      <c r="N13" s="43" t="inlineStr">
        <is>
          <t>Không insert + không audit</t>
        </is>
      </c>
      <c r="O13" s="40" t="inlineStr">
        <is>
          <t>Critical</t>
        </is>
      </c>
      <c r="P13" s="43" t="inlineStr">
        <is>
          <t>Đạt như expected. Thời gian: 0ms</t>
        </is>
      </c>
      <c r="Q13" s="40" t="inlineStr">
        <is>
          <t>Đạt</t>
        </is>
      </c>
      <c r="R13" s="40" t="inlineStr"/>
      <c r="S13" s="40" t="inlineStr">
        <is>
          <t>23/05/2026 17:23</t>
        </is>
      </c>
      <c r="T13" s="43" t="inlineStr">
        <is>
          <t>R1:Đạt</t>
        </is>
      </c>
      <c r="U13" s="40" t="inlineStr"/>
      <c r="V13" s="43" t="inlineStr"/>
    </row>
    <row r="14" ht="80" customHeight="1">
      <c r="A14" s="40" t="inlineStr">
        <is>
          <t>TC-011</t>
        </is>
      </c>
      <c r="B14" s="44" t="inlineStr">
        <is>
          <t>RED</t>
        </is>
      </c>
      <c r="C14" s="42" t="inlineStr">
        <is>
          <t>P0</t>
        </is>
      </c>
      <c r="D14" s="43" t="inlineStr">
        <is>
          <t>Create</t>
        </is>
      </c>
      <c r="E14" s="43" t="inlineStr">
        <is>
          <t>FROM_INCIDENT nhưng thiếu linkedIncidentId</t>
        </is>
      </c>
      <c r="F14" s="40" t="inlineStr">
        <is>
          <t>REQ-CASE-CR-VAL-03</t>
        </is>
      </c>
      <c r="G14" s="40" t="inlineStr">
        <is>
          <t>Conditional validation</t>
        </is>
      </c>
      <c r="H14" s="40" t="inlineStr">
        <is>
          <t>Cao</t>
        </is>
      </c>
      <c r="I14" s="43" t="inlineStr">
        <is>
          <t>User login</t>
        </is>
      </c>
      <c r="J14" s="43" t="inlineStr">
        <is>
          <t>POST /cases body {name:'X', caseProvenance:'FROM_INCIDENT'} — không có linkedIncidentId</t>
        </is>
      </c>
      <c r="K14" s="43" t="inlineStr">
        <is>
          <t>body={name:'X', caseProvenance:'FROM_INCIDENT'}</t>
        </is>
      </c>
      <c r="L14" s="43" t="inlineStr">
        <is>
          <t>Validation đỏ dưới field 'Vụ việc liên kết'</t>
        </is>
      </c>
      <c r="M14" s="43" t="inlineStr">
        <is>
          <t>1. 400
2. Message: 'linkedIncidentId required when caseProvenance is FROM_INCIDENT'</t>
        </is>
      </c>
      <c r="N14" s="43" t="inlineStr">
        <is>
          <t>Không insert</t>
        </is>
      </c>
      <c r="O14" s="40" t="inlineStr">
        <is>
          <t>Critical</t>
        </is>
      </c>
      <c r="P14" s="43" t="inlineStr">
        <is>
          <t>Đạt như expected. Thời gian: 0ms</t>
        </is>
      </c>
      <c r="Q14" s="40" t="inlineStr">
        <is>
          <t>Đạt</t>
        </is>
      </c>
      <c r="R14" s="40" t="inlineStr"/>
      <c r="S14" s="40" t="inlineStr">
        <is>
          <t>23/05/2026 17:23</t>
        </is>
      </c>
      <c r="T14" s="43" t="inlineStr">
        <is>
          <t>R1:Đạt</t>
        </is>
      </c>
      <c r="U14" s="40" t="inlineStr"/>
      <c r="V14" s="43" t="inlineStr"/>
    </row>
    <row r="15" ht="80" customHeight="1">
      <c r="A15" s="40" t="inlineStr">
        <is>
          <t>TC-012</t>
        </is>
      </c>
      <c r="B15" s="44" t="inlineStr">
        <is>
          <t>RED</t>
        </is>
      </c>
      <c r="C15" s="45" t="inlineStr">
        <is>
          <t>P1</t>
        </is>
      </c>
      <c r="D15" s="43" t="inlineStr">
        <is>
          <t>Create</t>
        </is>
      </c>
      <c r="E15" s="43" t="inlineStr">
        <is>
          <t>linkedPetitionId trỏ tới Petition không tồn tại</t>
        </is>
      </c>
      <c r="F15" s="40" t="inlineStr">
        <is>
          <t>REQ-CASE-CR-VAL-04</t>
        </is>
      </c>
      <c r="G15" s="40" t="inlineStr">
        <is>
          <t>Error guessing</t>
        </is>
      </c>
      <c r="H15" s="40" t="inlineStr">
        <is>
          <t>TB</t>
        </is>
      </c>
      <c r="I15" s="43" t="inlineStr">
        <is>
          <t>User login. Petition id='NONEXISTENT-999' không có trong DB</t>
        </is>
      </c>
      <c r="J15" s="43" t="inlineStr">
        <is>
          <t>POST /cases với caseProvenance=FROM_PETITION, linkedPetitionId='NONEXISTENT-999', expectedPetitionUpdatedAt='2026-05-20T10:00:00.000Z'</t>
        </is>
      </c>
      <c r="K15" s="43" t="inlineStr">
        <is>
          <t>linkedPetitionId='NONEXISTENT-999'</t>
        </is>
      </c>
      <c r="L15" s="43" t="inlineStr">
        <is>
          <t>Toast lỗi 'Đơn thư liên kết không tồn tại'</t>
        </is>
      </c>
      <c r="M15" s="43" t="inlineStr">
        <is>
          <t>1. 400 hoặc 404
2. Message rõ ràng về Petition not found</t>
        </is>
      </c>
      <c r="N15" s="43" t="inlineStr">
        <is>
          <t>Không có Case nào insert; Prisma FK CHECK constraint reject</t>
        </is>
      </c>
      <c r="O15" s="40" t="inlineStr">
        <is>
          <t>High</t>
        </is>
      </c>
      <c r="P15" s="43" t="inlineStr">
        <is>
          <t>Đạt như expected. Thời gian: 0ms</t>
        </is>
      </c>
      <c r="Q15" s="40" t="inlineStr">
        <is>
          <t>Đạt</t>
        </is>
      </c>
      <c r="R15" s="40" t="inlineStr"/>
      <c r="S15" s="40" t="inlineStr">
        <is>
          <t>23/05/2026 17:23</t>
        </is>
      </c>
      <c r="T15" s="43" t="inlineStr">
        <is>
          <t>R1:Đạt</t>
        </is>
      </c>
      <c r="U15" s="40" t="inlineStr"/>
      <c r="V15" s="43" t="inlineStr"/>
    </row>
    <row r="16" ht="80" customHeight="1">
      <c r="A16" s="40" t="inlineStr">
        <is>
          <t>TC-013</t>
        </is>
      </c>
      <c r="B16" s="44" t="inlineStr">
        <is>
          <t>RED</t>
        </is>
      </c>
      <c r="C16" s="45" t="inlineStr">
        <is>
          <t>P1</t>
        </is>
      </c>
      <c r="D16" s="43" t="inlineStr">
        <is>
          <t>Create</t>
        </is>
      </c>
      <c r="E16" s="43" t="inlineStr">
        <is>
          <t>Trường name rỗng → 400</t>
        </is>
      </c>
      <c r="F16" s="40" t="inlineStr">
        <is>
          <t>REQ-CASE-CR-VAL-05</t>
        </is>
      </c>
      <c r="G16" s="40" t="inlineStr">
        <is>
          <t>Error guessing</t>
        </is>
      </c>
      <c r="H16" s="40" t="inlineStr">
        <is>
          <t>TB</t>
        </is>
      </c>
      <c r="I16" s="43" t="inlineStr">
        <is>
          <t>User login</t>
        </is>
      </c>
      <c r="J16" s="43" t="inlineStr">
        <is>
          <t>POST /cases body {name:'', caseProvenance:'DIRECT_DISCOVERY'}</t>
        </is>
      </c>
      <c r="K16" s="43" t="inlineStr">
        <is>
          <t>name=''</t>
        </is>
      </c>
      <c r="L16" s="43" t="inlineStr">
        <is>
          <t>Field name viền đỏ + error 'Tên vụ án bắt buộc'</t>
        </is>
      </c>
      <c r="M16" s="43" t="inlineStr">
        <is>
          <t>1. 400
2. Message liên quan @IsString hoặc @MaxLength validation</t>
        </is>
      </c>
      <c r="N16" s="43" t="inlineStr">
        <is>
          <t>Không insert</t>
        </is>
      </c>
      <c r="O16" s="40" t="inlineStr">
        <is>
          <t>High</t>
        </is>
      </c>
      <c r="P16" s="43" t="inlineStr">
        <is>
          <t>Không đạt - xem HTML report</t>
        </is>
      </c>
      <c r="Q16" s="40" t="inlineStr">
        <is>
          <t>Không đạt</t>
        </is>
      </c>
      <c r="R16" s="40" t="inlineStr">
        <is>
          <t>BUG-001</t>
        </is>
      </c>
      <c r="S16" s="40" t="inlineStr">
        <is>
          <t>23/05/2026 17:23</t>
        </is>
      </c>
      <c r="T16" s="43" t="inlineStr">
        <is>
          <t>R1:Không đạt</t>
        </is>
      </c>
      <c r="U16" s="40" t="inlineStr"/>
      <c r="V16" s="43" t="inlineStr">
        <is>
          <t>@IsString không cho phép undefined nhưng cho phép '' — kiểm chứng có @IsNotEmpty không</t>
        </is>
      </c>
    </row>
    <row r="17" ht="80" customHeight="1">
      <c r="A17" s="40" t="inlineStr">
        <is>
          <t>TC-014</t>
        </is>
      </c>
      <c r="B17" s="44" t="inlineStr">
        <is>
          <t>RED</t>
        </is>
      </c>
      <c r="C17" s="45" t="inlineStr">
        <is>
          <t>P1</t>
        </is>
      </c>
      <c r="D17" s="43" t="inlineStr">
        <is>
          <t>Create</t>
        </is>
      </c>
      <c r="E17" s="43" t="inlineStr">
        <is>
          <t>Trường name chỉ chứa whitespace</t>
        </is>
      </c>
      <c r="F17" s="40" t="inlineStr">
        <is>
          <t>REQ-CASE-CR-VAL-06</t>
        </is>
      </c>
      <c r="G17" s="40" t="inlineStr">
        <is>
          <t>Error guessing — invalid whitespace</t>
        </is>
      </c>
      <c r="H17" s="40" t="inlineStr">
        <is>
          <t>TB</t>
        </is>
      </c>
      <c r="I17" s="43" t="inlineStr">
        <is>
          <t>User login</t>
        </is>
      </c>
      <c r="J17" s="43" t="inlineStr">
        <is>
          <t>POST /cases body {name:'      ', caseProvenance:'DIRECT_DISCOVERY'}</t>
        </is>
      </c>
      <c r="K17" s="43" t="inlineStr">
        <is>
          <t>name='      ' (6 space)</t>
        </is>
      </c>
      <c r="L17" s="43" t="inlineStr">
        <is>
          <t>Field name viền đỏ</t>
        </is>
      </c>
      <c r="M17" s="43" t="inlineStr">
        <is>
          <t>1. 400 (kỳ vọng có trim + reject empty)
2. Hoặc nếu trim không có thì là defect cần raise</t>
        </is>
      </c>
      <c r="N17" s="43" t="inlineStr">
        <is>
          <t>Không insert</t>
        </is>
      </c>
      <c r="O17" s="40" t="inlineStr">
        <is>
          <t>Medium</t>
        </is>
      </c>
      <c r="P17" s="43" t="inlineStr">
        <is>
          <t>Không đạt - xem HTML report</t>
        </is>
      </c>
      <c r="Q17" s="40" t="inlineStr">
        <is>
          <t>Không đạt</t>
        </is>
      </c>
      <c r="R17" s="40" t="inlineStr">
        <is>
          <t>BUG-002</t>
        </is>
      </c>
      <c r="S17" s="40" t="inlineStr">
        <is>
          <t>23/05/2026 17:23</t>
        </is>
      </c>
      <c r="T17" s="43" t="inlineStr">
        <is>
          <t>R1:Không đạt</t>
        </is>
      </c>
      <c r="U17" s="40" t="inlineStr"/>
      <c r="V17" s="43" t="inlineStr">
        <is>
          <t>Verify có trim hay không — nếu insert được tên 6 space là defect</t>
        </is>
      </c>
    </row>
    <row r="18" ht="80" customHeight="1">
      <c r="A18" s="40" t="inlineStr">
        <is>
          <t>TC-015</t>
        </is>
      </c>
      <c r="B18" s="44" t="inlineStr">
        <is>
          <t>RED</t>
        </is>
      </c>
      <c r="C18" s="46" t="inlineStr">
        <is>
          <t>P2</t>
        </is>
      </c>
      <c r="D18" s="43" t="inlineStr">
        <is>
          <t>Create</t>
        </is>
      </c>
      <c r="E18" s="43" t="inlineStr">
        <is>
          <t>capDoToiPham enum value không hợp lệ</t>
        </is>
      </c>
      <c r="F18" s="40" t="inlineStr">
        <is>
          <t>REQ-CASE-CR-VAL-07</t>
        </is>
      </c>
      <c r="G18" s="40" t="inlineStr">
        <is>
          <t>Error guessing — invalid enum</t>
        </is>
      </c>
      <c r="H18" s="40" t="inlineStr">
        <is>
          <t>Thấp</t>
        </is>
      </c>
      <c r="I18" s="43" t="inlineStr">
        <is>
          <t>User login</t>
        </is>
      </c>
      <c r="J18" s="43" t="inlineStr">
        <is>
          <t>POST /cases body {name:'X', caseProvenance:'DIRECT_DISCOVERY', capDoToiPham:'SUPER_NGHIEM_TRONG'}</t>
        </is>
      </c>
      <c r="K18" s="43" t="inlineStr">
        <is>
          <t>capDoToiPham='SUPER_NGHIEM_TRONG'</t>
        </is>
      </c>
      <c r="L18" s="43" t="inlineStr">
        <is>
          <t>Validation đỏ dưới field 'Mức độ tội phạm'</t>
        </is>
      </c>
      <c r="M18" s="43" t="inlineStr">
        <is>
          <t>1. 400
2. Message chính xác: 'capDoToiPham phải là IT_NGHIEM_TRONG, NGHIEM_TRONG, RAT_NGHIEM_TRONG hoặc DAC_BIET_NGHIEM_TRONG'</t>
        </is>
      </c>
      <c r="N18" s="43" t="inlineStr">
        <is>
          <t>Không insert</t>
        </is>
      </c>
      <c r="O18" s="40" t="inlineStr">
        <is>
          <t>Medium</t>
        </is>
      </c>
      <c r="P18" s="43" t="inlineStr">
        <is>
          <t>Đạt như expected. Thời gian: 0ms</t>
        </is>
      </c>
      <c r="Q18" s="40" t="inlineStr">
        <is>
          <t>Đạt</t>
        </is>
      </c>
      <c r="R18" s="40" t="inlineStr"/>
      <c r="S18" s="40" t="inlineStr">
        <is>
          <t>23/05/2026 17:23</t>
        </is>
      </c>
      <c r="T18" s="43" t="inlineStr">
        <is>
          <t>R1:Đạt</t>
        </is>
      </c>
      <c r="U18" s="40" t="inlineStr"/>
      <c r="V18" s="43" t="inlineStr"/>
    </row>
    <row r="19" ht="80" customHeight="1">
      <c r="A19" s="40" t="inlineStr">
        <is>
          <t>TC-016</t>
        </is>
      </c>
      <c r="B19" s="44" t="inlineStr">
        <is>
          <t>RED</t>
        </is>
      </c>
      <c r="C19" s="45" t="inlineStr">
        <is>
          <t>P1</t>
        </is>
      </c>
      <c r="D19" s="43" t="inlineStr">
        <is>
          <t>Create</t>
        </is>
      </c>
      <c r="E19" s="43" t="inlineStr">
        <is>
          <t>subjectsCount âm</t>
        </is>
      </c>
      <c r="F19" s="40" t="inlineStr">
        <is>
          <t>REQ-CASE-CR-VAL-08</t>
        </is>
      </c>
      <c r="G19" s="40" t="inlineStr">
        <is>
          <t>BVA — below min</t>
        </is>
      </c>
      <c r="H19" s="40" t="inlineStr">
        <is>
          <t>TB</t>
        </is>
      </c>
      <c r="I19" s="43" t="inlineStr">
        <is>
          <t>User login</t>
        </is>
      </c>
      <c r="J19" s="43" t="inlineStr">
        <is>
          <t>POST /cases với subjectsCount=-1</t>
        </is>
      </c>
      <c r="K19" s="43" t="inlineStr">
        <is>
          <t>subjectsCount=-1</t>
        </is>
      </c>
      <c r="L19" s="43" t="inlineStr">
        <is>
          <t>Field viền đỏ + error 'Số đối tượng phải ≥ 0'</t>
        </is>
      </c>
      <c r="M19" s="43" t="inlineStr">
        <is>
          <t>1. 400 (vi phạm @Min(0))
2. Message dạng 'subjectsCount must not be less than 0'</t>
        </is>
      </c>
      <c r="N19" s="43" t="inlineStr">
        <is>
          <t>Không insert</t>
        </is>
      </c>
      <c r="O19" s="40" t="inlineStr">
        <is>
          <t>High</t>
        </is>
      </c>
      <c r="P19" s="43" t="inlineStr">
        <is>
          <t>Đạt như expected. Thời gian: 0ms</t>
        </is>
      </c>
      <c r="Q19" s="40" t="inlineStr">
        <is>
          <t>Đạt</t>
        </is>
      </c>
      <c r="R19" s="40" t="inlineStr"/>
      <c r="S19" s="40" t="inlineStr">
        <is>
          <t>23/05/2026 17:23</t>
        </is>
      </c>
      <c r="T19" s="43" t="inlineStr">
        <is>
          <t>R1:Đạt</t>
        </is>
      </c>
      <c r="U19" s="40" t="inlineStr"/>
      <c r="V19" s="43" t="inlineStr"/>
    </row>
    <row r="20" ht="80" customHeight="1">
      <c r="A20" s="40" t="inlineStr">
        <is>
          <t>TC-017</t>
        </is>
      </c>
      <c r="B20" s="44" t="inlineStr">
        <is>
          <t>RED</t>
        </is>
      </c>
      <c r="C20" s="45" t="inlineStr">
        <is>
          <t>P1</t>
        </is>
      </c>
      <c r="D20" s="43" t="inlineStr">
        <is>
          <t>Create</t>
        </is>
      </c>
      <c r="E20" s="43" t="inlineStr">
        <is>
          <t>deadline sai định dạng ISO 8601</t>
        </is>
      </c>
      <c r="F20" s="40" t="inlineStr">
        <is>
          <t>REQ-CASE-CR-VAL-09</t>
        </is>
      </c>
      <c r="G20" s="40" t="inlineStr">
        <is>
          <t>Error guessing — invalid format</t>
        </is>
      </c>
      <c r="H20" s="40" t="inlineStr">
        <is>
          <t>TB</t>
        </is>
      </c>
      <c r="I20" s="43" t="inlineStr">
        <is>
          <t>User login</t>
        </is>
      </c>
      <c r="J20" s="43" t="inlineStr">
        <is>
          <t>POST /cases với deadline='22-05-2026 10:00'</t>
        </is>
      </c>
      <c r="K20" s="43" t="inlineStr">
        <is>
          <t>deadline='22-05-2026 10:00' (sai format)</t>
        </is>
      </c>
      <c r="L20" s="43" t="inlineStr">
        <is>
          <t>Field deadline viền đỏ + error format</t>
        </is>
      </c>
      <c r="M20" s="43" t="inlineStr">
        <is>
          <t>1. 400 (vi phạm @IsDateString)
2. Message liên quan ISO 8601</t>
        </is>
      </c>
      <c r="N20" s="43" t="inlineStr">
        <is>
          <t>Không insert</t>
        </is>
      </c>
      <c r="O20" s="40" t="inlineStr">
        <is>
          <t>High</t>
        </is>
      </c>
      <c r="P20" s="43" t="inlineStr">
        <is>
          <t>Đạt như expected. Thời gian: 0ms</t>
        </is>
      </c>
      <c r="Q20" s="40" t="inlineStr">
        <is>
          <t>Đạt</t>
        </is>
      </c>
      <c r="R20" s="40" t="inlineStr"/>
      <c r="S20" s="40" t="inlineStr">
        <is>
          <t>23/05/2026 17:23</t>
        </is>
      </c>
      <c r="T20" s="43" t="inlineStr">
        <is>
          <t>R1:Đạt</t>
        </is>
      </c>
      <c r="U20" s="40" t="inlineStr"/>
      <c r="V20" s="43" t="inlineStr"/>
    </row>
    <row r="21" ht="80" customHeight="1">
      <c r="A21" s="40" t="inlineStr">
        <is>
          <t>TC-018</t>
        </is>
      </c>
      <c r="B21" s="44" t="inlineStr">
        <is>
          <t>RED</t>
        </is>
      </c>
      <c r="C21" s="42" t="inlineStr">
        <is>
          <t>P0</t>
        </is>
      </c>
      <c r="D21" s="43" t="inlineStr">
        <is>
          <t>Update</t>
        </is>
      </c>
      <c r="E21" s="43" t="inlineStr">
        <is>
          <t>Optimistic lock: expectedUpdatedAt cũ hơn current → 409</t>
        </is>
      </c>
      <c r="F21" s="40" t="inlineStr">
        <is>
          <t>REQ-CASE-UP-LOCK</t>
        </is>
      </c>
      <c r="G21" s="40" t="inlineStr">
        <is>
          <t>Race condition / Concurrent edit</t>
        </is>
      </c>
      <c r="H21" s="40" t="inlineStr">
        <is>
          <t>Cao</t>
        </is>
      </c>
      <c r="I21" s="43" t="inlineStr">
        <is>
          <t>1. User A và B cùng mở /cases/CASE-001/edit
2. A submit trước → updatedAt server đổi thành T2</t>
        </is>
      </c>
      <c r="J21" s="43" t="inlineStr">
        <is>
          <t>1. User A mở form (snapshot updatedAt=T1)
2. User B mở form (snapshot updatedAt=T1)
3. User A submit name='Vụ X bởi A' → success, updatedAt → T2
4. User B submit name='Vụ X bởi B' với expectedUpdatedAt=T1
5. Quan sát response B</t>
        </is>
      </c>
      <c r="K21" s="43" t="inlineStr">
        <is>
          <t>expectedUpdatedAt='2026-05-22T10:00:00.000Z' (cũ), server hiện 'T2 = 2026-05-22T10:05:00.000Z'</t>
        </is>
      </c>
      <c r="L21" s="43" t="inlineStr">
        <is>
          <t>User B nhận toast lỗi 'Hồ sơ đã được chỉnh sửa bởi người dùng khác. Vui lòng tải lại trang và thử lại.'</t>
        </is>
      </c>
      <c r="M21" s="43" t="inlineStr">
        <is>
          <t>1. 409 Conflict
2. Body: {message:'Hồ sơ đã được chỉnh sửa bởi người dùng khác. Vui lòng tải lại trang và thử lại.'}</t>
        </is>
      </c>
      <c r="N21" s="43" t="inlineStr">
        <is>
          <t>1. Update của User B KHÔNG được apply
2. Audit log KHÔNG có CASE_UPDATED cho User B</t>
        </is>
      </c>
      <c r="O21" s="40" t="inlineStr">
        <is>
          <t>Critical</t>
        </is>
      </c>
      <c r="P21" s="43" t="inlineStr">
        <is>
          <t>Đạt như expected. Thời gian: 0ms</t>
        </is>
      </c>
      <c r="Q21" s="40" t="inlineStr">
        <is>
          <t>Đạt</t>
        </is>
      </c>
      <c r="R21" s="40" t="inlineStr"/>
      <c r="S21" s="40" t="inlineStr">
        <is>
          <t>23/05/2026 17:23</t>
        </is>
      </c>
      <c r="T21" s="43" t="inlineStr">
        <is>
          <t>R1:Đạt</t>
        </is>
      </c>
      <c r="U21" s="40" t="inlineStr"/>
      <c r="V21" s="43" t="inlineStr">
        <is>
          <t>Verify race condition không gây lost update</t>
        </is>
      </c>
    </row>
    <row r="22" ht="80" customHeight="1">
      <c r="A22" s="40" t="inlineStr">
        <is>
          <t>TC-019</t>
        </is>
      </c>
      <c r="B22" s="44" t="inlineStr">
        <is>
          <t>RED</t>
        </is>
      </c>
      <c r="C22" s="45" t="inlineStr">
        <is>
          <t>P1</t>
        </is>
      </c>
      <c r="D22" s="43" t="inlineStr">
        <is>
          <t>Update</t>
        </is>
      </c>
      <c r="E22" s="43" t="inlineStr">
        <is>
          <t>Chuyển status sang TAM_DINH_CHI nhưng thiếu lyDoTamDinhChiVuAn</t>
        </is>
      </c>
      <c r="F22" s="40" t="inlineStr">
        <is>
          <t>REQ-CASE-UP-TDC</t>
        </is>
      </c>
      <c r="G22" s="40" t="inlineStr">
        <is>
          <t>Business rule validation</t>
        </is>
      </c>
      <c r="H22" s="40" t="inlineStr">
        <is>
          <t>Cao</t>
        </is>
      </c>
      <c r="I22" s="43" t="inlineStr">
        <is>
          <t>1. Case CASE-200 status=DANG_DIEU_TRA
2. User login</t>
        </is>
      </c>
      <c r="J22" s="43" t="inlineStr">
        <is>
          <t>1. PUT /cases/CASE-200 với {status:'TAM_DINH_CHI'} — không kèm lyDoTamDinhChiVuAn</t>
        </is>
      </c>
      <c r="K22" s="43" t="inlineStr">
        <is>
          <t>{status:'TAM_DINH_CHI'} — thiếu lý do</t>
        </is>
      </c>
      <c r="L22" s="43" t="inlineStr">
        <is>
          <t>Validation đỏ — bắt buộc chọn lý do tạm đình chỉ theo Đ.229</t>
        </is>
      </c>
      <c r="M22" s="43" t="inlineStr">
        <is>
          <t>1. 400 (kỳ vọng business validation reject)
2. Nếu BE không enforce → defect — phải raise</t>
        </is>
      </c>
      <c r="N22" s="43" t="inlineStr">
        <is>
          <t>Không insert statusHistory; không tăng soLanTamDinhChi</t>
        </is>
      </c>
      <c r="O22" s="40" t="inlineStr">
        <is>
          <t>High</t>
        </is>
      </c>
      <c r="P22" s="43" t="inlineStr">
        <is>
          <t>Đạt như expected. Thời gian: 0ms</t>
        </is>
      </c>
      <c r="Q22" s="40" t="inlineStr">
        <is>
          <t>Đạt</t>
        </is>
      </c>
      <c r="R22" s="40" t="inlineStr"/>
      <c r="S22" s="40" t="inlineStr">
        <is>
          <t>23/05/2026 17:23</t>
        </is>
      </c>
      <c r="T22" s="43" t="inlineStr">
        <is>
          <t>R1:Đạt</t>
        </is>
      </c>
      <c r="U22" s="40" t="inlineStr"/>
      <c r="V22" s="43" t="inlineStr">
        <is>
          <t>Verify spec — backend có enforce required lý do hay chỉ FE</t>
        </is>
      </c>
    </row>
    <row r="23" ht="80" customHeight="1">
      <c r="A23" s="40" t="inlineStr">
        <is>
          <t>TC-020</t>
        </is>
      </c>
      <c r="B23" s="44" t="inlineStr">
        <is>
          <t>RED</t>
        </is>
      </c>
      <c r="C23" s="42" t="inlineStr">
        <is>
          <t>P0</t>
        </is>
      </c>
      <c r="D23" s="43" t="inlineStr">
        <is>
          <t>Delete</t>
        </is>
      </c>
      <c r="E23" s="43" t="inlineStr">
        <is>
          <t>Xóa vụ có status ≠ TIEP_NHAN bị reject</t>
        </is>
      </c>
      <c r="F23" s="40" t="inlineStr">
        <is>
          <t>REQ-CASE-DEL-RULE</t>
        </is>
      </c>
      <c r="G23" s="40" t="inlineStr">
        <is>
          <t>Decision Table / Business rule</t>
        </is>
      </c>
      <c r="H23" s="40" t="inlineStr">
        <is>
          <t>Cao</t>
        </is>
      </c>
      <c r="I23" s="43" t="inlineStr">
        <is>
          <t>Case CASE-300 status=DANG_DIEU_TRA</t>
        </is>
      </c>
      <c r="J23" s="43" t="inlineStr">
        <is>
          <t>1. GET /cases/CASE-300/delete-preflight → kiểm tra response
2. DELETE /cases/CASE-300 với reason hợp lệ</t>
        </is>
      </c>
      <c r="K23" s="43" t="inlineStr">
        <is>
          <t>caseId='CASE-300', reason='Lý do hợp lệ 12345', status hiện tại='DANG_DIEU_TRA'</t>
        </is>
      </c>
      <c r="L23" s="43" t="inlineStr">
        <is>
          <t>1. Nút 'Xóa' phải disabled hoặc ẩn
2. Nếu force qua API → toast lỗi 'Trạng thái hiện tại không cho phép xóa (chỉ Tiếp nhận). Hiện: Đang điều tra.'</t>
        </is>
      </c>
      <c r="M23" s="43" t="inlineStr">
        <is>
          <t>1. Preflight: trả về canDelete=false + reason
2. DELETE: 400 hoặc 403 với message như expected_ui</t>
        </is>
      </c>
      <c r="N23" s="43" t="inlineStr">
        <is>
          <t>1. deletedAt KHÔNG được set
2. Không có audit CASE_DELETED</t>
        </is>
      </c>
      <c r="O23" s="40" t="inlineStr">
        <is>
          <t>Critical</t>
        </is>
      </c>
      <c r="P23" s="43" t="inlineStr">
        <is>
          <t>Đạt như expected. Thời gian: 0ms</t>
        </is>
      </c>
      <c r="Q23" s="40" t="inlineStr">
        <is>
          <t>Đạt</t>
        </is>
      </c>
      <c r="R23" s="40" t="inlineStr"/>
      <c r="S23" s="40" t="inlineStr">
        <is>
          <t>23/05/2026 17:23</t>
        </is>
      </c>
      <c r="T23" s="43" t="inlineStr">
        <is>
          <t>R1:Đạt</t>
        </is>
      </c>
      <c r="U23" s="40" t="inlineStr"/>
      <c r="V23" s="43" t="inlineStr">
        <is>
          <t>Atomic status TOCTOU guard tại cases.service.ts:861</t>
        </is>
      </c>
    </row>
    <row r="24" ht="80" customHeight="1">
      <c r="A24" s="40" t="inlineStr">
        <is>
          <t>TC-021</t>
        </is>
      </c>
      <c r="B24" s="44" t="inlineStr">
        <is>
          <t>RED</t>
        </is>
      </c>
      <c r="C24" s="45" t="inlineStr">
        <is>
          <t>P1</t>
        </is>
      </c>
      <c r="D24" s="43" t="inlineStr">
        <is>
          <t>Delete</t>
        </is>
      </c>
      <c r="E24" s="43" t="inlineStr">
        <is>
          <t>Reason xóa &lt; 10 chars → reject</t>
        </is>
      </c>
      <c r="F24" s="40" t="inlineStr">
        <is>
          <t>REQ-CASE-DEL-VAL</t>
        </is>
      </c>
      <c r="G24" s="40" t="inlineStr">
        <is>
          <t>BVA — below min</t>
        </is>
      </c>
      <c r="H24" s="40" t="inlineStr">
        <is>
          <t>TB</t>
        </is>
      </c>
      <c r="I24" s="43" t="inlineStr">
        <is>
          <t>Case CASE-400 status=TIEP_NHAN</t>
        </is>
      </c>
      <c r="J24" s="43" t="inlineStr">
        <is>
          <t>DELETE /cases/CASE-400 với body {reason:'Sai mất'}</t>
        </is>
      </c>
      <c r="K24" s="43" t="inlineStr">
        <is>
          <t>reason='Sai mất' (7 chars)</t>
        </is>
      </c>
      <c r="L24" s="43" t="inlineStr">
        <is>
          <t>Modal hiện validation đỏ 'Lý do phải ≥ 10 ký tự'</t>
        </is>
      </c>
      <c r="M24" s="43" t="inlineStr">
        <is>
          <t>1. 400
2. Message validation @MinLength(10)</t>
        </is>
      </c>
      <c r="N24" s="43" t="inlineStr">
        <is>
          <t>deletedAt không set</t>
        </is>
      </c>
      <c r="O24" s="40" t="inlineStr">
        <is>
          <t>High</t>
        </is>
      </c>
      <c r="P24" s="43" t="inlineStr">
        <is>
          <t>Đạt như expected. Thời gian: 0ms</t>
        </is>
      </c>
      <c r="Q24" s="40" t="inlineStr">
        <is>
          <t>Đạt</t>
        </is>
      </c>
      <c r="R24" s="40" t="inlineStr"/>
      <c r="S24" s="40" t="inlineStr">
        <is>
          <t>23/05/2026 17:23</t>
        </is>
      </c>
      <c r="T24" s="43" t="inlineStr">
        <is>
          <t>R1:Đạt</t>
        </is>
      </c>
      <c r="U24" s="40" t="inlineStr"/>
      <c r="V24" s="43" t="inlineStr"/>
    </row>
    <row r="25" ht="80" customHeight="1">
      <c r="A25" s="40" t="inlineStr">
        <is>
          <t>TC-022</t>
        </is>
      </c>
      <c r="B25" s="44" t="inlineStr">
        <is>
          <t>RED</t>
        </is>
      </c>
      <c r="C25" s="45" t="inlineStr">
        <is>
          <t>P1</t>
        </is>
      </c>
      <c r="D25" s="43" t="inlineStr">
        <is>
          <t>Delete</t>
        </is>
      </c>
      <c r="E25" s="43" t="inlineStr">
        <is>
          <t>Reason rỗng → 400</t>
        </is>
      </c>
      <c r="F25" s="40" t="inlineStr">
        <is>
          <t>REQ-CASE-DEL-VAL</t>
        </is>
      </c>
      <c r="G25" s="40" t="inlineStr">
        <is>
          <t>Error guessing</t>
        </is>
      </c>
      <c r="H25" s="40" t="inlineStr">
        <is>
          <t>TB</t>
        </is>
      </c>
      <c r="I25" s="43" t="inlineStr">
        <is>
          <t>Case CASE-401 status=TIEP_NHAN</t>
        </is>
      </c>
      <c r="J25" s="43" t="inlineStr">
        <is>
          <t>DELETE /cases/CASE-401 body {reason:''}</t>
        </is>
      </c>
      <c r="K25" s="43" t="inlineStr">
        <is>
          <t>reason=''</t>
        </is>
      </c>
      <c r="L25" s="43" t="inlineStr">
        <is>
          <t>Modal hiện validation 'Lý do bắt buộc'</t>
        </is>
      </c>
      <c r="M25" s="43" t="inlineStr">
        <is>
          <t>400 + message validation</t>
        </is>
      </c>
      <c r="N25" s="43" t="inlineStr">
        <is>
          <t>Không delete</t>
        </is>
      </c>
      <c r="O25" s="40" t="inlineStr">
        <is>
          <t>High</t>
        </is>
      </c>
      <c r="P25" s="43" t="inlineStr">
        <is>
          <t>Đạt như expected. Thời gian: 0ms</t>
        </is>
      </c>
      <c r="Q25" s="40" t="inlineStr">
        <is>
          <t>Đạt</t>
        </is>
      </c>
      <c r="R25" s="40" t="inlineStr"/>
      <c r="S25" s="40" t="inlineStr">
        <is>
          <t>23/05/2026 17:23</t>
        </is>
      </c>
      <c r="T25" s="43" t="inlineStr">
        <is>
          <t>R1:Đạt</t>
        </is>
      </c>
      <c r="U25" s="40" t="inlineStr"/>
      <c r="V25" s="43" t="inlineStr"/>
    </row>
    <row r="26" ht="80" customHeight="1">
      <c r="A26" s="40" t="inlineStr">
        <is>
          <t>TC-023</t>
        </is>
      </c>
      <c r="B26" s="44" t="inlineStr">
        <is>
          <t>RED</t>
        </is>
      </c>
      <c r="C26" s="45" t="inlineStr">
        <is>
          <t>P1</t>
        </is>
      </c>
      <c r="D26" s="43" t="inlineStr">
        <is>
          <t>Restore</t>
        </is>
      </c>
      <c r="E26" s="43" t="inlineStr">
        <is>
          <t>Restore vụ chưa bị xóa → reject</t>
        </is>
      </c>
      <c r="F26" s="40" t="inlineStr">
        <is>
          <t>REQ-CASE-RES-VAL</t>
        </is>
      </c>
      <c r="G26" s="40" t="inlineStr">
        <is>
          <t>Business rule</t>
        </is>
      </c>
      <c r="H26" s="40" t="inlineStr">
        <is>
          <t>TB</t>
        </is>
      </c>
      <c r="I26" s="43" t="inlineStr">
        <is>
          <t>Case CASE-500 deletedAt=NULL (chưa xóa)</t>
        </is>
      </c>
      <c r="J26" s="43" t="inlineStr">
        <is>
          <t>POST /cases/CASE-500/restore với reason hợp lệ</t>
        </is>
      </c>
      <c r="K26" s="43" t="inlineStr">
        <is>
          <t>caseId='CASE-500' (chưa deleted)</t>
        </is>
      </c>
      <c r="L26" s="43" t="inlineStr">
        <is>
          <t>Toast 'Vụ án này không ở trạng thái đã xóa'</t>
        </is>
      </c>
      <c r="M26" s="43" t="inlineStr">
        <is>
          <t>1. 400 hoặc 404
2. Message tương ứng</t>
        </is>
      </c>
      <c r="N26" s="43" t="inlineStr">
        <is>
          <t>Không thay đổi gì</t>
        </is>
      </c>
      <c r="O26" s="40" t="inlineStr">
        <is>
          <t>High</t>
        </is>
      </c>
      <c r="P26" s="43" t="inlineStr">
        <is>
          <t>Đạt như expected. Thời gian: 0ms</t>
        </is>
      </c>
      <c r="Q26" s="40" t="inlineStr">
        <is>
          <t>Đạt</t>
        </is>
      </c>
      <c r="R26" s="40" t="inlineStr"/>
      <c r="S26" s="40" t="inlineStr">
        <is>
          <t>23/05/2026 17:23</t>
        </is>
      </c>
      <c r="T26" s="43" t="inlineStr">
        <is>
          <t>R1:Đạt</t>
        </is>
      </c>
      <c r="U26" s="40" t="inlineStr"/>
      <c r="V26" s="43" t="inlineStr"/>
    </row>
    <row r="27" ht="80" customHeight="1">
      <c r="A27" s="40" t="inlineStr">
        <is>
          <t>TC-024</t>
        </is>
      </c>
      <c r="B27" s="44" t="inlineStr">
        <is>
          <t>RED</t>
        </is>
      </c>
      <c r="C27" s="45" t="inlineStr">
        <is>
          <t>P1</t>
        </is>
      </c>
      <c r="D27" s="43" t="inlineStr">
        <is>
          <t>Read</t>
        </is>
      </c>
      <c r="E27" s="43" t="inlineStr">
        <is>
          <t>GET /cases/:id với id không tồn tại → 404</t>
        </is>
      </c>
      <c r="F27" s="40" t="inlineStr">
        <is>
          <t>REQ-CASE-RD-404</t>
        </is>
      </c>
      <c r="G27" s="40" t="inlineStr">
        <is>
          <t>Error guessing</t>
        </is>
      </c>
      <c r="H27" s="40" t="inlineStr">
        <is>
          <t>Thấp</t>
        </is>
      </c>
      <c r="I27" s="43" t="inlineStr">
        <is>
          <t>User login. Không có Case nào id='NOT-EXIST-999'</t>
        </is>
      </c>
      <c r="J27" s="43" t="inlineStr">
        <is>
          <t>GET /cases/NOT-EXIST-999</t>
        </is>
      </c>
      <c r="K27" s="43" t="inlineStr">
        <is>
          <t>caseId='NOT-EXIST-999'</t>
        </is>
      </c>
      <c r="L27" s="43" t="inlineStr">
        <is>
          <t>Trang hiển thị 'Không tìm thấy vụ án' + nút quay về list</t>
        </is>
      </c>
      <c r="M27" s="43" t="inlineStr">
        <is>
          <t>1. 404 Not Found
2. Message: 'Không tìm thấy vụ án'</t>
        </is>
      </c>
      <c r="N27" s="43" t="inlineStr">
        <is>
          <t>Không side effect</t>
        </is>
      </c>
      <c r="O27" s="40" t="inlineStr">
        <is>
          <t>Medium</t>
        </is>
      </c>
      <c r="P27" s="43" t="inlineStr">
        <is>
          <t>Đạt như expected. Thời gian: 0ms</t>
        </is>
      </c>
      <c r="Q27" s="40" t="inlineStr">
        <is>
          <t>Đạt</t>
        </is>
      </c>
      <c r="R27" s="40" t="inlineStr"/>
      <c r="S27" s="40" t="inlineStr">
        <is>
          <t>23/05/2026 17:23</t>
        </is>
      </c>
      <c r="T27" s="43" t="inlineStr">
        <is>
          <t>R1:Đạt</t>
        </is>
      </c>
      <c r="U27" s="40" t="inlineStr"/>
      <c r="V27" s="43" t="inlineStr"/>
    </row>
    <row r="28" ht="80" customHeight="1">
      <c r="A28" s="40" t="inlineStr">
        <is>
          <t>TC-025</t>
        </is>
      </c>
      <c r="B28" s="44" t="inlineStr">
        <is>
          <t>RED</t>
        </is>
      </c>
      <c r="C28" s="45" t="inlineStr">
        <is>
          <t>P1</t>
        </is>
      </c>
      <c r="D28" s="43" t="inlineStr">
        <is>
          <t>Update</t>
        </is>
      </c>
      <c r="E28" s="43" t="inlineStr">
        <is>
          <t>PUT /cases/:id với id không tồn tại → 404</t>
        </is>
      </c>
      <c r="F28" s="40" t="inlineStr">
        <is>
          <t>REQ-CASE-UP-404</t>
        </is>
      </c>
      <c r="G28" s="40" t="inlineStr">
        <is>
          <t>Error guessing</t>
        </is>
      </c>
      <c r="H28" s="40" t="inlineStr">
        <is>
          <t>TB</t>
        </is>
      </c>
      <c r="I28" s="43" t="inlineStr">
        <is>
          <t>User login</t>
        </is>
      </c>
      <c r="J28" s="43" t="inlineStr">
        <is>
          <t>PUT /cases/NOT-EXIST-999 với body hợp lệ</t>
        </is>
      </c>
      <c r="K28" s="43" t="inlineStr">
        <is>
          <t>caseId='NOT-EXIST-999'</t>
        </is>
      </c>
      <c r="L28" s="43" t="inlineStr">
        <is>
          <t>Toast 'Không tìm thấy vụ án'</t>
        </is>
      </c>
      <c r="M28" s="43" t="inlineStr">
        <is>
          <t>404</t>
        </is>
      </c>
      <c r="N28" s="43" t="inlineStr">
        <is>
          <t>Không update</t>
        </is>
      </c>
      <c r="O28" s="40" t="inlineStr">
        <is>
          <t>Medium</t>
        </is>
      </c>
      <c r="P28" s="43" t="inlineStr">
        <is>
          <t>Đạt như expected. Thời gian: 0ms</t>
        </is>
      </c>
      <c r="Q28" s="40" t="inlineStr">
        <is>
          <t>Đạt</t>
        </is>
      </c>
      <c r="R28" s="40" t="inlineStr"/>
      <c r="S28" s="40" t="inlineStr">
        <is>
          <t>23/05/2026 17:23</t>
        </is>
      </c>
      <c r="T28" s="43" t="inlineStr">
        <is>
          <t>R1:Đạt</t>
        </is>
      </c>
      <c r="U28" s="40" t="inlineStr"/>
      <c r="V28" s="43" t="inlineStr"/>
    </row>
    <row r="29" ht="80" customHeight="1">
      <c r="A29" s="40" t="inlineStr">
        <is>
          <t>TC-026</t>
        </is>
      </c>
      <c r="B29" s="47" t="inlineStr">
        <is>
          <t>BOUNDARY</t>
        </is>
      </c>
      <c r="C29" s="45" t="inlineStr">
        <is>
          <t>P1</t>
        </is>
      </c>
      <c r="D29" s="43" t="inlineStr">
        <is>
          <t>Create</t>
        </is>
      </c>
      <c r="E29" s="43" t="inlineStr">
        <is>
          <t>name = 1 ký tự (min boundary)</t>
        </is>
      </c>
      <c r="F29" s="40" t="inlineStr">
        <is>
          <t>REQ-CASE-CR-VAL-NAME-MIN</t>
        </is>
      </c>
      <c r="G29" s="40" t="inlineStr">
        <is>
          <t>BVA — min</t>
        </is>
      </c>
      <c r="H29" s="40" t="inlineStr">
        <is>
          <t>Thấp</t>
        </is>
      </c>
      <c r="I29" s="43" t="inlineStr">
        <is>
          <t>User login</t>
        </is>
      </c>
      <c r="J29" s="43" t="inlineStr">
        <is>
          <t>POST /cases name='A', caseProvenance='DIRECT_DISCOVERY'</t>
        </is>
      </c>
      <c r="K29" s="43" t="inlineStr">
        <is>
          <t>name='A'</t>
        </is>
      </c>
      <c r="L29" s="43" t="inlineStr">
        <is>
          <t>Tạo thành công (DTO không có @MinLength)</t>
        </is>
      </c>
      <c r="M29" s="43" t="inlineStr">
        <is>
          <t>201 (kỳ vọng pass — chỉ @MaxLength(500))</t>
        </is>
      </c>
      <c r="N29" s="43" t="inlineStr">
        <is>
          <t>Insert thành công</t>
        </is>
      </c>
      <c r="O29" s="40" t="inlineStr">
        <is>
          <t>Low</t>
        </is>
      </c>
      <c r="P29" s="43" t="inlineStr">
        <is>
          <t>Đạt như expected. Thời gian: 0ms</t>
        </is>
      </c>
      <c r="Q29" s="40" t="inlineStr">
        <is>
          <t>Đạt</t>
        </is>
      </c>
      <c r="R29" s="40" t="inlineStr"/>
      <c r="S29" s="40" t="inlineStr">
        <is>
          <t>23/05/2026 17:23</t>
        </is>
      </c>
      <c r="T29" s="43" t="inlineStr">
        <is>
          <t>R1:Đạt</t>
        </is>
      </c>
      <c r="U29" s="40" t="inlineStr"/>
      <c r="V29" s="43" t="inlineStr">
        <is>
          <t>Nếu spec yêu cầu min ≥3 char thì raise defect</t>
        </is>
      </c>
    </row>
    <row r="30" ht="80" customHeight="1">
      <c r="A30" s="40" t="inlineStr">
        <is>
          <t>TC-027</t>
        </is>
      </c>
      <c r="B30" s="47" t="inlineStr">
        <is>
          <t>BOUNDARY</t>
        </is>
      </c>
      <c r="C30" s="45" t="inlineStr">
        <is>
          <t>P1</t>
        </is>
      </c>
      <c r="D30" s="43" t="inlineStr">
        <is>
          <t>Create</t>
        </is>
      </c>
      <c r="E30" s="43" t="inlineStr">
        <is>
          <t>name = 500 chars (max boundary)</t>
        </is>
      </c>
      <c r="F30" s="40" t="inlineStr">
        <is>
          <t>REQ-CASE-CR-VAL-NAME-MAX</t>
        </is>
      </c>
      <c r="G30" s="40" t="inlineStr">
        <is>
          <t>BVA — max</t>
        </is>
      </c>
      <c r="H30" s="40" t="inlineStr">
        <is>
          <t>TB</t>
        </is>
      </c>
      <c r="I30" s="43" t="inlineStr">
        <is>
          <t>User login</t>
        </is>
      </c>
      <c r="J30" s="43" t="inlineStr">
        <is>
          <t>POST /cases name=&lt;chuỗi 500 ký tự 'A...A'&gt;, caseProvenance='DIRECT_DISCOVERY'</t>
        </is>
      </c>
      <c r="K30" s="43" t="inlineStr">
        <is>
          <t>name='A' × 500</t>
        </is>
      </c>
      <c r="L30" s="43" t="inlineStr">
        <is>
          <t>Toast success</t>
        </is>
      </c>
      <c r="M30" s="43" t="inlineStr">
        <is>
          <t>201</t>
        </is>
      </c>
      <c r="N30" s="43" t="inlineStr">
        <is>
          <t>Insert thành công, DB column name = 500 chars</t>
        </is>
      </c>
      <c r="O30" s="40" t="inlineStr">
        <is>
          <t>Medium</t>
        </is>
      </c>
      <c r="P30" s="43" t="inlineStr">
        <is>
          <t>Đạt như expected. Thời gian: 0ms</t>
        </is>
      </c>
      <c r="Q30" s="40" t="inlineStr">
        <is>
          <t>Đạt</t>
        </is>
      </c>
      <c r="R30" s="40" t="inlineStr"/>
      <c r="S30" s="40" t="inlineStr">
        <is>
          <t>23/05/2026 17:23</t>
        </is>
      </c>
      <c r="T30" s="43" t="inlineStr">
        <is>
          <t>R1:Đạt</t>
        </is>
      </c>
      <c r="U30" s="40" t="inlineStr"/>
      <c r="V30" s="43" t="inlineStr"/>
    </row>
    <row r="31" ht="80" customHeight="1">
      <c r="A31" s="40" t="inlineStr">
        <is>
          <t>TC-028</t>
        </is>
      </c>
      <c r="B31" s="47" t="inlineStr">
        <is>
          <t>BOUNDARY</t>
        </is>
      </c>
      <c r="C31" s="45" t="inlineStr">
        <is>
          <t>P1</t>
        </is>
      </c>
      <c r="D31" s="43" t="inlineStr">
        <is>
          <t>Create</t>
        </is>
      </c>
      <c r="E31" s="43" t="inlineStr">
        <is>
          <t>name = 501 chars (max+1) → 400</t>
        </is>
      </c>
      <c r="F31" s="40" t="inlineStr">
        <is>
          <t>REQ-CASE-CR-VAL-NAME-MAX-PLUS</t>
        </is>
      </c>
      <c r="G31" s="40" t="inlineStr">
        <is>
          <t>BVA — max+1</t>
        </is>
      </c>
      <c r="H31" s="40" t="inlineStr">
        <is>
          <t>TB</t>
        </is>
      </c>
      <c r="I31" s="43" t="inlineStr">
        <is>
          <t>User login</t>
        </is>
      </c>
      <c r="J31" s="43" t="inlineStr">
        <is>
          <t>POST /cases name=&lt;501 ký tự&gt;</t>
        </is>
      </c>
      <c r="K31" s="43" t="inlineStr">
        <is>
          <t>name='A' × 501</t>
        </is>
      </c>
      <c r="L31" s="43" t="inlineStr">
        <is>
          <t>Field name viền đỏ + error 'Không quá 500 ký tự'</t>
        </is>
      </c>
      <c r="M31" s="43" t="inlineStr">
        <is>
          <t>1. 400
2. Message vi phạm @MaxLength(500)</t>
        </is>
      </c>
      <c r="N31" s="43" t="inlineStr">
        <is>
          <t>Không insert</t>
        </is>
      </c>
      <c r="O31" s="40" t="inlineStr">
        <is>
          <t>Medium</t>
        </is>
      </c>
      <c r="P31" s="43" t="inlineStr">
        <is>
          <t>Đạt như expected. Thời gian: 0ms</t>
        </is>
      </c>
      <c r="Q31" s="40" t="inlineStr">
        <is>
          <t>Đạt</t>
        </is>
      </c>
      <c r="R31" s="40" t="inlineStr"/>
      <c r="S31" s="40" t="inlineStr">
        <is>
          <t>23/05/2026 17:23</t>
        </is>
      </c>
      <c r="T31" s="43" t="inlineStr">
        <is>
          <t>R1:Đạt</t>
        </is>
      </c>
      <c r="U31" s="40" t="inlineStr"/>
      <c r="V31" s="43" t="inlineStr"/>
    </row>
    <row r="32" ht="80" customHeight="1">
      <c r="A32" s="40" t="inlineStr">
        <is>
          <t>TC-029</t>
        </is>
      </c>
      <c r="B32" s="47" t="inlineStr">
        <is>
          <t>BOUNDARY</t>
        </is>
      </c>
      <c r="C32" s="45" t="inlineStr">
        <is>
          <t>P1</t>
        </is>
      </c>
      <c r="D32" s="43" t="inlineStr">
        <is>
          <t>Delete</t>
        </is>
      </c>
      <c r="E32" s="43" t="inlineStr">
        <is>
          <t>reason = 10 chars (min boundary)</t>
        </is>
      </c>
      <c r="F32" s="40" t="inlineStr">
        <is>
          <t>REQ-CASE-DEL-VAL-MIN</t>
        </is>
      </c>
      <c r="G32" s="40" t="inlineStr">
        <is>
          <t>BVA — min</t>
        </is>
      </c>
      <c r="H32" s="40" t="inlineStr">
        <is>
          <t>TB</t>
        </is>
      </c>
      <c r="I32" s="43" t="inlineStr">
        <is>
          <t>Case TIEP_NHAN</t>
        </is>
      </c>
      <c r="J32" s="43" t="inlineStr">
        <is>
          <t>DELETE /cases/:id reason='Trùng lặp1' (đúng 10 chars)</t>
        </is>
      </c>
      <c r="K32" s="43" t="inlineStr">
        <is>
          <t>reason='Trùng lặp1' (10 chars)</t>
        </is>
      </c>
      <c r="L32" s="43" t="inlineStr">
        <is>
          <t>Toast success</t>
        </is>
      </c>
      <c r="M32" s="43" t="inlineStr">
        <is>
          <t>200</t>
        </is>
      </c>
      <c r="N32" s="43" t="inlineStr">
        <is>
          <t>Soft deleted + audit</t>
        </is>
      </c>
      <c r="O32" s="40" t="inlineStr">
        <is>
          <t>Medium</t>
        </is>
      </c>
      <c r="P32" s="43" t="inlineStr">
        <is>
          <t>Đạt như expected. Thời gian: 0ms</t>
        </is>
      </c>
      <c r="Q32" s="40" t="inlineStr">
        <is>
          <t>Đạt</t>
        </is>
      </c>
      <c r="R32" s="40" t="inlineStr"/>
      <c r="S32" s="40" t="inlineStr">
        <is>
          <t>23/05/2026 17:23</t>
        </is>
      </c>
      <c r="T32" s="43" t="inlineStr">
        <is>
          <t>R1:Đạt</t>
        </is>
      </c>
      <c r="U32" s="40" t="inlineStr"/>
      <c r="V32" s="43" t="inlineStr"/>
    </row>
    <row r="33" ht="80" customHeight="1">
      <c r="A33" s="40" t="inlineStr">
        <is>
          <t>TC-030</t>
        </is>
      </c>
      <c r="B33" s="47" t="inlineStr">
        <is>
          <t>BOUNDARY</t>
        </is>
      </c>
      <c r="C33" s="45" t="inlineStr">
        <is>
          <t>P1</t>
        </is>
      </c>
      <c r="D33" s="43" t="inlineStr">
        <is>
          <t>Delete</t>
        </is>
      </c>
      <c r="E33" s="43" t="inlineStr">
        <is>
          <t>reason = 500 chars (max boundary)</t>
        </is>
      </c>
      <c r="F33" s="40" t="inlineStr">
        <is>
          <t>REQ-CASE-DEL-VAL-MAX</t>
        </is>
      </c>
      <c r="G33" s="40" t="inlineStr">
        <is>
          <t>BVA — max</t>
        </is>
      </c>
      <c r="H33" s="40" t="inlineStr">
        <is>
          <t>TB</t>
        </is>
      </c>
      <c r="I33" s="43" t="inlineStr">
        <is>
          <t>Case TIEP_NHAN</t>
        </is>
      </c>
      <c r="J33" s="43" t="inlineStr">
        <is>
          <t>DELETE /cases/:id reason=&lt;500 ký tự&gt;</t>
        </is>
      </c>
      <c r="K33" s="43" t="inlineStr">
        <is>
          <t>reason='A' × 500</t>
        </is>
      </c>
      <c r="L33" s="43" t="inlineStr">
        <is>
          <t>Success</t>
        </is>
      </c>
      <c r="M33" s="43" t="inlineStr">
        <is>
          <t>200</t>
        </is>
      </c>
      <c r="N33" s="43" t="inlineStr">
        <is>
          <t>Audit reason = 500 chars</t>
        </is>
      </c>
      <c r="O33" s="40" t="inlineStr">
        <is>
          <t>Medium</t>
        </is>
      </c>
      <c r="P33" s="43" t="inlineStr">
        <is>
          <t>Đạt như expected. Thời gian: 0ms</t>
        </is>
      </c>
      <c r="Q33" s="40" t="inlineStr">
        <is>
          <t>Đạt</t>
        </is>
      </c>
      <c r="R33" s="40" t="inlineStr"/>
      <c r="S33" s="40" t="inlineStr">
        <is>
          <t>23/05/2026 17:23</t>
        </is>
      </c>
      <c r="T33" s="43" t="inlineStr">
        <is>
          <t>R1:Đạt</t>
        </is>
      </c>
      <c r="U33" s="40" t="inlineStr"/>
      <c r="V33" s="43" t="inlineStr"/>
    </row>
    <row r="34" ht="80" customHeight="1">
      <c r="A34" s="40" t="inlineStr">
        <is>
          <t>TC-031</t>
        </is>
      </c>
      <c r="B34" s="47" t="inlineStr">
        <is>
          <t>BOUNDARY</t>
        </is>
      </c>
      <c r="C34" s="45" t="inlineStr">
        <is>
          <t>P1</t>
        </is>
      </c>
      <c r="D34" s="43" t="inlineStr">
        <is>
          <t>Delete</t>
        </is>
      </c>
      <c r="E34" s="43" t="inlineStr">
        <is>
          <t>reason = 9 chars (min-1) → reject</t>
        </is>
      </c>
      <c r="F34" s="40" t="inlineStr">
        <is>
          <t>REQ-CASE-DEL-VAL-MIN-MINUS</t>
        </is>
      </c>
      <c r="G34" s="40" t="inlineStr">
        <is>
          <t>BVA — min-1</t>
        </is>
      </c>
      <c r="H34" s="40" t="inlineStr">
        <is>
          <t>TB</t>
        </is>
      </c>
      <c r="I34" s="43" t="inlineStr">
        <is>
          <t>Case TIEP_NHAN</t>
        </is>
      </c>
      <c r="J34" s="43" t="inlineStr">
        <is>
          <t>DELETE /cases/:id reason='Trùng lặp' (9 chars)</t>
        </is>
      </c>
      <c r="K34" s="43" t="inlineStr">
        <is>
          <t>reason='Trùng lặp' (9 chars)</t>
        </is>
      </c>
      <c r="L34" s="43" t="inlineStr">
        <is>
          <t>Validation đỏ</t>
        </is>
      </c>
      <c r="M34" s="43" t="inlineStr">
        <is>
          <t>400 + message MinLength</t>
        </is>
      </c>
      <c r="N34" s="43" t="inlineStr">
        <is>
          <t>Không delete</t>
        </is>
      </c>
      <c r="O34" s="40" t="inlineStr">
        <is>
          <t>Medium</t>
        </is>
      </c>
      <c r="P34" s="43" t="inlineStr">
        <is>
          <t>Đạt như expected. Thời gian: 0ms</t>
        </is>
      </c>
      <c r="Q34" s="40" t="inlineStr">
        <is>
          <t>Đạt</t>
        </is>
      </c>
      <c r="R34" s="40" t="inlineStr"/>
      <c r="S34" s="40" t="inlineStr">
        <is>
          <t>23/05/2026 17:23</t>
        </is>
      </c>
      <c r="T34" s="43" t="inlineStr">
        <is>
          <t>R1:Đạt</t>
        </is>
      </c>
      <c r="U34" s="40" t="inlineStr"/>
      <c r="V34" s="43" t="inlineStr"/>
    </row>
    <row r="35" ht="80" customHeight="1">
      <c r="A35" s="40" t="inlineStr">
        <is>
          <t>TC-032</t>
        </is>
      </c>
      <c r="B35" s="47" t="inlineStr">
        <is>
          <t>BOUNDARY</t>
        </is>
      </c>
      <c r="C35" s="45" t="inlineStr">
        <is>
          <t>P1</t>
        </is>
      </c>
      <c r="D35" s="43" t="inlineStr">
        <is>
          <t>Delete</t>
        </is>
      </c>
      <c r="E35" s="43" t="inlineStr">
        <is>
          <t>reason = 501 chars (max+1) → reject</t>
        </is>
      </c>
      <c r="F35" s="40" t="inlineStr">
        <is>
          <t>REQ-CASE-DEL-VAL-MAX-PLUS</t>
        </is>
      </c>
      <c r="G35" s="40" t="inlineStr">
        <is>
          <t>BVA — max+1</t>
        </is>
      </c>
      <c r="H35" s="40" t="inlineStr">
        <is>
          <t>TB</t>
        </is>
      </c>
      <c r="I35" s="43" t="inlineStr">
        <is>
          <t>Case TIEP_NHAN</t>
        </is>
      </c>
      <c r="J35" s="43" t="inlineStr">
        <is>
          <t>DELETE /cases/:id reason=&lt;501 ký tự&gt;</t>
        </is>
      </c>
      <c r="K35" s="43" t="inlineStr">
        <is>
          <t>reason='A' × 501</t>
        </is>
      </c>
      <c r="L35" s="43" t="inlineStr">
        <is>
          <t>Validation đỏ</t>
        </is>
      </c>
      <c r="M35" s="43" t="inlineStr">
        <is>
          <t>400 + MaxLength</t>
        </is>
      </c>
      <c r="N35" s="43" t="inlineStr">
        <is>
          <t>Không delete</t>
        </is>
      </c>
      <c r="O35" s="40" t="inlineStr">
        <is>
          <t>Medium</t>
        </is>
      </c>
      <c r="P35" s="43" t="inlineStr">
        <is>
          <t>Đạt như expected. Thời gian: 0ms</t>
        </is>
      </c>
      <c r="Q35" s="40" t="inlineStr">
        <is>
          <t>Đạt</t>
        </is>
      </c>
      <c r="R35" s="40" t="inlineStr"/>
      <c r="S35" s="40" t="inlineStr">
        <is>
          <t>23/05/2026 17:23</t>
        </is>
      </c>
      <c r="T35" s="43" t="inlineStr">
        <is>
          <t>R1:Đạt</t>
        </is>
      </c>
      <c r="U35" s="40" t="inlineStr"/>
      <c r="V35" s="43" t="inlineStr"/>
    </row>
    <row r="36" ht="80" customHeight="1">
      <c r="A36" s="40" t="inlineStr">
        <is>
          <t>TC-033</t>
        </is>
      </c>
      <c r="B36" s="48" t="inlineStr">
        <is>
          <t>EP</t>
        </is>
      </c>
      <c r="C36" s="46" t="inlineStr">
        <is>
          <t>P2</t>
        </is>
      </c>
      <c r="D36" s="43" t="inlineStr">
        <is>
          <t>Create</t>
        </is>
      </c>
      <c r="E36" s="43" t="inlineStr">
        <is>
          <t>capDoToiPham=IT_NGHIEM_TRONG (class 1/4)</t>
        </is>
      </c>
      <c r="F36" s="40" t="inlineStr">
        <is>
          <t>REQ-CASE-CAPDO</t>
        </is>
      </c>
      <c r="G36" s="40" t="inlineStr">
        <is>
          <t>EP — class 1</t>
        </is>
      </c>
      <c r="H36" s="40" t="inlineStr">
        <is>
          <t>Thấp</t>
        </is>
      </c>
      <c r="I36" s="43" t="inlineStr">
        <is>
          <t>User login</t>
        </is>
      </c>
      <c r="J36" s="43" t="inlineStr">
        <is>
          <t>POST /cases với capDoToiPham='IT_NGHIEM_TRONG'</t>
        </is>
      </c>
      <c r="K36" s="43" t="inlineStr">
        <is>
          <t>capDoToiPham='IT_NGHIEM_TRONG'</t>
        </is>
      </c>
      <c r="L36" s="43" t="inlineStr">
        <is>
          <t>Detail hiển thị label 'Ít nghiêm trọng' (lookup từ status-labels)</t>
        </is>
      </c>
      <c r="M36" s="43" t="inlineStr">
        <is>
          <t>201 + data.capDoToiPham='IT_NGHIEM_TRONG'</t>
        </is>
      </c>
      <c r="N36" s="43" t="inlineStr">
        <is>
          <t>DB lưu enum chuẩn; KPI-4 query đếm vào nhóm tương ứng</t>
        </is>
      </c>
      <c r="O36" s="40" t="inlineStr">
        <is>
          <t>Low</t>
        </is>
      </c>
      <c r="P36" s="43" t="inlineStr">
        <is>
          <t>Đạt như expected. Thời gian: 0ms</t>
        </is>
      </c>
      <c r="Q36" s="40" t="inlineStr">
        <is>
          <t>Đạt</t>
        </is>
      </c>
      <c r="R36" s="40" t="inlineStr"/>
      <c r="S36" s="40" t="inlineStr">
        <is>
          <t>23/05/2026 17:23</t>
        </is>
      </c>
      <c r="T36" s="43" t="inlineStr">
        <is>
          <t>R1:Đạt</t>
        </is>
      </c>
      <c r="U36" s="40" t="inlineStr"/>
      <c r="V36" s="43" t="inlineStr"/>
    </row>
    <row r="37" ht="80" customHeight="1">
      <c r="A37" s="40" t="inlineStr">
        <is>
          <t>TC-034</t>
        </is>
      </c>
      <c r="B37" s="48" t="inlineStr">
        <is>
          <t>EP</t>
        </is>
      </c>
      <c r="C37" s="46" t="inlineStr">
        <is>
          <t>P2</t>
        </is>
      </c>
      <c r="D37" s="43" t="inlineStr">
        <is>
          <t>Create</t>
        </is>
      </c>
      <c r="E37" s="43" t="inlineStr">
        <is>
          <t>capDoToiPham=DAC_BIET_NGHIEM_TRONG (class 4/4)</t>
        </is>
      </c>
      <c r="F37" s="40" t="inlineStr">
        <is>
          <t>REQ-CASE-CAPDO</t>
        </is>
      </c>
      <c r="G37" s="40" t="inlineStr">
        <is>
          <t>EP — class 4</t>
        </is>
      </c>
      <c r="H37" s="40" t="inlineStr">
        <is>
          <t>Thấp</t>
        </is>
      </c>
      <c r="I37" s="43" t="inlineStr">
        <is>
          <t>User login</t>
        </is>
      </c>
      <c r="J37" s="43" t="inlineStr">
        <is>
          <t>POST /cases với capDoToiPham='DAC_BIET_NGHIEM_TRONG'</t>
        </is>
      </c>
      <c r="K37" s="43" t="inlineStr">
        <is>
          <t>capDoToiPham='DAC_BIET_NGHIEM_TRONG'</t>
        </is>
      </c>
      <c r="L37" s="43" t="inlineStr">
        <is>
          <t>Detail hiển thị 'Đặc biệt nghiêm trọng' với badge màu đỏ</t>
        </is>
      </c>
      <c r="M37" s="43" t="inlineStr">
        <is>
          <t>201</t>
        </is>
      </c>
      <c r="N37" s="43" t="inlineStr">
        <is>
          <t>KPI-4 đếm vào nhóm 'án NT/ĐBNT' (KPI ≥ 95%)</t>
        </is>
      </c>
      <c r="O37" s="40" t="inlineStr">
        <is>
          <t>Low</t>
        </is>
      </c>
      <c r="P37" s="43" t="inlineStr">
        <is>
          <t>Đạt như expected. Thời gian: 0ms</t>
        </is>
      </c>
      <c r="Q37" s="40" t="inlineStr">
        <is>
          <t>Đạt</t>
        </is>
      </c>
      <c r="R37" s="40" t="inlineStr"/>
      <c r="S37" s="40" t="inlineStr">
        <is>
          <t>23/05/2026 17:23</t>
        </is>
      </c>
      <c r="T37" s="43" t="inlineStr">
        <is>
          <t>R1:Đạt</t>
        </is>
      </c>
      <c r="U37" s="40" t="inlineStr"/>
      <c r="V37" s="43" t="inlineStr"/>
    </row>
    <row r="38" ht="80" customHeight="1">
      <c r="A38" s="40" t="inlineStr">
        <is>
          <t>TC-035</t>
        </is>
      </c>
      <c r="B38" s="48" t="inlineStr">
        <is>
          <t>EP</t>
        </is>
      </c>
      <c r="C38" s="45" t="inlineStr">
        <is>
          <t>P1</t>
        </is>
      </c>
      <c r="D38" s="43" t="inlineStr">
        <is>
          <t>List</t>
        </is>
      </c>
      <c r="E38" s="43" t="inlineStr">
        <is>
          <t>Filter overdue=true loại trừ DA_KET_LUAN, DA_LUU_TRU, DINH_CHI</t>
        </is>
      </c>
      <c r="F38" s="40" t="inlineStr">
        <is>
          <t>REQ-CASE-LIST-OVERDUE</t>
        </is>
      </c>
      <c r="G38" s="40" t="inlineStr">
        <is>
          <t>EP — partition logic</t>
        </is>
      </c>
      <c r="H38" s="40" t="inlineStr">
        <is>
          <t>Cao</t>
        </is>
      </c>
      <c r="I38" s="43" t="inlineStr">
        <is>
          <t>DB có 5 case: 2 status=DANG_DIEU_TRA deadline quá hạn, 1 DA_KET_LUAN deadline quá hạn, 1 DA_LUU_TRU quá hạn, 1 DINH_CHI quá hạn</t>
        </is>
      </c>
      <c r="J38" s="43" t="inlineStr">
        <is>
          <t>GET /cases?overdue=true</t>
        </is>
      </c>
      <c r="K38" s="43" t="inlineStr">
        <is>
          <t>overdue=true</t>
        </is>
      </c>
      <c r="L38" s="43" t="inlineStr">
        <is>
          <t>Danh sách chỉ hiển thị 2 case (loại trừ DA_KET_LUAN/DA_LUU_TRU/DINH_CHI)</t>
        </is>
      </c>
      <c r="M38" s="43" t="inlineStr">
        <is>
          <t>1. 200
2. data.length = 2
3. total = 2</t>
        </is>
      </c>
      <c r="N38" s="43" t="inlineStr">
        <is>
          <t>Không side effect</t>
        </is>
      </c>
      <c r="O38" s="40" t="inlineStr">
        <is>
          <t>High</t>
        </is>
      </c>
      <c r="P38" s="43" t="inlineStr">
        <is>
          <t>Đạt như expected. Thời gian: 0ms</t>
        </is>
      </c>
      <c r="Q38" s="40" t="inlineStr">
        <is>
          <t>Đạt</t>
        </is>
      </c>
      <c r="R38" s="40" t="inlineStr"/>
      <c r="S38" s="40" t="inlineStr">
        <is>
          <t>23/05/2026 17:23</t>
        </is>
      </c>
      <c r="T38" s="43" t="inlineStr">
        <is>
          <t>R1:Đạt</t>
        </is>
      </c>
      <c r="U38" s="40" t="inlineStr"/>
      <c r="V38" s="43" t="inlineStr">
        <is>
          <t>Logic trong cases.service.ts:98-103</t>
        </is>
      </c>
    </row>
    <row r="39" ht="80" customHeight="1">
      <c r="A39" s="40" t="inlineStr">
        <is>
          <t>TC-036</t>
        </is>
      </c>
      <c r="B39" s="49" t="inlineStr">
        <is>
          <t>STATE</t>
        </is>
      </c>
      <c r="C39" s="42" t="inlineStr">
        <is>
          <t>P0</t>
        </is>
      </c>
      <c r="D39" s="43" t="inlineStr">
        <is>
          <t>Update</t>
        </is>
      </c>
      <c r="E39" s="43" t="inlineStr">
        <is>
          <t>TIEP_NHAN → DANG_XAC_MINH ghi CaseStatusHistory</t>
        </is>
      </c>
      <c r="F39" s="40" t="inlineStr">
        <is>
          <t>REQ-CASE-STATE-01</t>
        </is>
      </c>
      <c r="G39" s="40" t="inlineStr">
        <is>
          <t>State Transition</t>
        </is>
      </c>
      <c r="H39" s="40" t="inlineStr">
        <is>
          <t>Cao</t>
        </is>
      </c>
      <c r="I39" s="43" t="inlineStr">
        <is>
          <t>Case CASE-T01 status=TIEP_NHAN, statusHistory rỗng</t>
        </is>
      </c>
      <c r="J39" s="43" t="inlineStr">
        <is>
          <t>PUT /cases/CASE-T01 {status:'DANG_XAC_MINH', expectedUpdatedAt}</t>
        </is>
      </c>
      <c r="K39" s="43" t="inlineStr">
        <is>
          <t>fromStatus='TIEP_NHAN', toStatus='DANG_XAC_MINH'</t>
        </is>
      </c>
      <c r="L39" s="43" t="inlineStr">
        <is>
          <t>Detail hiển thị status badge mới + tab 'Lịch sử' có 1 dòng mới</t>
        </is>
      </c>
      <c r="M39" s="43" t="inlineStr">
        <is>
          <t>1. 200
2. data.status='DANG_XAC_MINH'
3. GET /cases/CASE-T01/status-history trả 1 record {fromStatus:'TIEP_NHAN', toStatus:'DANG_XAC_MINH', changedById, createdAt}</t>
        </is>
      </c>
      <c r="N39" s="43" t="inlineStr">
        <is>
          <t>1. DB cases.status='DANG_XAC_MINH'
2. case_status_history có 1 row mới
3. Audit CASE_STATUS_CHANGED</t>
        </is>
      </c>
      <c r="O39" s="40" t="inlineStr">
        <is>
          <t>Critical</t>
        </is>
      </c>
      <c r="P39" s="43" t="inlineStr">
        <is>
          <t>Đạt như expected. Thời gian: 0ms</t>
        </is>
      </c>
      <c r="Q39" s="40" t="inlineStr">
        <is>
          <t>Đạt</t>
        </is>
      </c>
      <c r="R39" s="40" t="inlineStr"/>
      <c r="S39" s="40" t="inlineStr">
        <is>
          <t>23/05/2026 17:23</t>
        </is>
      </c>
      <c r="T39" s="43" t="inlineStr">
        <is>
          <t>R1:Đạt</t>
        </is>
      </c>
      <c r="U39" s="40" t="inlineStr"/>
      <c r="V39" s="43" t="inlineStr"/>
    </row>
    <row r="40" ht="80" customHeight="1">
      <c r="A40" s="40" t="inlineStr">
        <is>
          <t>TC-037</t>
        </is>
      </c>
      <c r="B40" s="49" t="inlineStr">
        <is>
          <t>STATE</t>
        </is>
      </c>
      <c r="C40" s="42" t="inlineStr">
        <is>
          <t>P0</t>
        </is>
      </c>
      <c r="D40" s="43" t="inlineStr">
        <is>
          <t>Update</t>
        </is>
      </c>
      <c r="E40" s="43" t="inlineStr">
        <is>
          <t>DANG_DIEU_TRA → TAM_DINH_CHI auto-set ngayTamDinhChi + soLanTamDinhChi += 1</t>
        </is>
      </c>
      <c r="F40" s="40" t="inlineStr">
        <is>
          <t>REQ-CASE-STATE-TDC</t>
        </is>
      </c>
      <c r="G40" s="40" t="inlineStr">
        <is>
          <t>State Transition + Side effect</t>
        </is>
      </c>
      <c r="H40" s="40" t="inlineStr">
        <is>
          <t>Cao</t>
        </is>
      </c>
      <c r="I40" s="43" t="inlineStr">
        <is>
          <t>Case CASE-T02 status=DANG_DIEU_TRA, soLanTamDinhChi=0, ngayTamDinhChi=NULL</t>
        </is>
      </c>
      <c r="J40" s="43" t="inlineStr">
        <is>
          <t>PUT /cases/CASE-T02 {status:'TAM_DINH_CHI', lyDoTamDinhChiVuAn:'CHUA_XAC_DINH_BI_CAN', soQuyetDinhTamDinhChi:'QĐ-001/2026'}</t>
        </is>
      </c>
      <c r="K40" s="43" t="inlineStr">
        <is>
          <t>status='TAM_DINH_CHI', lyDoTamDinhChiVuAn='CHUA_XAC_DINH_BI_CAN'</t>
        </is>
      </c>
      <c r="L40" s="43" t="inlineStr">
        <is>
          <t>1. Status badge đổi 'Tạm đình chỉ'
2. Hiển thị section TĐC với 'Số lần TĐC: 1', 'Ngày TĐC: &lt;today&gt;', 'Lý do: Chưa xác định được bị can'</t>
        </is>
      </c>
      <c r="M40" s="43" t="inlineStr">
        <is>
          <t>1. 200
2. data: {status:'TAM_DINH_CHI', soLanTamDinhChi:1, ngayTamDinhChi:&lt;now&gt;, lyDoTamDinhChiVuAn:'CHUA_XAC_DINH_BI_CAN'}</t>
        </is>
      </c>
      <c r="N40" s="43" t="inlineStr">
        <is>
          <t>1. DB updated
2. CaseStatusHistory có row mới
3. Audit CASE_STATUS_CHANGED</t>
        </is>
      </c>
      <c r="O40" s="40" t="inlineStr">
        <is>
          <t>Critical</t>
        </is>
      </c>
      <c r="P40" s="43" t="inlineStr">
        <is>
          <t>Đạt như expected. Thời gian: 0ms</t>
        </is>
      </c>
      <c r="Q40" s="40" t="inlineStr">
        <is>
          <t>Đạt</t>
        </is>
      </c>
      <c r="R40" s="40" t="inlineStr"/>
      <c r="S40" s="40" t="inlineStr">
        <is>
          <t>23/05/2026 17:23</t>
        </is>
      </c>
      <c r="T40" s="43" t="inlineStr">
        <is>
          <t>R1:Đạt</t>
        </is>
      </c>
      <c r="U40" s="40" t="inlineStr"/>
      <c r="V40" s="43" t="inlineStr">
        <is>
          <t>Logic cases.service.ts:601-607</t>
        </is>
      </c>
    </row>
    <row r="41" ht="80" customHeight="1">
      <c r="A41" s="40" t="inlineStr">
        <is>
          <t>TC-038</t>
        </is>
      </c>
      <c r="B41" s="49" t="inlineStr">
        <is>
          <t>STATE</t>
        </is>
      </c>
      <c r="C41" s="45" t="inlineStr">
        <is>
          <t>P1</t>
        </is>
      </c>
      <c r="D41" s="43" t="inlineStr">
        <is>
          <t>Update</t>
        </is>
      </c>
      <c r="E41" s="43" t="inlineStr">
        <is>
          <t>TAM_DINH_CHI → DANG_DIEU_TRA (phục hồi) ghi ngayPhucHoi + ketQuaPhucHoiVuAn</t>
        </is>
      </c>
      <c r="F41" s="40" t="inlineStr">
        <is>
          <t>REQ-CASE-STATE-PHUC-HOI</t>
        </is>
      </c>
      <c r="G41" s="40" t="inlineStr">
        <is>
          <t>State Transition</t>
        </is>
      </c>
      <c r="H41" s="40" t="inlineStr">
        <is>
          <t>Cao</t>
        </is>
      </c>
      <c r="I41" s="43" t="inlineStr">
        <is>
          <t>Case CASE-T03 status=TAM_DINH_CHI, soLanTamDinhChi=1</t>
        </is>
      </c>
      <c r="J41" s="43" t="inlineStr">
        <is>
          <t>PUT /cases/CASE-T03 {status:'DANG_DIEU_TRA', ngayPhucHoi:'2026-05-23T00:00:00.000Z', soQuyetDinhPhucHoi:'QĐ-PH-001', ketQuaPhucHoiVuAn:'KET_LUAN_DE_NGHI_TRUY_TO'}</t>
        </is>
      </c>
      <c r="K41" s="43" t="inlineStr">
        <is>
          <t>ketQuaPhucHoiVuAn='KET_LUAN_DE_NGHI_TRUY_TO'</t>
        </is>
      </c>
      <c r="L41" s="43" t="inlineStr">
        <is>
          <t>Section phục hồi hiển thị đủ: ngày, số QĐ, kết quả</t>
        </is>
      </c>
      <c r="M41" s="43" t="inlineStr">
        <is>
          <t>200 + data có ngayPhucHoi, soQuyetDinhPhucHoi, ketQuaPhucHoiVuAn</t>
        </is>
      </c>
      <c r="N41" s="43" t="inlineStr">
        <is>
          <t>1. DB updated
2. CaseStatusHistory có row mới
3. soLanTamDinhChi giữ nguyên (KHÔNG decrement)</t>
        </is>
      </c>
      <c r="O41" s="40" t="inlineStr">
        <is>
          <t>High</t>
        </is>
      </c>
      <c r="P41" s="43" t="inlineStr">
        <is>
          <t>Đạt như expected. Thời gian: 0ms</t>
        </is>
      </c>
      <c r="Q41" s="40" t="inlineStr">
        <is>
          <t>Đạt</t>
        </is>
      </c>
      <c r="R41" s="40" t="inlineStr"/>
      <c r="S41" s="40" t="inlineStr">
        <is>
          <t>23/05/2026 17:23</t>
        </is>
      </c>
      <c r="T41" s="43" t="inlineStr">
        <is>
          <t>R1:Đạt</t>
        </is>
      </c>
      <c r="U41" s="40" t="inlineStr"/>
      <c r="V41" s="43" t="inlineStr"/>
    </row>
    <row r="42" ht="80" customHeight="1">
      <c r="A42" s="40" t="inlineStr">
        <is>
          <t>TC-039</t>
        </is>
      </c>
      <c r="B42" s="49" t="inlineStr">
        <is>
          <t>STATE</t>
        </is>
      </c>
      <c r="C42" s="45" t="inlineStr">
        <is>
          <t>P1</t>
        </is>
      </c>
      <c r="D42" s="43" t="inlineStr">
        <is>
          <t>Read</t>
        </is>
      </c>
      <c r="E42" s="43" t="inlineStr">
        <is>
          <t>GET /cases/:id/status-history trả danh sách giảm dần thời gian</t>
        </is>
      </c>
      <c r="F42" s="40" t="inlineStr">
        <is>
          <t>REQ-CASE-STATUS-HIST</t>
        </is>
      </c>
      <c r="G42" s="40" t="inlineStr">
        <is>
          <t>State sequence read</t>
        </is>
      </c>
      <c r="H42" s="40" t="inlineStr">
        <is>
          <t>TB</t>
        </is>
      </c>
      <c r="I42" s="43" t="inlineStr">
        <is>
          <t>Case có ≥3 chuyển trạng thái</t>
        </is>
      </c>
      <c r="J42" s="43" t="inlineStr">
        <is>
          <t>GET /cases/CASE-T04/status-history</t>
        </is>
      </c>
      <c r="K42" s="43" t="inlineStr">
        <is>
          <t>caseId='CASE-T04' với 3 transition: TIEP_NHAN→DANG_XAC_MINH (T1), DANG_XAC_MINH→DA_XAC_MINH (T2), DA_XAC_MINH→DANG_DIEU_TRA (T3)</t>
        </is>
      </c>
      <c r="L42" s="43" t="inlineStr">
        <is>
          <t>Tab 'Lịch sử' hiển thị 3 dòng theo thứ tự T3, T2, T1 (mới nhất ở trên)</t>
        </is>
      </c>
      <c r="M42" s="43" t="inlineStr">
        <is>
          <t>200, data sắp xếp createdAt desc</t>
        </is>
      </c>
      <c r="N42" s="43" t="inlineStr">
        <is>
          <t>Không side effect</t>
        </is>
      </c>
      <c r="O42" s="40" t="inlineStr">
        <is>
          <t>Medium</t>
        </is>
      </c>
      <c r="P42" s="43" t="inlineStr">
        <is>
          <t>Không đạt - xem HTML report</t>
        </is>
      </c>
      <c r="Q42" s="40" t="inlineStr">
        <is>
          <t>Không đạt</t>
        </is>
      </c>
      <c r="R42" s="40" t="inlineStr">
        <is>
          <t>BUG-003</t>
        </is>
      </c>
      <c r="S42" s="40" t="inlineStr">
        <is>
          <t>23/05/2026 17:23</t>
        </is>
      </c>
      <c r="T42" s="43" t="inlineStr">
        <is>
          <t>R1:Không đạt</t>
        </is>
      </c>
      <c r="U42" s="40" t="inlineStr"/>
      <c r="V42" s="43" t="inlineStr"/>
    </row>
    <row r="43" ht="80" customHeight="1">
      <c r="A43" s="40" t="inlineStr">
        <is>
          <t>TC-040</t>
        </is>
      </c>
      <c r="B43" s="49" t="inlineStr">
        <is>
          <t>STATE</t>
        </is>
      </c>
      <c r="C43" s="46" t="inlineStr">
        <is>
          <t>P2</t>
        </is>
      </c>
      <c r="D43" s="43" t="inlineStr">
        <is>
          <t>Update</t>
        </is>
      </c>
      <c r="E43" s="43" t="inlineStr">
        <is>
          <t>Idempotency: gửi cùng status hiện tại không tạo statusHistory mới</t>
        </is>
      </c>
      <c r="F43" s="40" t="inlineStr">
        <is>
          <t>REQ-CASE-STATE-IDEM</t>
        </is>
      </c>
      <c r="G43" s="40" t="inlineStr">
        <is>
          <t>Idempotency check</t>
        </is>
      </c>
      <c r="H43" s="40" t="inlineStr">
        <is>
          <t>Thấp</t>
        </is>
      </c>
      <c r="I43" s="43" t="inlineStr">
        <is>
          <t>Case CASE-T05 status=DANG_DIEU_TRA</t>
        </is>
      </c>
      <c r="J43" s="43" t="inlineStr">
        <is>
          <t>PUT /cases/CASE-T05 với {status:'DANG_DIEU_TRA'} (giống hiện tại)</t>
        </is>
      </c>
      <c r="K43" s="43" t="inlineStr">
        <is>
          <t>status='DANG_DIEU_TRA' (same as current)</t>
        </is>
      </c>
      <c r="L43" s="43" t="inlineStr">
        <is>
          <t>Toast success nhưng không có lịch sử mới</t>
        </is>
      </c>
      <c r="M43" s="43" t="inlineStr">
        <is>
          <t>200, không có statusHistory record mới</t>
        </is>
      </c>
      <c r="N43" s="43" t="inlineStr">
        <is>
          <t>Không tạo row CaseStatusHistory mới (logic if dto.status !== existing.status)</t>
        </is>
      </c>
      <c r="O43" s="40" t="inlineStr">
        <is>
          <t>Low</t>
        </is>
      </c>
      <c r="P43" s="43" t="inlineStr">
        <is>
          <t>Đạt như expected. Thời gian: 0ms</t>
        </is>
      </c>
      <c r="Q43" s="40" t="inlineStr">
        <is>
          <t>Đạt</t>
        </is>
      </c>
      <c r="R43" s="40" t="inlineStr"/>
      <c r="S43" s="40" t="inlineStr">
        <is>
          <t>23/05/2026 17:23</t>
        </is>
      </c>
      <c r="T43" s="43" t="inlineStr">
        <is>
          <t>R1:Đạt</t>
        </is>
      </c>
      <c r="U43" s="40" t="inlineStr"/>
      <c r="V43" s="43" t="inlineStr">
        <is>
          <t>Logic cases.service.ts:675</t>
        </is>
      </c>
    </row>
    <row r="44" ht="80" customHeight="1">
      <c r="A44" s="40" t="inlineStr">
        <is>
          <t>TC-041</t>
        </is>
      </c>
      <c r="B44" s="50" t="inlineStr">
        <is>
          <t>DECISION</t>
        </is>
      </c>
      <c r="C44" s="42" t="inlineStr">
        <is>
          <t>P0</t>
        </is>
      </c>
      <c r="D44" s="43" t="inlineStr">
        <is>
          <t>Read</t>
        </is>
      </c>
      <c r="E44" s="43" t="inlineStr">
        <is>
          <t>ADMIN xem toàn bộ cases không bị filter scope</t>
        </is>
      </c>
      <c r="F44" s="40" t="inlineStr">
        <is>
          <t>REQ-CASE-SCOPE-ADMIN</t>
        </is>
      </c>
      <c r="G44" s="40" t="inlineStr">
        <is>
          <t>Decision Table C1</t>
        </is>
      </c>
      <c r="H44" s="40" t="inlineStr">
        <is>
          <t>Cao</t>
        </is>
      </c>
      <c r="I44" s="43" t="inlineStr">
        <is>
          <t>Login ADMIN. DB có 50 case thuộc nhiều team khác nhau</t>
        </is>
      </c>
      <c r="J44" s="43" t="inlineStr">
        <is>
          <t>GET /cases?limit=100</t>
        </is>
      </c>
      <c r="K44" s="43" t="inlineStr">
        <is>
          <t>user.role=ADMIN, dataScope=null</t>
        </is>
      </c>
      <c r="L44" s="43" t="inlineStr">
        <is>
          <t>Bảng hiển thị toàn bộ 50 case</t>
        </is>
      </c>
      <c r="M44" s="43" t="inlineStr">
        <is>
          <t>200, total=50</t>
        </is>
      </c>
      <c r="N44" s="43" t="inlineStr">
        <is>
          <t>Không side effect</t>
        </is>
      </c>
      <c r="O44" s="40" t="inlineStr">
        <is>
          <t>Critical</t>
        </is>
      </c>
      <c r="P44" s="43" t="inlineStr">
        <is>
          <t>Đạt như expected. Thời gian: 0ms</t>
        </is>
      </c>
      <c r="Q44" s="40" t="inlineStr">
        <is>
          <t>Đạt</t>
        </is>
      </c>
      <c r="R44" s="40" t="inlineStr"/>
      <c r="S44" s="40" t="inlineStr">
        <is>
          <t>23/05/2026 17:23</t>
        </is>
      </c>
      <c r="T44" s="43" t="inlineStr">
        <is>
          <t>R1:Đạt</t>
        </is>
      </c>
      <c r="U44" s="40" t="inlineStr"/>
      <c r="V44" s="43" t="inlineStr"/>
    </row>
    <row r="45" ht="80" customHeight="1">
      <c r="A45" s="40" t="inlineStr">
        <is>
          <t>TC-042</t>
        </is>
      </c>
      <c r="B45" s="50" t="inlineStr">
        <is>
          <t>DECISION</t>
        </is>
      </c>
      <c r="C45" s="42" t="inlineStr">
        <is>
          <t>P0</t>
        </is>
      </c>
      <c r="D45" s="43" t="inlineStr">
        <is>
          <t>Read</t>
        </is>
      </c>
      <c r="E45" s="43" t="inlineStr">
        <is>
          <t>Dispatcher (canDispatch=true) xem full list</t>
        </is>
      </c>
      <c r="F45" s="40" t="inlineStr">
        <is>
          <t>REQ-CASE-SCOPE-DISPATCH</t>
        </is>
      </c>
      <c r="G45" s="40" t="inlineStr">
        <is>
          <t>Decision Table C2</t>
        </is>
      </c>
      <c r="H45" s="40" t="inlineStr">
        <is>
          <t>Cao</t>
        </is>
      </c>
      <c r="I45" s="43" t="inlineStr">
        <is>
          <t>User login với role có canDispatch=true</t>
        </is>
      </c>
      <c r="J45" s="43" t="inlineStr">
        <is>
          <t>GET /cases</t>
        </is>
      </c>
      <c r="K45" s="43" t="inlineStr">
        <is>
          <t>dataScope.canDispatch=true</t>
        </is>
      </c>
      <c r="L45" s="43" t="inlineStr">
        <is>
          <t>Hiển thị tất cả case toàn cơ quan</t>
        </is>
      </c>
      <c r="M45" s="43" t="inlineStr">
        <is>
          <t>200, không apply scopeFilter</t>
        </is>
      </c>
      <c r="N45" s="43" t="inlineStr">
        <is>
          <t>Không side effect</t>
        </is>
      </c>
      <c r="O45" s="40" t="inlineStr">
        <is>
          <t>Critical</t>
        </is>
      </c>
      <c r="P45" s="43" t="inlineStr">
        <is>
          <t>Test đã bị skip</t>
        </is>
      </c>
      <c r="Q45" s="40" t="inlineStr">
        <is>
          <t>Bỏ qua</t>
        </is>
      </c>
      <c r="R45" s="40" t="inlineStr"/>
      <c r="S45" s="40" t="inlineStr">
        <is>
          <t>23/05/2026 17:23</t>
        </is>
      </c>
      <c r="T45" s="43" t="inlineStr">
        <is>
          <t>R1:Bỏ qua</t>
        </is>
      </c>
      <c r="U45" s="40" t="inlineStr"/>
      <c r="V45" s="43" t="inlineStr">
        <is>
          <t>checkRecordInScope return early nếu canDispatch</t>
        </is>
      </c>
    </row>
    <row r="46" ht="80" customHeight="1">
      <c r="A46" s="40" t="inlineStr">
        <is>
          <t>TC-043</t>
        </is>
      </c>
      <c r="B46" s="50" t="inlineStr">
        <is>
          <t>DECISION</t>
        </is>
      </c>
      <c r="C46" s="42" t="inlineStr">
        <is>
          <t>P0</t>
        </is>
      </c>
      <c r="D46" s="43" t="inlineStr">
        <is>
          <t>Read</t>
        </is>
      </c>
      <c r="E46" s="43" t="inlineStr">
        <is>
          <t>Investigator xem được Case có investigatorId trùng</t>
        </is>
      </c>
      <c r="F46" s="40" t="inlineStr">
        <is>
          <t>REQ-CASE-SCOPE-OWNER</t>
        </is>
      </c>
      <c r="G46" s="40" t="inlineStr">
        <is>
          <t>Decision Table C3</t>
        </is>
      </c>
      <c r="H46" s="40" t="inlineStr">
        <is>
          <t>Cao</t>
        </is>
      </c>
      <c r="I46" s="43" t="inlineStr">
        <is>
          <t>User A id='userA', Case CASE-O1 investigatorId='userA', assignedTeamId='teamX' (userA không trong teamX)</t>
        </is>
      </c>
      <c r="J46" s="43" t="inlineStr">
        <is>
          <t>GET /cases/CASE-O1</t>
        </is>
      </c>
      <c r="K46" s="43" t="inlineStr">
        <is>
          <t>user.id='userA', case.investigatorId='userA'</t>
        </is>
      </c>
      <c r="L46" s="43" t="inlineStr">
        <is>
          <t>Detail hiển thị bình thường</t>
        </is>
      </c>
      <c r="M46" s="43" t="inlineStr">
        <is>
          <t>200</t>
        </is>
      </c>
      <c r="N46" s="43" t="inlineStr">
        <is>
          <t>Không</t>
        </is>
      </c>
      <c r="O46" s="40" t="inlineStr">
        <is>
          <t>Critical</t>
        </is>
      </c>
      <c r="P46" s="43" t="inlineStr">
        <is>
          <t>Test đã bị skip</t>
        </is>
      </c>
      <c r="Q46" s="40" t="inlineStr">
        <is>
          <t>Bỏ qua</t>
        </is>
      </c>
      <c r="R46" s="40" t="inlineStr"/>
      <c r="S46" s="40" t="inlineStr">
        <is>
          <t>23/05/2026 17:23</t>
        </is>
      </c>
      <c r="T46" s="43" t="inlineStr">
        <is>
          <t>R1:Bỏ qua</t>
        </is>
      </c>
      <c r="U46" s="40" t="inlineStr"/>
      <c r="V46" s="43" t="inlineStr">
        <is>
          <t>ownerMatch logic</t>
        </is>
      </c>
    </row>
    <row r="47" ht="80" customHeight="1">
      <c r="A47" s="40" t="inlineStr">
        <is>
          <t>TC-044</t>
        </is>
      </c>
      <c r="B47" s="50" t="inlineStr">
        <is>
          <t>DECISION</t>
        </is>
      </c>
      <c r="C47" s="42" t="inlineStr">
        <is>
          <t>P0</t>
        </is>
      </c>
      <c r="D47" s="43" t="inlineStr">
        <is>
          <t>Read</t>
        </is>
      </c>
      <c r="E47" s="43" t="inlineStr">
        <is>
          <t>User cùng team xem được Case của team mình</t>
        </is>
      </c>
      <c r="F47" s="40" t="inlineStr">
        <is>
          <t>REQ-CASE-SCOPE-TEAM</t>
        </is>
      </c>
      <c r="G47" s="40" t="inlineStr">
        <is>
          <t>Decision Table C4</t>
        </is>
      </c>
      <c r="H47" s="40" t="inlineStr">
        <is>
          <t>Cao</t>
        </is>
      </c>
      <c r="I47" s="43" t="inlineStr">
        <is>
          <t>User B trong team T1; Case CASE-O2 assignedTeamId='T1', investigatorId='userOther'</t>
        </is>
      </c>
      <c r="J47" s="43" t="inlineStr">
        <is>
          <t>GET /cases/CASE-O2</t>
        </is>
      </c>
      <c r="K47" s="43" t="inlineStr">
        <is>
          <t>user.teams=['T1'], case.assignedTeamId='T1'</t>
        </is>
      </c>
      <c r="L47" s="43" t="inlineStr">
        <is>
          <t>Detail hiển thị</t>
        </is>
      </c>
      <c r="M47" s="43" t="inlineStr">
        <is>
          <t>200</t>
        </is>
      </c>
      <c r="N47" s="43" t="inlineStr">
        <is>
          <t>Không</t>
        </is>
      </c>
      <c r="O47" s="40" t="inlineStr">
        <is>
          <t>Critical</t>
        </is>
      </c>
      <c r="P47" s="43" t="inlineStr">
        <is>
          <t>Test đã bị skip</t>
        </is>
      </c>
      <c r="Q47" s="40" t="inlineStr">
        <is>
          <t>Bỏ qua</t>
        </is>
      </c>
      <c r="R47" s="40" t="inlineStr"/>
      <c r="S47" s="40" t="inlineStr">
        <is>
          <t>23/05/2026 17:23</t>
        </is>
      </c>
      <c r="T47" s="43" t="inlineStr">
        <is>
          <t>R1:Bỏ qua</t>
        </is>
      </c>
      <c r="U47" s="40" t="inlineStr"/>
      <c r="V47" s="43" t="inlineStr">
        <is>
          <t>teamMatch logic</t>
        </is>
      </c>
    </row>
    <row r="48" ht="80" customHeight="1">
      <c r="A48" s="40" t="inlineStr">
        <is>
          <t>TC-045</t>
        </is>
      </c>
      <c r="B48" s="50" t="inlineStr">
        <is>
          <t>DECISION</t>
        </is>
      </c>
      <c r="C48" s="42" t="inlineStr">
        <is>
          <t>P0</t>
        </is>
      </c>
      <c r="D48" s="43" t="inlineStr">
        <is>
          <t>Read</t>
        </is>
      </c>
      <c r="E48" s="43" t="inlineStr">
        <is>
          <t>User khác team + khác owner → 403</t>
        </is>
      </c>
      <c r="F48" s="40" t="inlineStr">
        <is>
          <t>REQ-CASE-SCOPE-DENY</t>
        </is>
      </c>
      <c r="G48" s="40" t="inlineStr">
        <is>
          <t>Decision Table C5</t>
        </is>
      </c>
      <c r="H48" s="40" t="inlineStr">
        <is>
          <t>Cao</t>
        </is>
      </c>
      <c r="I48" s="43" t="inlineStr">
        <is>
          <t>User C team='T2'; Case CASE-O3 assignedTeamId='T1', investigatorId='userOther'</t>
        </is>
      </c>
      <c r="J48" s="43" t="inlineStr">
        <is>
          <t>GET /cases/CASE-O3</t>
        </is>
      </c>
      <c r="K48" s="43" t="inlineStr">
        <is>
          <t>user.teams=['T2'], case.assignedTeamId='T1', investigatorId≠userC</t>
        </is>
      </c>
      <c r="L48" s="43" t="inlineStr">
        <is>
          <t>Trang hiển thị 'Bạn không có quyền truy cập bản ghi này' hoặc redirect /403</t>
        </is>
      </c>
      <c r="M48" s="43" t="inlineStr">
        <is>
          <t>1. 403 Forbidden
2. Message: 'Bạn không có quyền truy cập bản ghi này'</t>
        </is>
      </c>
      <c r="N48" s="43" t="inlineStr">
        <is>
          <t>Audit ACCESS_DENIED log nếu có</t>
        </is>
      </c>
      <c r="O48" s="40" t="inlineStr">
        <is>
          <t>Critical</t>
        </is>
      </c>
      <c r="P48" s="43" t="inlineStr">
        <is>
          <t>Test đã bị skip</t>
        </is>
      </c>
      <c r="Q48" s="40" t="inlineStr">
        <is>
          <t>Bỏ qua</t>
        </is>
      </c>
      <c r="R48" s="40" t="inlineStr"/>
      <c r="S48" s="40" t="inlineStr">
        <is>
          <t>23/05/2026 17:23</t>
        </is>
      </c>
      <c r="T48" s="43" t="inlineStr">
        <is>
          <t>R1:Bỏ qua</t>
        </is>
      </c>
      <c r="U48" s="40" t="inlineStr"/>
      <c r="V48" s="43" t="inlineStr">
        <is>
          <t>Security boundary — IDOR vertical/horizontal</t>
        </is>
      </c>
    </row>
    <row r="49" ht="80" customHeight="1">
      <c r="A49" s="40" t="inlineStr">
        <is>
          <t>TC-046</t>
        </is>
      </c>
      <c r="B49" s="51" t="inlineStr">
        <is>
          <t>SECURITY</t>
        </is>
      </c>
      <c r="C49" s="42" t="inlineStr">
        <is>
          <t>P0</t>
        </is>
      </c>
      <c r="D49" s="43" t="inlineStr">
        <is>
          <t>AuthN</t>
        </is>
      </c>
      <c r="E49" s="43" t="inlineStr">
        <is>
          <t>Gọi API không kèm JWT → 401</t>
        </is>
      </c>
      <c r="F49" s="40" t="inlineStr">
        <is>
          <t>REQ-CASE-AUTHN-01</t>
        </is>
      </c>
      <c r="G49" s="40" t="inlineStr">
        <is>
          <t>Security — auth check</t>
        </is>
      </c>
      <c r="H49" s="40" t="inlineStr">
        <is>
          <t>Cao</t>
        </is>
      </c>
      <c r="I49" s="43" t="inlineStr">
        <is>
          <t>Không có token</t>
        </is>
      </c>
      <c r="J49" s="43" t="inlineStr">
        <is>
          <t>curl GET /api/v1/cases (không header Authorization)</t>
        </is>
      </c>
      <c r="K49" s="43" t="inlineStr">
        <is>
          <t>headers: {} (no Authorization)</t>
        </is>
      </c>
      <c r="L49" s="43" t="inlineStr">
        <is>
          <t>Redirect /login</t>
        </is>
      </c>
      <c r="M49" s="43" t="inlineStr">
        <is>
          <t>1. 401 Unauthorized
2. Message kiểu 'Unauthorized'</t>
        </is>
      </c>
      <c r="N49" s="43" t="inlineStr">
        <is>
          <t>Không audit (không truy cập được)</t>
        </is>
      </c>
      <c r="O49" s="40" t="inlineStr">
        <is>
          <t>Critical</t>
        </is>
      </c>
      <c r="P49" s="43" t="inlineStr">
        <is>
          <t>Đạt như expected. Thời gian: 0ms</t>
        </is>
      </c>
      <c r="Q49" s="40" t="inlineStr">
        <is>
          <t>Đạt</t>
        </is>
      </c>
      <c r="R49" s="40" t="inlineStr"/>
      <c r="S49" s="40" t="inlineStr">
        <is>
          <t>23/05/2026 17:23</t>
        </is>
      </c>
      <c r="T49" s="43" t="inlineStr">
        <is>
          <t>R1:Đạt</t>
        </is>
      </c>
      <c r="U49" s="40" t="inlineStr"/>
      <c r="V49" s="43" t="inlineStr">
        <is>
          <t>JwtAuthGuard</t>
        </is>
      </c>
    </row>
    <row r="50" ht="80" customHeight="1">
      <c r="A50" s="40" t="inlineStr">
        <is>
          <t>TC-047</t>
        </is>
      </c>
      <c r="B50" s="51" t="inlineStr">
        <is>
          <t>SECURITY</t>
        </is>
      </c>
      <c r="C50" s="42" t="inlineStr">
        <is>
          <t>P0</t>
        </is>
      </c>
      <c r="D50" s="43" t="inlineStr">
        <is>
          <t>AuthN</t>
        </is>
      </c>
      <c r="E50" s="43" t="inlineStr">
        <is>
          <t>JWT đã hết hạn → 401</t>
        </is>
      </c>
      <c r="F50" s="40" t="inlineStr">
        <is>
          <t>REQ-CASE-AUTHN-02</t>
        </is>
      </c>
      <c r="G50" s="40" t="inlineStr">
        <is>
          <t>Security — token expired</t>
        </is>
      </c>
      <c r="H50" s="40" t="inlineStr">
        <is>
          <t>Cao</t>
        </is>
      </c>
      <c r="I50" s="43" t="inlineStr">
        <is>
          <t>Có token đã hết exp</t>
        </is>
      </c>
      <c r="J50" s="43" t="inlineStr">
        <is>
          <t>GET /cases với Authorization: Bearer &lt;expired-token&gt;</t>
        </is>
      </c>
      <c r="K50" s="43" t="inlineStr">
        <is>
          <t>Authorization: Bearer &lt;jwt với exp &lt; now&gt;</t>
        </is>
      </c>
      <c r="L50" s="43" t="inlineStr">
        <is>
          <t>Redirect /login + toast 'Phiên đăng nhập hết hạn'</t>
        </is>
      </c>
      <c r="M50" s="43" t="inlineStr">
        <is>
          <t>401 + message expired</t>
        </is>
      </c>
      <c r="N50" s="43" t="inlineStr">
        <is>
          <t>Không</t>
        </is>
      </c>
      <c r="O50" s="40" t="inlineStr">
        <is>
          <t>Critical</t>
        </is>
      </c>
      <c r="P50" s="43" t="inlineStr">
        <is>
          <t>Đạt như expected. Thời gian: 0ms</t>
        </is>
      </c>
      <c r="Q50" s="40" t="inlineStr">
        <is>
          <t>Đạt</t>
        </is>
      </c>
      <c r="R50" s="40" t="inlineStr"/>
      <c r="S50" s="40" t="inlineStr">
        <is>
          <t>23/05/2026 17:23</t>
        </is>
      </c>
      <c r="T50" s="43" t="inlineStr">
        <is>
          <t>R1:Đạt</t>
        </is>
      </c>
      <c r="U50" s="40" t="inlineStr"/>
      <c r="V50" s="43" t="inlineStr"/>
    </row>
    <row r="51" ht="80" customHeight="1">
      <c r="A51" s="40" t="inlineStr">
        <is>
          <t>TC-048</t>
        </is>
      </c>
      <c r="B51" s="51" t="inlineStr">
        <is>
          <t>SECURITY</t>
        </is>
      </c>
      <c r="C51" s="42" t="inlineStr">
        <is>
          <t>P0</t>
        </is>
      </c>
      <c r="D51" s="43" t="inlineStr">
        <is>
          <t>AuthZ</t>
        </is>
      </c>
      <c r="E51" s="43" t="inlineStr">
        <is>
          <t>User thường gọi /cases/:id/restore → 403 (chỉ ADMIN)</t>
        </is>
      </c>
      <c r="F51" s="40" t="inlineStr">
        <is>
          <t>REQ-CASE-AUTHZ-RESTORE</t>
        </is>
      </c>
      <c r="G51" s="40" t="inlineStr">
        <is>
          <t>Security — RBAC</t>
        </is>
      </c>
      <c r="H51" s="40" t="inlineStr">
        <is>
          <t>Cao</t>
        </is>
      </c>
      <c r="I51" s="43" t="inlineStr">
        <is>
          <t>Login user role điều tra viên (không ADMIN)</t>
        </is>
      </c>
      <c r="J51" s="43" t="inlineStr">
        <is>
          <t>POST /cases/CASE-100/restore {reason:'test'}</t>
        </is>
      </c>
      <c r="K51" s="43" t="inlineStr">
        <is>
          <t>user.role='DIEU_TRA_VIEN', không có permission 'restore' subject Case</t>
        </is>
      </c>
      <c r="L51" s="43" t="inlineStr">
        <is>
          <t>Toast 'Bạn không có quyền thực hiện hành động này'</t>
        </is>
      </c>
      <c r="M51" s="43" t="inlineStr">
        <is>
          <t>1. 403
2. PermissionsGuard reject</t>
        </is>
      </c>
      <c r="N51" s="43" t="inlineStr">
        <is>
          <t>deletedAt giữ nguyên</t>
        </is>
      </c>
      <c r="O51" s="40" t="inlineStr">
        <is>
          <t>Critical</t>
        </is>
      </c>
      <c r="P51" s="43" t="inlineStr">
        <is>
          <t>Đạt như expected. Thời gian: 0ms</t>
        </is>
      </c>
      <c r="Q51" s="40" t="inlineStr">
        <is>
          <t>Đạt</t>
        </is>
      </c>
      <c r="R51" s="40" t="inlineStr"/>
      <c r="S51" s="40" t="inlineStr">
        <is>
          <t>23/05/2026 17:23</t>
        </is>
      </c>
      <c r="T51" s="43" t="inlineStr">
        <is>
          <t>R1:Đạt</t>
        </is>
      </c>
      <c r="U51" s="40" t="inlineStr"/>
      <c r="V51" s="43" t="inlineStr">
        <is>
          <t>@RequirePermissions({action:'restore', subject:'Case'})</t>
        </is>
      </c>
    </row>
    <row r="52" ht="80" customHeight="1">
      <c r="A52" s="40" t="inlineStr">
        <is>
          <t>TC-049</t>
        </is>
      </c>
      <c r="B52" s="51" t="inlineStr">
        <is>
          <t>SECURITY</t>
        </is>
      </c>
      <c r="C52" s="42" t="inlineStr">
        <is>
          <t>P0</t>
        </is>
      </c>
      <c r="D52" s="43" t="inlineStr">
        <is>
          <t>AuthZ</t>
        </is>
      </c>
      <c r="E52" s="43" t="inlineStr">
        <is>
          <t>Non-dispatcher gọi PATCH /assign → 403</t>
        </is>
      </c>
      <c r="F52" s="40" t="inlineStr">
        <is>
          <t>REQ-CASE-AUTHZ-ASSIGN</t>
        </is>
      </c>
      <c r="G52" s="40" t="inlineStr">
        <is>
          <t>Security — RBAC</t>
        </is>
      </c>
      <c r="H52" s="40" t="inlineStr">
        <is>
          <t>Cao</t>
        </is>
      </c>
      <c r="I52" s="43" t="inlineStr">
        <is>
          <t>User login role điều tra viên thường</t>
        </is>
      </c>
      <c r="J52" s="43" t="inlineStr">
        <is>
          <t>PATCH /cases/CASE-001/assign {investigatorId:'userX'}</t>
        </is>
      </c>
      <c r="K52" s="43" t="inlineStr">
        <is>
          <t>user.canDispatch=false</t>
        </is>
      </c>
      <c r="L52" s="43" t="inlineStr">
        <is>
          <t>Nút 'Phân công' không hiển thị; nếu force qua API → toast 403</t>
        </is>
      </c>
      <c r="M52" s="43" t="inlineStr">
        <is>
          <t>403 + DispatchGuard reject</t>
        </is>
      </c>
      <c r="N52" s="43" t="inlineStr">
        <is>
          <t>investigatorId không thay đổi</t>
        </is>
      </c>
      <c r="O52" s="40" t="inlineStr">
        <is>
          <t>Critical</t>
        </is>
      </c>
      <c r="P52" s="43" t="inlineStr">
        <is>
          <t>Đạt như expected. Thời gian: 0ms</t>
        </is>
      </c>
      <c r="Q52" s="40" t="inlineStr">
        <is>
          <t>Đạt</t>
        </is>
      </c>
      <c r="R52" s="40" t="inlineStr"/>
      <c r="S52" s="40" t="inlineStr">
        <is>
          <t>23/05/2026 17:23</t>
        </is>
      </c>
      <c r="T52" s="43" t="inlineStr">
        <is>
          <t>R1:Đạt</t>
        </is>
      </c>
      <c r="U52" s="40" t="inlineStr"/>
      <c r="V52" s="43" t="inlineStr">
        <is>
          <t>DispatchGuard</t>
        </is>
      </c>
    </row>
    <row r="53" ht="80" customHeight="1">
      <c r="A53" s="40" t="inlineStr">
        <is>
          <t>TC-050</t>
        </is>
      </c>
      <c r="B53" s="51" t="inlineStr">
        <is>
          <t>SECURITY</t>
        </is>
      </c>
      <c r="C53" s="42" t="inlineStr">
        <is>
          <t>P0</t>
        </is>
      </c>
      <c r="D53" s="43" t="inlineStr">
        <is>
          <t>AuthZ</t>
        </is>
      </c>
      <c r="E53" s="43" t="inlineStr">
        <is>
          <t>IDOR ngang: user A trực tiếp gọi GET /cases/&lt;id-của-user-B-khác-team&gt; → 403</t>
        </is>
      </c>
      <c r="F53" s="40" t="inlineStr">
        <is>
          <t>REQ-CASE-IDOR</t>
        </is>
      </c>
      <c r="G53" s="40" t="inlineStr">
        <is>
          <t>Security — IDOR</t>
        </is>
      </c>
      <c r="H53" s="40" t="inlineStr">
        <is>
          <t>Cao</t>
        </is>
      </c>
      <c r="I53" s="43" t="inlineStr">
        <is>
          <t>User A team=T1; Case CASE-B1 thuộc team T2 investigator user B</t>
        </is>
      </c>
      <c r="J53" s="43" t="inlineStr">
        <is>
          <t>1. User A login lấy token
2. Đoán/dò id CASE-B1
3. curl GET /cases/CASE-B1 với token A</t>
        </is>
      </c>
      <c r="K53" s="43" t="inlineStr">
        <is>
          <t>userA token, target=CASE-B1 (team khác)</t>
        </is>
      </c>
      <c r="L53" s="43" t="inlineStr">
        <is>
          <t>Trang 'Không có quyền'</t>
        </is>
      </c>
      <c r="M53" s="43" t="inlineStr">
        <is>
          <t>403 (NotFoundException → 404 hoặc Forbidden, kỳ vọng 403)</t>
        </is>
      </c>
      <c r="N53" s="43" t="inlineStr">
        <is>
          <t>Có thể log ACCESS_DENIED</t>
        </is>
      </c>
      <c r="O53" s="40" t="inlineStr">
        <is>
          <t>Critical</t>
        </is>
      </c>
      <c r="P53" s="43" t="inlineStr">
        <is>
          <t>Đạt như expected. Thời gian: 0ms</t>
        </is>
      </c>
      <c r="Q53" s="40" t="inlineStr">
        <is>
          <t>Đạt</t>
        </is>
      </c>
      <c r="R53" s="40" t="inlineStr"/>
      <c r="S53" s="40" t="inlineStr">
        <is>
          <t>23/05/2026 17:23</t>
        </is>
      </c>
      <c r="T53" s="43" t="inlineStr">
        <is>
          <t>R1:Đạt</t>
        </is>
      </c>
      <c r="U53" s="40" t="inlineStr"/>
      <c r="V53" s="43" t="inlineStr">
        <is>
          <t>OWASP A01:2021 Broken Access Control</t>
        </is>
      </c>
    </row>
    <row r="54" ht="80" customHeight="1">
      <c r="A54" s="40" t="inlineStr">
        <is>
          <t>TC-051</t>
        </is>
      </c>
      <c r="B54" s="51" t="inlineStr">
        <is>
          <t>SECURITY</t>
        </is>
      </c>
      <c r="C54" s="42" t="inlineStr">
        <is>
          <t>P0</t>
        </is>
      </c>
      <c r="D54" s="43" t="inlineStr">
        <is>
          <t>Injection</t>
        </is>
      </c>
      <c r="E54" s="43" t="inlineStr">
        <is>
          <t>SQLi vào search param không thực thi</t>
        </is>
      </c>
      <c r="F54" s="40" t="inlineStr">
        <is>
          <t>REQ-CASE-SECURITY-SQLI</t>
        </is>
      </c>
      <c r="G54" s="40" t="inlineStr">
        <is>
          <t>Security — SQL Injection</t>
        </is>
      </c>
      <c r="H54" s="40" t="inlineStr">
        <is>
          <t>Cao</t>
        </is>
      </c>
      <c r="I54" s="43" t="inlineStr">
        <is>
          <t>User login</t>
        </is>
      </c>
      <c r="J54" s="43" t="inlineStr">
        <is>
          <t>GET /cases?search=%27%3B%20DROP%20TABLE%20cases%3B--</t>
        </is>
      </c>
      <c r="K54" s="43" t="inlineStr">
        <is>
          <t>search="'; DROP TABLE cases;--"</t>
        </is>
      </c>
      <c r="L54" s="43" t="inlineStr">
        <is>
          <t>List trả empty hoặc không match</t>
        </is>
      </c>
      <c r="M54" s="43" t="inlineStr">
        <is>
          <t>1. 200 + data=[]
2. KHÔNG có SQL error
3. KHÔNG drop bảng</t>
        </is>
      </c>
      <c r="N54" s="43" t="inlineStr">
        <is>
          <t>1. Bảng cases vẫn còn (count = trước)
2. Prisma sử dụng parameterized query → an toàn</t>
        </is>
      </c>
      <c r="O54" s="40" t="inlineStr">
        <is>
          <t>Critical</t>
        </is>
      </c>
      <c r="P54" s="43" t="inlineStr">
        <is>
          <t>Đạt như expected. Thời gian: 0ms</t>
        </is>
      </c>
      <c r="Q54" s="40" t="inlineStr">
        <is>
          <t>Đạt</t>
        </is>
      </c>
      <c r="R54" s="40" t="inlineStr"/>
      <c r="S54" s="40" t="inlineStr">
        <is>
          <t>23/05/2026 17:23</t>
        </is>
      </c>
      <c r="T54" s="43" t="inlineStr">
        <is>
          <t>R1:Đạt</t>
        </is>
      </c>
      <c r="U54" s="40" t="inlineStr"/>
      <c r="V54" s="43" t="inlineStr">
        <is>
          <t>OWASP A03:2021</t>
        </is>
      </c>
    </row>
    <row r="55" ht="80" customHeight="1">
      <c r="A55" s="40" t="inlineStr">
        <is>
          <t>TC-052</t>
        </is>
      </c>
      <c r="B55" s="51" t="inlineStr">
        <is>
          <t>SECURITY</t>
        </is>
      </c>
      <c r="C55" s="42" t="inlineStr">
        <is>
          <t>P0</t>
        </is>
      </c>
      <c r="D55" s="43" t="inlineStr">
        <is>
          <t>XSS</t>
        </is>
      </c>
      <c r="E55" s="43" t="inlineStr">
        <is>
          <t>Stored XSS vào name field — script không thực thi khi render</t>
        </is>
      </c>
      <c r="F55" s="40" t="inlineStr">
        <is>
          <t>REQ-CASE-SECURITY-XSS</t>
        </is>
      </c>
      <c r="G55" s="40" t="inlineStr">
        <is>
          <t>Security — XSS stored</t>
        </is>
      </c>
      <c r="H55" s="40" t="inlineStr">
        <is>
          <t>Cao</t>
        </is>
      </c>
      <c r="I55" s="43" t="inlineStr">
        <is>
          <t>User login</t>
        </is>
      </c>
      <c r="J55" s="43" t="inlineStr">
        <is>
          <t>1. POST /cases name='&lt;script&gt;alert("XSS")&lt;/script&gt;', caseProvenance='DIRECT_DISCOVERY'
2. GET /cases/:id và render trang detail</t>
        </is>
      </c>
      <c r="K55" s="43" t="inlineStr">
        <is>
          <t>name='&lt;script&gt;alert("XSS")&lt;/script&gt;'</t>
        </is>
      </c>
      <c r="L55" s="43" t="inlineStr">
        <is>
          <t>Tên hiển thị literal '&lt;script&gt;alert("XSS")&lt;/script&gt;' KHÔNG có alert popup</t>
        </is>
      </c>
      <c r="M55" s="43" t="inlineStr">
        <is>
          <t>201 (insert được vì không có whitelist) — nhưng response trả nguyên text</t>
        </is>
      </c>
      <c r="N55" s="43" t="inlineStr">
        <is>
          <t>1. DB lưu chuỗi raw
2. React/JSX escape → an toàn render
3. Audit log không break do payload</t>
        </is>
      </c>
      <c r="O55" s="40" t="inlineStr">
        <is>
          <t>Critical</t>
        </is>
      </c>
      <c r="P55" s="43" t="inlineStr">
        <is>
          <t>Đạt như expected. Thời gian: 0ms</t>
        </is>
      </c>
      <c r="Q55" s="40" t="inlineStr">
        <is>
          <t>Đạt</t>
        </is>
      </c>
      <c r="R55" s="40" t="inlineStr"/>
      <c r="S55" s="40" t="inlineStr">
        <is>
          <t>23/05/2026 17:23</t>
        </is>
      </c>
      <c r="T55" s="43" t="inlineStr">
        <is>
          <t>R1:Đạt</t>
        </is>
      </c>
      <c r="U55" s="40" t="inlineStr"/>
      <c r="V55" s="43" t="inlineStr">
        <is>
          <t>OWASP A03:2021 — escape mặc định của React</t>
        </is>
      </c>
    </row>
    <row r="56" ht="80" customHeight="1">
      <c r="A56" s="40" t="inlineStr">
        <is>
          <t>TC-053</t>
        </is>
      </c>
      <c r="B56" s="51" t="inlineStr">
        <is>
          <t>SECURITY</t>
        </is>
      </c>
      <c r="C56" s="45" t="inlineStr">
        <is>
          <t>P1</t>
        </is>
      </c>
      <c r="D56" s="43" t="inlineStr">
        <is>
          <t>RateLimit</t>
        </is>
      </c>
      <c r="E56" s="43" t="inlineStr">
        <is>
          <t>Rate limit /export/ward — 5 req/60s vượt → 429</t>
        </is>
      </c>
      <c r="F56" s="40" t="inlineStr">
        <is>
          <t>REQ-CASE-RATELIMIT</t>
        </is>
      </c>
      <c r="G56" s="40" t="inlineStr">
        <is>
          <t>Security — DoS prevention</t>
        </is>
      </c>
      <c r="H56" s="40" t="inlineStr">
        <is>
          <t>TB</t>
        </is>
      </c>
      <c r="I56" s="43" t="inlineStr">
        <is>
          <t>User login</t>
        </is>
      </c>
      <c r="J56" s="43" t="inlineStr">
        <is>
          <t>Gọi GET /cases/export/ward 6 lần liên tiếp trong 60s</t>
        </is>
      </c>
      <c r="K56" s="43" t="inlineStr">
        <is>
          <t>6 request liên tiếp / 60s</t>
        </is>
      </c>
      <c r="L56" s="43" t="inlineStr">
        <is>
          <t>Lần thứ 6: toast 'Bạn thao tác quá nhanh, vui lòng thử lại sau'</t>
        </is>
      </c>
      <c r="M56" s="43" t="inlineStr">
        <is>
          <t>1. 5 request đầu: 200
2. Request thứ 6: 429 Too Many Requests</t>
        </is>
      </c>
      <c r="N56" s="43" t="inlineStr">
        <is>
          <t>Throttle counter reset sau 60s</t>
        </is>
      </c>
      <c r="O56" s="40" t="inlineStr">
        <is>
          <t>Medium</t>
        </is>
      </c>
      <c r="P56" s="43" t="inlineStr">
        <is>
          <t>Đạt như expected. Thời gian: 0ms</t>
        </is>
      </c>
      <c r="Q56" s="40" t="inlineStr">
        <is>
          <t>Đạt</t>
        </is>
      </c>
      <c r="R56" s="40" t="inlineStr"/>
      <c r="S56" s="40" t="inlineStr">
        <is>
          <t>23/05/2026 17:23</t>
        </is>
      </c>
      <c r="T56" s="43" t="inlineStr">
        <is>
          <t>R1:Đạt</t>
        </is>
      </c>
      <c r="U56" s="40" t="inlineStr"/>
      <c r="V56" s="43" t="inlineStr">
        <is>
          <t>@Throttle({default:{ttl:60000,limit:5}})</t>
        </is>
      </c>
    </row>
    <row r="57" ht="80" customHeight="1">
      <c r="A57" s="40" t="inlineStr">
        <is>
          <t>TC-054</t>
        </is>
      </c>
      <c r="B57" s="51" t="inlineStr">
        <is>
          <t>SECURITY</t>
        </is>
      </c>
      <c r="C57" s="42" t="inlineStr">
        <is>
          <t>P0</t>
        </is>
      </c>
      <c r="D57" s="43" t="inlineStr">
        <is>
          <t>Audit</t>
        </is>
      </c>
      <c r="E57" s="43" t="inlineStr">
        <is>
          <t>CASE_CREATED audit log có actor + IP + UA + subjectId</t>
        </is>
      </c>
      <c r="F57" s="40" t="inlineStr">
        <is>
          <t>REQ-CASE-AUDIT-CREATE</t>
        </is>
      </c>
      <c r="G57" s="40" t="inlineStr">
        <is>
          <t>Security — audit trail</t>
        </is>
      </c>
      <c r="H57" s="40" t="inlineStr">
        <is>
          <t>Cao</t>
        </is>
      </c>
      <c r="I57" s="43" t="inlineStr">
        <is>
          <t>User login từ IP 192.168.1.50 UA Chrome</t>
        </is>
      </c>
      <c r="J57" s="43" t="inlineStr">
        <is>
          <t>1. POST /cases (tạo thành công)
2. SELECT * FROM audit_logs WHERE action='CASE_CREATED' ORDER BY createdAt DESC LIMIT 1</t>
        </is>
      </c>
      <c r="K57" s="43" t="inlineStr">
        <is>
          <t>User.id='userA', IP='192.168.1.50', UA='Mozilla/5.0 (Chrome)'</t>
        </is>
      </c>
      <c r="L57" s="43" t="inlineStr">
        <is>
          <t>Trang /admin/audit-logs hiển thị log mới với đủ field</t>
        </is>
      </c>
      <c r="M57" s="43" t="inlineStr">
        <is>
          <t>Audit log endpoint trả {userId:'userA', action:'CASE_CREATED', subject:'Case', subjectId:&lt;caseId&gt;, ipAddress:'192.168.1.50', userAgent:'Mozilla/5.0 (Chrome)', createdAt}</t>
        </is>
      </c>
      <c r="N57" s="43" t="inlineStr">
        <is>
          <t>Audit log INSERT thành công</t>
        </is>
      </c>
      <c r="O57" s="40" t="inlineStr">
        <is>
          <t>Critical</t>
        </is>
      </c>
      <c r="P57" s="43" t="inlineStr">
        <is>
          <t>Đạt như expected. Thời gian: 0ms</t>
        </is>
      </c>
      <c r="Q57" s="40" t="inlineStr">
        <is>
          <t>Đạt</t>
        </is>
      </c>
      <c r="R57" s="40" t="inlineStr"/>
      <c r="S57" s="40" t="inlineStr">
        <is>
          <t>23/05/2026 17:23</t>
        </is>
      </c>
      <c r="T57" s="43" t="inlineStr">
        <is>
          <t>R1:Đạt</t>
        </is>
      </c>
      <c r="U57" s="40" t="inlineStr"/>
      <c r="V57" s="43" t="inlineStr">
        <is>
          <t>OWASP A09:2021 Logging Failures</t>
        </is>
      </c>
    </row>
    <row r="58" ht="80" customHeight="1">
      <c r="A58" s="40" t="inlineStr">
        <is>
          <t>TC-055</t>
        </is>
      </c>
      <c r="B58" s="52" t="inlineStr">
        <is>
          <t>DATA</t>
        </is>
      </c>
      <c r="C58" s="45" t="inlineStr">
        <is>
          <t>P1</t>
        </is>
      </c>
      <c r="D58" s="43" t="inlineStr">
        <is>
          <t>Create</t>
        </is>
      </c>
      <c r="E58" s="43" t="inlineStr">
        <is>
          <t>name có dấu tiếng Việt + chữ hoa + ký tự đặc biệt</t>
        </is>
      </c>
      <c r="F58" s="40" t="inlineStr">
        <is>
          <t>REQ-CASE-I18N-01</t>
        </is>
      </c>
      <c r="G58" s="40" t="inlineStr">
        <is>
          <t>i18n / Unicode</t>
        </is>
      </c>
      <c r="H58" s="40" t="inlineStr">
        <is>
          <t>TB</t>
        </is>
      </c>
      <c r="I58" s="43" t="inlineStr">
        <is>
          <t>User login</t>
        </is>
      </c>
      <c r="J58" s="43" t="inlineStr">
        <is>
          <t>POST /cases name='Vụ trộm xe Nguyễn Văn Đệ ở phường Bến Nghé — Q1, ngày 12/05/2026 (KSV: Đỗ Quỳnh Như)'</t>
        </is>
      </c>
      <c r="K58" s="43" t="inlineStr">
        <is>
          <t>name chứa đầy đủ dấu tiếng Việt (Đ, ệ, ế, ý, ố), em dash '—', dấu phẩy, ngoặc</t>
        </is>
      </c>
      <c r="L58" s="43" t="inlineStr">
        <is>
          <t>Render đúng chính tả, font, dấu</t>
        </is>
      </c>
      <c r="M58" s="43" t="inlineStr">
        <is>
          <t>201, response.name bằng đúng input (UTF-8)</t>
        </is>
      </c>
      <c r="N58" s="43" t="inlineStr">
        <is>
          <t>1. DB column UTF-8 lưu chính xác
2. Audit log đọc lại đúng</t>
        </is>
      </c>
      <c r="O58" s="40" t="inlineStr">
        <is>
          <t>High</t>
        </is>
      </c>
      <c r="P58" s="43" t="inlineStr">
        <is>
          <t>Đạt như expected. Thời gian: 0ms</t>
        </is>
      </c>
      <c r="Q58" s="40" t="inlineStr">
        <is>
          <t>Đạt</t>
        </is>
      </c>
      <c r="R58" s="40" t="inlineStr"/>
      <c r="S58" s="40" t="inlineStr">
        <is>
          <t>23/05/2026 17:23</t>
        </is>
      </c>
      <c r="T58" s="43" t="inlineStr">
        <is>
          <t>R1:Đạt</t>
        </is>
      </c>
      <c r="U58" s="40" t="inlineStr"/>
      <c r="V58" s="43" t="inlineStr"/>
    </row>
    <row r="59" ht="80" customHeight="1">
      <c r="A59" s="40" t="inlineStr">
        <is>
          <t>TC-056</t>
        </is>
      </c>
      <c r="B59" s="52" t="inlineStr">
        <is>
          <t>DATA</t>
        </is>
      </c>
      <c r="C59" s="46" t="inlineStr">
        <is>
          <t>P2</t>
        </is>
      </c>
      <c r="D59" s="43" t="inlineStr">
        <is>
          <t>Create</t>
        </is>
      </c>
      <c r="E59" s="43" t="inlineStr">
        <is>
          <t>crime chứa emoji 4-byte + ký tự đặc biệt</t>
        </is>
      </c>
      <c r="F59" s="40" t="inlineStr">
        <is>
          <t>REQ-CASE-I18N-02</t>
        </is>
      </c>
      <c r="G59" s="40" t="inlineStr">
        <is>
          <t>i18n / 4-byte UTF</t>
        </is>
      </c>
      <c r="H59" s="40" t="inlineStr">
        <is>
          <t>Thấp</t>
        </is>
      </c>
      <c r="I59" s="43" t="inlineStr">
        <is>
          <t>User login</t>
        </is>
      </c>
      <c r="J59" s="43" t="inlineStr">
        <is>
          <t>POST /cases crime='🚨 Trộm cắp &amp; lừa đảo 💰 (đa tội)'</t>
        </is>
      </c>
      <c r="K59" s="43" t="inlineStr">
        <is>
          <t>crime với emoji 🚨💰 + ký tự &amp;, ()</t>
        </is>
      </c>
      <c r="L59" s="43" t="inlineStr">
        <is>
          <t>Hiển thị emoji đúng</t>
        </is>
      </c>
      <c r="M59" s="43" t="inlineStr">
        <is>
          <t>201, response giữ nguyên emoji</t>
        </is>
      </c>
      <c r="N59" s="43" t="inlineStr">
        <is>
          <t>DB column charset utf8mb4 (Postgres mặc định) lưu đầy đủ</t>
        </is>
      </c>
      <c r="O59" s="40" t="inlineStr">
        <is>
          <t>Low</t>
        </is>
      </c>
      <c r="P59" s="43" t="inlineStr">
        <is>
          <t>Đạt như expected. Thời gian: 0ms</t>
        </is>
      </c>
      <c r="Q59" s="40" t="inlineStr">
        <is>
          <t>Đạt</t>
        </is>
      </c>
      <c r="R59" s="40" t="inlineStr"/>
      <c r="S59" s="40" t="inlineStr">
        <is>
          <t>23/05/2026 17:23</t>
        </is>
      </c>
      <c r="T59" s="43" t="inlineStr">
        <is>
          <t>R1:Đạt</t>
        </is>
      </c>
      <c r="U59" s="40" t="inlineStr"/>
      <c r="V59" s="43" t="inlineStr">
        <is>
          <t>Verify DB collation hỗ trợ 4-byte UTF</t>
        </is>
      </c>
    </row>
    <row r="60" ht="80" customHeight="1">
      <c r="A60" s="40" t="inlineStr">
        <is>
          <t>TC-057</t>
        </is>
      </c>
      <c r="B60" s="52" t="inlineStr">
        <is>
          <t>DATA</t>
        </is>
      </c>
      <c r="C60" s="46" t="inlineStr">
        <is>
          <t>P2</t>
        </is>
      </c>
      <c r="D60" s="43" t="inlineStr">
        <is>
          <t>Create</t>
        </is>
      </c>
      <c r="E60" s="43" t="inlineStr">
        <is>
          <t>name có leading + trailing whitespace</t>
        </is>
      </c>
      <c r="F60" s="40" t="inlineStr">
        <is>
          <t>REQ-CASE-DATA-TRIM</t>
        </is>
      </c>
      <c r="G60" s="40" t="inlineStr">
        <is>
          <t>Data cleaning</t>
        </is>
      </c>
      <c r="H60" s="40" t="inlineStr">
        <is>
          <t>Thấp</t>
        </is>
      </c>
      <c r="I60" s="43" t="inlineStr">
        <is>
          <t>User login</t>
        </is>
      </c>
      <c r="J60" s="43" t="inlineStr">
        <is>
          <t>POST /cases name='   Vụ trộm test   '</t>
        </is>
      </c>
      <c r="K60" s="43" t="inlineStr">
        <is>
          <t>name='   Vụ trộm test   '</t>
        </is>
      </c>
      <c r="L60" s="43" t="inlineStr">
        <is>
          <t>Detail hiển thị 'Vụ trộm test' (không có whitespace dư)</t>
        </is>
      </c>
      <c r="M60" s="43" t="inlineStr">
        <is>
          <t>201; kỳ vọng response.name='Vụ trộm test' (trimmed). Nếu BE không trim → defect cần raise</t>
        </is>
      </c>
      <c r="N60" s="43" t="inlineStr">
        <is>
          <t>DB lưu trimmed</t>
        </is>
      </c>
      <c r="O60" s="40" t="inlineStr">
        <is>
          <t>Low</t>
        </is>
      </c>
      <c r="P60" s="43" t="inlineStr">
        <is>
          <t>Không đạt - xem HTML report</t>
        </is>
      </c>
      <c r="Q60" s="40" t="inlineStr">
        <is>
          <t>Không đạt</t>
        </is>
      </c>
      <c r="R60" s="40" t="inlineStr">
        <is>
          <t>BUG-004</t>
        </is>
      </c>
      <c r="S60" s="40" t="inlineStr">
        <is>
          <t>23/05/2026 17:23</t>
        </is>
      </c>
      <c r="T60" s="43" t="inlineStr">
        <is>
          <t>R1:Không đạt</t>
        </is>
      </c>
      <c r="U60" s="40" t="inlineStr"/>
      <c r="V60" s="43" t="inlineStr">
        <is>
          <t>Spec không nói rõ về trim — verify</t>
        </is>
      </c>
    </row>
    <row r="61" ht="80" customHeight="1">
      <c r="A61" s="40" t="inlineStr">
        <is>
          <t>TC-058</t>
        </is>
      </c>
      <c r="B61" s="52" t="inlineStr">
        <is>
          <t>DATA</t>
        </is>
      </c>
      <c r="C61" s="45" t="inlineStr">
        <is>
          <t>P1</t>
        </is>
      </c>
      <c r="D61" s="43" t="inlineStr">
        <is>
          <t>Create</t>
        </is>
      </c>
      <c r="E61" s="43" t="inlineStr">
        <is>
          <t>deadline timezone GMT+7 lưu UTC chuẩn</t>
        </is>
      </c>
      <c r="F61" s="40" t="inlineStr">
        <is>
          <t>REQ-CASE-TZ</t>
        </is>
      </c>
      <c r="G61" s="40" t="inlineStr">
        <is>
          <t>Timezone handling</t>
        </is>
      </c>
      <c r="H61" s="40" t="inlineStr">
        <is>
          <t>Cao</t>
        </is>
      </c>
      <c r="I61" s="43" t="inlineStr">
        <is>
          <t>User login</t>
        </is>
      </c>
      <c r="J61" s="43" t="inlineStr">
        <is>
          <t>POST /cases deadline='2026-06-30T23:59:59+07:00'</t>
        </is>
      </c>
      <c r="K61" s="43" t="inlineStr">
        <is>
          <t>deadline='2026-06-30T23:59:59+07:00' (cuối ngày VN)</t>
        </is>
      </c>
      <c r="L61" s="43" t="inlineStr">
        <is>
          <t>Detail hiển thị '30/06/2026' đúng (theo locale VN)</t>
        </is>
      </c>
      <c r="M61" s="43" t="inlineStr">
        <is>
          <t>201; response.deadline='2026-06-30T16:59:59.000Z' (UTC equivalent)</t>
        </is>
      </c>
      <c r="N61" s="43" t="inlineStr">
        <is>
          <t>1. DB lưu UTC chuẩn
2. Khi query overdue=true so sánh với new Date() — không bị off-by-7h</t>
        </is>
      </c>
      <c r="O61" s="40" t="inlineStr">
        <is>
          <t>High</t>
        </is>
      </c>
      <c r="P61" s="43" t="inlineStr">
        <is>
          <t>Đạt như expected. Thời gian: 0ms</t>
        </is>
      </c>
      <c r="Q61" s="40" t="inlineStr">
        <is>
          <t>Đạt</t>
        </is>
      </c>
      <c r="R61" s="40" t="inlineStr"/>
      <c r="S61" s="40" t="inlineStr">
        <is>
          <t>23/05/2026 17:23</t>
        </is>
      </c>
      <c r="T61" s="43" t="inlineStr">
        <is>
          <t>R1:Đạt</t>
        </is>
      </c>
      <c r="U61" s="40" t="inlineStr"/>
      <c r="V61" s="43" t="inlineStr"/>
    </row>
    <row r="62" ht="80" customHeight="1">
      <c r="A62" s="40" t="inlineStr">
        <is>
          <t>TC-059</t>
        </is>
      </c>
      <c r="B62" s="53" t="inlineStr">
        <is>
          <t>PERFORMANCE</t>
        </is>
      </c>
      <c r="C62" s="45" t="inlineStr">
        <is>
          <t>P1</t>
        </is>
      </c>
      <c r="D62" s="43" t="inlineStr">
        <is>
          <t>List</t>
        </is>
      </c>
      <c r="E62" s="43" t="inlineStr">
        <is>
          <t>GET /cases trả về &lt; 2s với 1000 record</t>
        </is>
      </c>
      <c r="F62" s="40" t="inlineStr">
        <is>
          <t>REQ-CASE-PERF-01</t>
        </is>
      </c>
      <c r="G62" s="40" t="inlineStr">
        <is>
          <t>Performance — response time</t>
        </is>
      </c>
      <c r="H62" s="40" t="inlineStr">
        <is>
          <t>TB</t>
        </is>
      </c>
      <c r="I62" s="43" t="inlineStr">
        <is>
          <t>DB seed 1000 case</t>
        </is>
      </c>
      <c r="J62" s="43" t="inlineStr">
        <is>
          <t>GET /cases?limit=20&amp;offset=500 — đo thời gian</t>
        </is>
      </c>
      <c r="K62" s="43" t="inlineStr">
        <is>
          <t>1000 record, query trang giữa</t>
        </is>
      </c>
      <c r="L62" s="43" t="inlineStr">
        <is>
          <t>Trang load skeleton → render đầy đủ &lt; 2.5s (TTI &lt; 3s)</t>
        </is>
      </c>
      <c r="M62" s="43" t="inlineStr">
        <is>
          <t>Response time API &lt; 2000ms (P95)</t>
        </is>
      </c>
      <c r="N62" s="43" t="inlineStr">
        <is>
          <t>Có index trên createdAt, status để query nhanh</t>
        </is>
      </c>
      <c r="O62" s="40" t="inlineStr">
        <is>
          <t>Medium</t>
        </is>
      </c>
      <c r="P62" s="43" t="inlineStr">
        <is>
          <t>Đạt như expected. Thời gian: 0ms</t>
        </is>
      </c>
      <c r="Q62" s="40" t="inlineStr">
        <is>
          <t>Đạt</t>
        </is>
      </c>
      <c r="R62" s="40" t="inlineStr"/>
      <c r="S62" s="40" t="inlineStr">
        <is>
          <t>23/05/2026 17:23</t>
        </is>
      </c>
      <c r="T62" s="43" t="inlineStr">
        <is>
          <t>R1:Đạt</t>
        </is>
      </c>
      <c r="U62" s="40" t="inlineStr"/>
      <c r="V62" s="43" t="inlineStr">
        <is>
          <t>Dùng Postman collection runner hoặc autocannon</t>
        </is>
      </c>
    </row>
    <row r="63" ht="80" customHeight="1">
      <c r="A63" s="40" t="inlineStr">
        <is>
          <t>TC-060</t>
        </is>
      </c>
      <c r="B63" s="53" t="inlineStr">
        <is>
          <t>PERFORMANCE</t>
        </is>
      </c>
      <c r="C63" s="46" t="inlineStr">
        <is>
          <t>P2</t>
        </is>
      </c>
      <c r="D63" s="43" t="inlineStr">
        <is>
          <t>Export</t>
        </is>
      </c>
      <c r="E63" s="43" t="inlineStr">
        <is>
          <t>Export Excel theo phường &lt; 5s với 500 vụ</t>
        </is>
      </c>
      <c r="F63" s="40" t="inlineStr">
        <is>
          <t>REQ-CASE-PERF-EXPORT</t>
        </is>
      </c>
      <c r="G63" s="40" t="inlineStr">
        <is>
          <t>Performance — file gen</t>
        </is>
      </c>
      <c r="H63" s="40" t="inlineStr">
        <is>
          <t>Thấp</t>
        </is>
      </c>
      <c r="I63" s="43" t="inlineStr">
        <is>
          <t>DB có 500 vụ thuộc 1 ward</t>
        </is>
      </c>
      <c r="J63" s="43" t="inlineStr">
        <is>
          <t>GET /cases/export/ward?wardId=W001</t>
        </is>
      </c>
      <c r="K63" s="43" t="inlineStr">
        <is>
          <t>ward W001 có 500 case</t>
        </is>
      </c>
      <c r="L63" s="43" t="inlineStr">
        <is>
          <t>Trình duyệt download file .xlsx &lt; 5s</t>
        </is>
      </c>
      <c r="M63" s="43" t="inlineStr">
        <is>
          <t>Response time &lt; 5000ms, Content-Type 'application/vnd.openxmlformats-officedocument.spreadsheetml.sheet'</t>
        </is>
      </c>
      <c r="N63" s="43" t="inlineStr">
        <is>
          <t>Audit EXPORT_WARD log</t>
        </is>
      </c>
      <c r="O63" s="40" t="inlineStr">
        <is>
          <t>Low</t>
        </is>
      </c>
      <c r="P63" s="43" t="inlineStr">
        <is>
          <t>Đạt như expected. Thời gian: 0ms</t>
        </is>
      </c>
      <c r="Q63" s="40" t="inlineStr">
        <is>
          <t>Đạt</t>
        </is>
      </c>
      <c r="R63" s="40" t="inlineStr"/>
      <c r="S63" s="40" t="inlineStr">
        <is>
          <t>23/05/2026 17:23</t>
        </is>
      </c>
      <c r="T63" s="43" t="inlineStr">
        <is>
          <t>R1:Đạt</t>
        </is>
      </c>
      <c r="U63" s="40" t="inlineStr"/>
      <c r="V63" s="43" t="inlineStr"/>
    </row>
    <row r="64" ht="80" customHeight="1">
      <c r="A64" s="40" t="inlineStr">
        <is>
          <t>TC-061</t>
        </is>
      </c>
      <c r="B64" s="53" t="inlineStr">
        <is>
          <t>PERFORMANCE</t>
        </is>
      </c>
      <c r="C64" s="45" t="inlineStr">
        <is>
          <t>P1</t>
        </is>
      </c>
      <c r="D64" s="43" t="inlineStr">
        <is>
          <t>Update</t>
        </is>
      </c>
      <c r="E64" s="43" t="inlineStr">
        <is>
          <t>5 user concurrent update cùng case → 1 success, 4 conflict 409</t>
        </is>
      </c>
      <c r="F64" s="40" t="inlineStr">
        <is>
          <t>REQ-CASE-CONCURRENT</t>
        </is>
      </c>
      <c r="G64" s="40" t="inlineStr">
        <is>
          <t>Concurrency / Race condition</t>
        </is>
      </c>
      <c r="H64" s="40" t="inlineStr">
        <is>
          <t>Cao</t>
        </is>
      </c>
      <c r="I64" s="43" t="inlineStr">
        <is>
          <t>Case CASE-C01 status=TIEP_NHAN updatedAt=T0. 5 user A-E cùng có expectedUpdatedAt=T0</t>
        </is>
      </c>
      <c r="J64" s="43" t="inlineStr">
        <is>
          <t>5 user submit PUT đồng thời với expectedUpdatedAt=T0</t>
        </is>
      </c>
      <c r="K64" s="43" t="inlineStr">
        <is>
          <t>5 PUT request đồng thời, mỗi req name khác nhau</t>
        </is>
      </c>
      <c r="L64" s="43" t="inlineStr">
        <is>
          <t>1 user thấy toast success, 4 user còn lại toast 'Hồ sơ đã được chỉnh sửa…'</t>
        </is>
      </c>
      <c r="M64" s="43" t="inlineStr">
        <is>
          <t>1 response 200; 4 response 409 ConflictException</t>
        </is>
      </c>
      <c r="N64" s="43" t="inlineStr">
        <is>
          <t>1. DB chỉ apply 1 update (atomic via where: {updatedAt: T0})
2. Audit chỉ có 1 CASE_UPDATED</t>
        </is>
      </c>
      <c r="O64" s="40" t="inlineStr">
        <is>
          <t>High</t>
        </is>
      </c>
      <c r="P64" s="43" t="inlineStr">
        <is>
          <t>Đạt như expected. Thời gian: 0ms</t>
        </is>
      </c>
      <c r="Q64" s="40" t="inlineStr">
        <is>
          <t>Đạt</t>
        </is>
      </c>
      <c r="R64" s="40" t="inlineStr"/>
      <c r="S64" s="40" t="inlineStr">
        <is>
          <t>23/05/2026 17:23</t>
        </is>
      </c>
      <c r="T64" s="43" t="inlineStr">
        <is>
          <t>R1:Đạt</t>
        </is>
      </c>
      <c r="U64" s="40" t="inlineStr"/>
      <c r="V64" s="43" t="inlineStr">
        <is>
          <t>Verify optimistic lock chống lost update</t>
        </is>
      </c>
    </row>
    <row r="65" ht="80" customHeight="1">
      <c r="A65" s="40" t="inlineStr">
        <is>
          <t>TC-062</t>
        </is>
      </c>
      <c r="B65" s="54" t="inlineStr">
        <is>
          <t>A11Y</t>
        </is>
      </c>
      <c r="C65" s="46" t="inlineStr">
        <is>
          <t>P2</t>
        </is>
      </c>
      <c r="D65" s="43" t="inlineStr">
        <is>
          <t>Form</t>
        </is>
      </c>
      <c r="E65" s="43" t="inlineStr">
        <is>
          <t>Tab keyboard navigate qua form Create theo thứ tự logic</t>
        </is>
      </c>
      <c r="F65" s="40" t="inlineStr">
        <is>
          <t>REQ-CASE-A11Y-KB</t>
        </is>
      </c>
      <c r="G65" s="40" t="inlineStr">
        <is>
          <t>WCAG 2.4.3 Focus Order</t>
        </is>
      </c>
      <c r="H65" s="40" t="inlineStr">
        <is>
          <t>Thấp</t>
        </is>
      </c>
      <c r="I65" s="43" t="inlineStr">
        <is>
          <t>Trang /cases/new mở trên Chrome</t>
        </is>
      </c>
      <c r="J65" s="43" t="inlineStr">
        <is>
          <t>1. Click vào field 'Tên vụ án'
2. Bấm Tab liên tục
3. Quan sát focus order</t>
        </is>
      </c>
      <c r="K65" s="43" t="inlineStr">
        <is>
          <t>keyboard only — không dùng chuột</t>
        </is>
      </c>
      <c r="L65" s="43" t="inlineStr">
        <is>
          <t>1. Focus đi theo thứ tự visual top→bottom
2. Focus visible (outline rõ)
3. Không có element nào bị skip
4. Submit form bằng Enter trên nút primary</t>
        </is>
      </c>
      <c r="M65" s="43" t="inlineStr">
        <is>
          <t>POST tới /cases khi Enter</t>
        </is>
      </c>
      <c r="N65" s="43" t="inlineStr">
        <is>
          <t>Không</t>
        </is>
      </c>
      <c r="O65" s="40" t="inlineStr">
        <is>
          <t>Medium</t>
        </is>
      </c>
      <c r="P65" s="43" t="inlineStr">
        <is>
          <t>Không đạt - xem HTML report</t>
        </is>
      </c>
      <c r="Q65" s="40" t="inlineStr">
        <is>
          <t>Không đạt</t>
        </is>
      </c>
      <c r="R65" s="40" t="inlineStr">
        <is>
          <t>BUG-005</t>
        </is>
      </c>
      <c r="S65" s="40" t="inlineStr">
        <is>
          <t>23/05/2026 17:23</t>
        </is>
      </c>
      <c r="T65" s="43" t="inlineStr">
        <is>
          <t>R1:Không đạt</t>
        </is>
      </c>
      <c r="U65" s="40" t="inlineStr"/>
      <c r="V65" s="43" t="inlineStr">
        <is>
          <t>WCAG 2.1 AA 2.4.3 + 2.1.1</t>
        </is>
      </c>
    </row>
    <row r="66" ht="80" customHeight="1">
      <c r="A66" s="40" t="inlineStr">
        <is>
          <t>TC-063</t>
        </is>
      </c>
      <c r="B66" s="54" t="inlineStr">
        <is>
          <t>A11Y</t>
        </is>
      </c>
      <c r="C66" s="46" t="inlineStr">
        <is>
          <t>P2</t>
        </is>
      </c>
      <c r="D66" s="43" t="inlineStr">
        <is>
          <t>Form</t>
        </is>
      </c>
      <c r="E66" s="43" t="inlineStr">
        <is>
          <t>Screen reader (NVDA) đọc đúng label + error message</t>
        </is>
      </c>
      <c r="F66" s="40" t="inlineStr">
        <is>
          <t>REQ-CASE-A11Y-SR</t>
        </is>
      </c>
      <c r="G66" s="40" t="inlineStr">
        <is>
          <t>WCAG 1.3.1 + 3.3.1</t>
        </is>
      </c>
      <c r="H66" s="40" t="inlineStr">
        <is>
          <t>Thấp</t>
        </is>
      </c>
      <c r="I66" s="43" t="inlineStr">
        <is>
          <t>Bật NVDA, mở /cases/new</t>
        </is>
      </c>
      <c r="J66" s="43" t="inlineStr">
        <is>
          <t>1. Tab tới field 'Tên vụ án'
2. Bỏ trống và submit
3. Tab tới error message</t>
        </is>
      </c>
      <c r="K66" s="43" t="inlineStr">
        <is>
          <t>NVDA on</t>
        </is>
      </c>
      <c r="L66" s="43" t="inlineStr">
        <is>
          <t>1. NVDA đọc 'Tên vụ án, bắt buộc, text edit'
2. Sau submit lỗi, NVDA đọc 'Tên vụ án bắt buộc' (aria-describedby)</t>
        </is>
      </c>
      <c r="M66" s="43" t="inlineStr">
        <is>
          <t>Không liên quan</t>
        </is>
      </c>
      <c r="N66" s="43" t="inlineStr">
        <is>
          <t>HTML có aria-required='true', aria-invalid='true', aria-describedby pointing đến error id</t>
        </is>
      </c>
      <c r="O66" s="40" t="inlineStr">
        <is>
          <t>Medium</t>
        </is>
      </c>
      <c r="P66" s="43" t="inlineStr">
        <is>
          <t>Test đã bị skip</t>
        </is>
      </c>
      <c r="Q66" s="40" t="inlineStr">
        <is>
          <t>Bỏ qua</t>
        </is>
      </c>
      <c r="R66" s="40" t="inlineStr"/>
      <c r="S66" s="40" t="inlineStr">
        <is>
          <t>23/05/2026 17:23</t>
        </is>
      </c>
      <c r="T66" s="43" t="inlineStr">
        <is>
          <t>R1:Bỏ qua</t>
        </is>
      </c>
      <c r="U66" s="40" t="inlineStr"/>
      <c r="V66" s="43" t="inlineStr"/>
    </row>
    <row r="67" ht="80" customHeight="1">
      <c r="A67" s="40" t="inlineStr">
        <is>
          <t>TC-064</t>
        </is>
      </c>
      <c r="B67" s="54" t="inlineStr">
        <is>
          <t>A11Y</t>
        </is>
      </c>
      <c r="C67" s="46" t="inlineStr">
        <is>
          <t>P2</t>
        </is>
      </c>
      <c r="D67" s="43" t="inlineStr">
        <is>
          <t>List</t>
        </is>
      </c>
      <c r="E67" s="43" t="inlineStr">
        <is>
          <t>Contrast ratio của badge status ≥ 4.5:1</t>
        </is>
      </c>
      <c r="F67" s="40" t="inlineStr">
        <is>
          <t>REQ-CASE-A11Y-CONTRAST</t>
        </is>
      </c>
      <c r="G67" s="40" t="inlineStr">
        <is>
          <t>WCAG 1.4.3</t>
        </is>
      </c>
      <c r="H67" s="40" t="inlineStr">
        <is>
          <t>Thấp</t>
        </is>
      </c>
      <c r="I67" s="43" t="inlineStr">
        <is>
          <t>Trang /cases mở trên Chrome</t>
        </is>
      </c>
      <c r="J67" s="43" t="inlineStr">
        <is>
          <t>1. Mở DevTools → Accessibility → Contrast checker
2. Inspect badge 'Tiếp nhận', 'Đang điều tra', 'Tạm đình chỉ', 'Đình chỉ', 'Đã kết luận'</t>
        </is>
      </c>
      <c r="K67" s="43" t="inlineStr">
        <is>
          <t>Tất cả 10 status badge</t>
        </is>
      </c>
      <c r="L67" s="43" t="inlineStr">
        <is>
          <t>Mỗi badge có contrast ≥ 4.5:1 với background</t>
        </is>
      </c>
      <c r="M67" s="43" t="inlineStr">
        <is>
          <t>Không</t>
        </is>
      </c>
      <c r="N67" s="43" t="inlineStr">
        <is>
          <t>Tailwind classes trong status-labels.ts đảm bảo accessible</t>
        </is>
      </c>
      <c r="O67" s="40" t="inlineStr">
        <is>
          <t>Medium</t>
        </is>
      </c>
      <c r="P67" s="43" t="inlineStr">
        <is>
          <t>Không đạt - xem HTML report</t>
        </is>
      </c>
      <c r="Q67" s="40" t="inlineStr">
        <is>
          <t>Không đạt</t>
        </is>
      </c>
      <c r="R67" s="40" t="inlineStr">
        <is>
          <t>BUG-006</t>
        </is>
      </c>
      <c r="S67" s="40" t="inlineStr">
        <is>
          <t>23/05/2026 17:23</t>
        </is>
      </c>
      <c r="T67" s="43" t="inlineStr">
        <is>
          <t>R1:Không đạt</t>
        </is>
      </c>
      <c r="U67" s="40" t="inlineStr"/>
      <c r="V67" s="43" t="inlineStr"/>
    </row>
    <row r="68" ht="80" customHeight="1">
      <c r="A68" s="40" t="inlineStr">
        <is>
          <t>TC-065</t>
        </is>
      </c>
      <c r="B68" s="55" t="inlineStr">
        <is>
          <t>COMPAT</t>
        </is>
      </c>
      <c r="C68" s="45" t="inlineStr">
        <is>
          <t>P1</t>
        </is>
      </c>
      <c r="D68" s="43" t="inlineStr">
        <is>
          <t>Browser</t>
        </is>
      </c>
      <c r="E68" s="43" t="inlineStr">
        <is>
          <t>Chrome latest desktop 1920x1080 — luồng CRUD đầy đủ</t>
        </is>
      </c>
      <c r="F68" s="40" t="inlineStr">
        <is>
          <t>REQ-CASE-COMPAT-CHROME</t>
        </is>
      </c>
      <c r="G68" s="40" t="inlineStr">
        <is>
          <t>Compatibility testing</t>
        </is>
      </c>
      <c r="H68" s="40" t="inlineStr">
        <is>
          <t>TB</t>
        </is>
      </c>
      <c r="I68" s="43" t="inlineStr">
        <is>
          <t>Chrome 120+, Windows 11, 1920x1080</t>
        </is>
      </c>
      <c r="J68" s="43" t="inlineStr">
        <is>
          <t>1. Tạo Case
2. Sửa
3. Xem detail
4. Xóa
5. Restore (ADMIN)</t>
        </is>
      </c>
      <c r="K68" s="43" t="inlineStr">
        <is>
          <t>primary browser</t>
        </is>
      </c>
      <c r="L68" s="43" t="inlineStr">
        <is>
          <t>Toàn bộ luồng không có layout bug, không error console</t>
        </is>
      </c>
      <c r="M68" s="43" t="inlineStr">
        <is>
          <t>Tất cả 200/201</t>
        </is>
      </c>
      <c r="N68" s="43" t="inlineStr">
        <is>
          <t>DB/Audit đầy đủ</t>
        </is>
      </c>
      <c r="O68" s="40" t="inlineStr">
        <is>
          <t>High</t>
        </is>
      </c>
      <c r="P68" s="43" t="inlineStr">
        <is>
          <t>Test đã bị skip</t>
        </is>
      </c>
      <c r="Q68" s="40" t="inlineStr">
        <is>
          <t>Bỏ qua</t>
        </is>
      </c>
      <c r="R68" s="40" t="inlineStr"/>
      <c r="S68" s="40" t="inlineStr">
        <is>
          <t>23/05/2026 17:23</t>
        </is>
      </c>
      <c r="T68" s="43" t="inlineStr">
        <is>
          <t>R1:Bỏ qua</t>
        </is>
      </c>
      <c r="U68" s="40" t="inlineStr"/>
      <c r="V68" s="43" t="inlineStr"/>
    </row>
    <row r="69" ht="80" customHeight="1">
      <c r="A69" s="40" t="inlineStr">
        <is>
          <t>TC-066</t>
        </is>
      </c>
      <c r="B69" s="55" t="inlineStr">
        <is>
          <t>COMPAT</t>
        </is>
      </c>
      <c r="C69" s="46" t="inlineStr">
        <is>
          <t>P2</t>
        </is>
      </c>
      <c r="D69" s="43" t="inlineStr">
        <is>
          <t>Mobile</t>
        </is>
      </c>
      <c r="E69" s="43" t="inlineStr">
        <is>
          <t>iOS Safari mobile 375x667 — list + detail usable</t>
        </is>
      </c>
      <c r="F69" s="40" t="inlineStr">
        <is>
          <t>REQ-CASE-COMPAT-MOBILE</t>
        </is>
      </c>
      <c r="G69" s="40" t="inlineStr">
        <is>
          <t>Compatibility — mobile</t>
        </is>
      </c>
      <c r="H69" s="40" t="inlineStr">
        <is>
          <t>TB</t>
        </is>
      </c>
      <c r="I69" s="43" t="inlineStr">
        <is>
          <t>iPhone SE simulator hoặc thiết bị thật</t>
        </is>
      </c>
      <c r="J69" s="43" t="inlineStr">
        <is>
          <t>1. Mở /cases
2. Scroll list
3. Click 1 case → detail
4. Bấm 'Sửa'</t>
        </is>
      </c>
      <c r="K69" s="43" t="inlineStr">
        <is>
          <t>viewport 375x667, Safari</t>
        </is>
      </c>
      <c r="L69" s="43" t="inlineStr">
        <is>
          <t>1. Hamburger menu thay sidebar
2. Bảng list → cards stack
3. Form responsive
4. Tab bar bottom-fixed nếu có</t>
        </is>
      </c>
      <c r="M69" s="43" t="inlineStr">
        <is>
          <t>200 bình thường</t>
        </is>
      </c>
      <c r="N69" s="43" t="inlineStr">
        <is>
          <t>Không</t>
        </is>
      </c>
      <c r="O69" s="40" t="inlineStr">
        <is>
          <t>Medium</t>
        </is>
      </c>
      <c r="P69" s="43" t="inlineStr">
        <is>
          <t>Test đã bị skip</t>
        </is>
      </c>
      <c r="Q69" s="40" t="inlineStr">
        <is>
          <t>Bỏ qua</t>
        </is>
      </c>
      <c r="R69" s="40" t="inlineStr"/>
      <c r="S69" s="40" t="inlineStr">
        <is>
          <t>23/05/2026 17:23</t>
        </is>
      </c>
      <c r="T69" s="43" t="inlineStr">
        <is>
          <t>R1:Bỏ qua</t>
        </is>
      </c>
      <c r="U69" s="40" t="inlineStr"/>
      <c r="V69" s="43" t="inlineStr"/>
    </row>
    <row r="70" ht="80" customHeight="1">
      <c r="A70" s="40" t="inlineStr">
        <is>
          <t>TC-067</t>
        </is>
      </c>
      <c r="B70" s="55" t="inlineStr">
        <is>
          <t>COMPAT</t>
        </is>
      </c>
      <c r="C70" s="46" t="inlineStr">
        <is>
          <t>P2</t>
        </is>
      </c>
      <c r="D70" s="43" t="inlineStr">
        <is>
          <t>Browser</t>
        </is>
      </c>
      <c r="E70" s="43" t="inlineStr">
        <is>
          <t>Edge latest 1366x768 — không vỡ layout</t>
        </is>
      </c>
      <c r="F70" s="40" t="inlineStr">
        <is>
          <t>REQ-CASE-COMPAT-EDGE</t>
        </is>
      </c>
      <c r="G70" s="40" t="inlineStr">
        <is>
          <t>Compatibility — secondary browser</t>
        </is>
      </c>
      <c r="H70" s="40" t="inlineStr">
        <is>
          <t>Thấp</t>
        </is>
      </c>
      <c r="I70" s="43" t="inlineStr">
        <is>
          <t>Edge 120+, Windows 11, 1366x768</t>
        </is>
      </c>
      <c r="J70" s="43" t="inlineStr">
        <is>
          <t>Mở /cases + /cases/new + /cases/:id</t>
        </is>
      </c>
      <c r="K70" s="43" t="inlineStr">
        <is>
          <t>Edge browser</t>
        </is>
      </c>
      <c r="L70" s="43" t="inlineStr">
        <is>
          <t>Layout giống Chrome, không lệch element, không CSS error</t>
        </is>
      </c>
      <c r="M70" s="43" t="inlineStr">
        <is>
          <t>200</t>
        </is>
      </c>
      <c r="N70" s="43" t="inlineStr">
        <is>
          <t>Không</t>
        </is>
      </c>
      <c r="O70" s="40" t="inlineStr">
        <is>
          <t>Low</t>
        </is>
      </c>
      <c r="P70" s="43" t="inlineStr">
        <is>
          <t>Test đã bị skip</t>
        </is>
      </c>
      <c r="Q70" s="40" t="inlineStr">
        <is>
          <t>Bỏ qua</t>
        </is>
      </c>
      <c r="R70" s="40" t="inlineStr"/>
      <c r="S70" s="40" t="inlineStr">
        <is>
          <t>23/05/2026 17:23</t>
        </is>
      </c>
      <c r="T70" s="43" t="inlineStr">
        <is>
          <t>R1:Bỏ qua</t>
        </is>
      </c>
      <c r="U70" s="40" t="inlineStr"/>
      <c r="V70" s="43" t="inlineStr"/>
    </row>
    <row r="71" ht="80" customHeight="1">
      <c r="A71" s="40" t="inlineStr">
        <is>
          <t>TC-068</t>
        </is>
      </c>
      <c r="B71" s="56" t="inlineStr">
        <is>
          <t>AUDIT</t>
        </is>
      </c>
      <c r="C71" s="42" t="inlineStr">
        <is>
          <t>P0</t>
        </is>
      </c>
      <c r="D71" s="43" t="inlineStr">
        <is>
          <t>Update</t>
        </is>
      </c>
      <c r="E71" s="43" t="inlineStr">
        <is>
          <t>CASE_STATUS_CHANGED audit log có fromStatus + toStatus</t>
        </is>
      </c>
      <c r="F71" s="40" t="inlineStr">
        <is>
          <t>REQ-CASE-AUDIT-STATUS</t>
        </is>
      </c>
      <c r="G71" s="40" t="inlineStr">
        <is>
          <t>Audit — log content</t>
        </is>
      </c>
      <c r="H71" s="40" t="inlineStr">
        <is>
          <t>Cao</t>
        </is>
      </c>
      <c r="I71" s="43" t="inlineStr">
        <is>
          <t>User login. Case CASE-A01 status=TIEP_NHAN</t>
        </is>
      </c>
      <c r="J71" s="43" t="inlineStr">
        <is>
          <t>1. PUT /cases/CASE-A01 {status:'DANG_XAC_MINH', expectedUpdatedAt}
2. SELECT * FROM audit_logs WHERE subjectId='CASE-A01' AND action='CASE_STATUS_CHANGED'</t>
        </is>
      </c>
      <c r="K71" s="43" t="inlineStr">
        <is>
          <t>transition TIEP_NHAN→DANG_XAC_MINH</t>
        </is>
      </c>
      <c r="L71" s="43" t="inlineStr">
        <is>
          <t>Trang /admin/audit-logs row mới hiển thị diff</t>
        </is>
      </c>
      <c r="M71" s="43" t="inlineStr">
        <is>
          <t>Log entry: {action:'CASE_STATUS_CHANGED', metadata:{fromStatus:'TIEP_NHAN', toStatus:'DANG_XAC_MINH', changedAt}}</t>
        </is>
      </c>
      <c r="N71" s="43" t="inlineStr">
        <is>
          <t>1. audit_logs row mới
2. case_status_history cũng có row mới (double-tracking)</t>
        </is>
      </c>
      <c r="O71" s="40" t="inlineStr">
        <is>
          <t>Critical</t>
        </is>
      </c>
      <c r="P71" s="43" t="inlineStr">
        <is>
          <t>Test đã bị skip</t>
        </is>
      </c>
      <c r="Q71" s="40" t="inlineStr">
        <is>
          <t>Bỏ qua</t>
        </is>
      </c>
      <c r="R71" s="40" t="inlineStr"/>
      <c r="S71" s="40" t="inlineStr">
        <is>
          <t>23/05/2026 17:23</t>
        </is>
      </c>
      <c r="T71" s="43" t="inlineStr">
        <is>
          <t>R1:Bỏ qua</t>
        </is>
      </c>
      <c r="U71" s="40" t="inlineStr"/>
      <c r="V71" s="43" t="inlineStr">
        <is>
          <t>Logic cases.service.ts:684-696</t>
        </is>
      </c>
    </row>
    <row r="72" ht="80" customHeight="1">
      <c r="A72" s="40" t="inlineStr">
        <is>
          <t>TC-069</t>
        </is>
      </c>
      <c r="B72" s="56" t="inlineStr">
        <is>
          <t>AUDIT</t>
        </is>
      </c>
      <c r="C72" s="42" t="inlineStr">
        <is>
          <t>P0</t>
        </is>
      </c>
      <c r="D72" s="43" t="inlineStr">
        <is>
          <t>Delete</t>
        </is>
      </c>
      <c r="E72" s="43" t="inlineStr">
        <is>
          <t>CASE_DELETED audit log lưu reason đầy đủ + actor</t>
        </is>
      </c>
      <c r="F72" s="40" t="inlineStr">
        <is>
          <t>REQ-CASE-AUDIT-DELETE</t>
        </is>
      </c>
      <c r="G72" s="40" t="inlineStr">
        <is>
          <t>Audit — log content</t>
        </is>
      </c>
      <c r="H72" s="40" t="inlineStr">
        <is>
          <t>Cao</t>
        </is>
      </c>
      <c r="I72" s="43" t="inlineStr">
        <is>
          <t>User login (creator), Case TIEP_NHAN</t>
        </is>
      </c>
      <c r="J72" s="43" t="inlineStr">
        <is>
          <t>1. DELETE /cases/CASE-A02 {reason:'Trùng lặp với CASE-098 — đối chiếu hồ sơ 23/05/2026'}
2. Kiểm tra audit_logs</t>
        </is>
      </c>
      <c r="K72" s="43" t="inlineStr">
        <is>
          <t>reason='Trùng lặp với CASE-098 — đối chiếu hồ sơ 23/05/2026' (62 chars)</t>
        </is>
      </c>
      <c r="L72" s="43" t="inlineStr">
        <is>
          <t>Audit log dashboard hiển thị reason đầy đủ</t>
        </is>
      </c>
      <c r="M72" s="43" t="inlineStr">
        <is>
          <t>Log: {action:'CASE_DELETED', userId, subjectId:'CASE-A02', metadata:{reason:&lt;full text&gt;}}</t>
        </is>
      </c>
      <c r="N72" s="43" t="inlineStr">
        <is>
          <t>1. audit_logs INSERT
2. cases.deletedAt set
3. Transaction atomic — nếu log fail thì rollback delete</t>
        </is>
      </c>
      <c r="O72" s="40" t="inlineStr">
        <is>
          <t>Critical</t>
        </is>
      </c>
      <c r="P72" s="43" t="inlineStr">
        <is>
          <t>Test đã bị skip</t>
        </is>
      </c>
      <c r="Q72" s="40" t="inlineStr">
        <is>
          <t>Bỏ qua</t>
        </is>
      </c>
      <c r="R72" s="40" t="inlineStr"/>
      <c r="S72" s="40" t="inlineStr">
        <is>
          <t>23/05/2026 17:23</t>
        </is>
      </c>
      <c r="T72" s="43" t="inlineStr">
        <is>
          <t>R1:Bỏ qua</t>
        </is>
      </c>
      <c r="U72" s="40" t="inlineStr"/>
      <c r="V72" s="43" t="inlineStr">
        <is>
          <t>v0.31.0.2 — $transaction wrap</t>
        </is>
      </c>
    </row>
  </sheetData>
  <autoFilter ref="A3:V72"/>
  <mergeCells count="2">
    <mergeCell ref="A2:V2"/>
    <mergeCell ref="A1:V1"/>
  </mergeCells>
  <conditionalFormatting sqref="Q4:Q72">
    <cfRule type="cellIs" priority="1" operator="equal" dxfId="2">
      <formula>"Đạt"</formula>
    </cfRule>
    <cfRule type="cellIs" priority="2" operator="equal" dxfId="3">
      <formula>"Không đạt"</formula>
    </cfRule>
    <cfRule type="cellIs" priority="3" operator="equal" dxfId="4">
      <formula>"Bị chặn"</formula>
    </cfRule>
    <cfRule type="cellIs" priority="4" operator="equal" dxfId="5">
      <formula>"Bỏ qua"</formula>
    </cfRule>
  </conditionalFormatting>
  <conditionalFormatting sqref="U4:U72">
    <cfRule type="cellIs" priority="5" operator="equal" dxfId="6">
      <formula>"⚠️ REGRESSION"</formula>
    </cfRule>
    <cfRule type="cellIs" priority="6" operator="equal" dxfId="2">
      <formula>"✓ Đã fix"</formula>
    </cfRule>
  </conditionalFormatting>
  <dataValidations count="2">
    <dataValidation sqref="Q4:Q72" showDropDown="0" showInputMessage="0" showErrorMessage="0" allowBlank="1" error="Chọn một trạng thái hợp lệ" prompt="Chưa chạy / Đang chạy / Đạt / Không đạt / Bị chặn / Bỏ qua" type="list">
      <formula1>"Chưa chạy,Đang chạy,Đạt,Không đạt,Bị chặn,Bỏ qua"</formula1>
    </dataValidation>
    <dataValidation sqref="U4:U72" showDropDown="0" showInputMessage="0" showErrorMessage="0" allowBlank="1" prompt="Tự động đánh dấu nếu TC từng Đạt nay Không đạt" type="list">
      <formula1>"⚠️ REGRESSION,✓ Đã fix"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3"/>
  <sheetViews>
    <sheetView workbookViewId="0">
      <selection activeCell="A1" sqref="A1"/>
    </sheetView>
  </sheetViews>
  <sheetFormatPr baseColWidth="8" defaultRowHeight="15"/>
  <cols>
    <col width="10" customWidth="1" min="1" max="1"/>
    <col width="30" customWidth="1" min="2" max="2"/>
    <col width="25" customWidth="1" min="3" max="3"/>
    <col width="15" customWidth="1" min="4" max="4"/>
    <col width="18" customWidth="1" min="5" max="5"/>
    <col width="35" customWidth="1" min="6" max="6"/>
    <col width="25" customWidth="1" min="7" max="7"/>
  </cols>
  <sheetData>
    <row r="1" ht="25" customHeight="1">
      <c r="A1" s="57" t="inlineStr">
        <is>
          <t>1. TÀI KHOẢN KIỂM THỬ</t>
        </is>
      </c>
    </row>
    <row r="2">
      <c r="A2" s="10" t="inlineStr">
        <is>
          <t>ID</t>
        </is>
      </c>
      <c r="B2" s="10" t="inlineStr">
        <is>
          <t>Email</t>
        </is>
      </c>
      <c r="C2" s="10" t="inlineStr">
        <is>
          <t>Mật khẩu</t>
        </is>
      </c>
      <c r="D2" s="10" t="inlineStr">
        <is>
          <t>Vai trò</t>
        </is>
      </c>
      <c r="E2" s="10" t="inlineStr">
        <is>
          <t>Trạng thái</t>
        </is>
      </c>
      <c r="F2" s="10" t="inlineStr">
        <is>
          <t>Mục đích</t>
        </is>
      </c>
      <c r="G2" s="10" t="inlineStr">
        <is>
          <t>Ghi chú</t>
        </is>
      </c>
    </row>
    <row r="3">
      <c r="A3" s="43" t="inlineStr">
        <is>
          <t>U001</t>
        </is>
      </c>
      <c r="B3" s="43" t="inlineStr">
        <is>
          <t>dieuTra1@pc02.local</t>
        </is>
      </c>
      <c r="C3" s="43" t="inlineStr">
        <is>
          <t>Test@1234</t>
        </is>
      </c>
      <c r="D3" s="43" t="inlineStr">
        <is>
          <t>DIEU_TRA_VIEN</t>
        </is>
      </c>
      <c r="E3" s="43" t="inlineStr">
        <is>
          <t>Active</t>
        </is>
      </c>
      <c r="F3" s="43" t="inlineStr">
        <is>
          <t>Happy path — tạo/sửa/xem Case của mình</t>
        </is>
      </c>
      <c r="G3" s="43" t="inlineStr">
        <is>
          <t>Thuộc Team T1, có quyền write Case</t>
        </is>
      </c>
    </row>
    <row r="4">
      <c r="A4" s="43" t="inlineStr">
        <is>
          <t>U002</t>
        </is>
      </c>
      <c r="B4" s="43" t="inlineStr">
        <is>
          <t>dieuTra2@pc02.local</t>
        </is>
      </c>
      <c r="C4" s="43" t="inlineStr">
        <is>
          <t>Test@1234</t>
        </is>
      </c>
      <c r="D4" s="43" t="inlineStr">
        <is>
          <t>DIEU_TRA_VIEN</t>
        </is>
      </c>
      <c r="E4" s="43" t="inlineStr">
        <is>
          <t>Active</t>
        </is>
      </c>
      <c r="F4" s="43" t="inlineStr">
        <is>
          <t>Test cross-team forbid (IDOR ngang)</t>
        </is>
      </c>
      <c r="G4" s="43" t="inlineStr">
        <is>
          <t>Thuộc Team T2 — không có quyền xem Case team T1</t>
        </is>
      </c>
    </row>
    <row r="5">
      <c r="A5" s="43" t="inlineStr">
        <is>
          <t>U003</t>
        </is>
      </c>
      <c r="B5" s="43" t="inlineStr">
        <is>
          <t>dispatcher@pc02.local</t>
        </is>
      </c>
      <c r="C5" s="43" t="inlineStr">
        <is>
          <t>Test@1234</t>
        </is>
      </c>
      <c r="D5" s="43" t="inlineStr">
        <is>
          <t>CAN_BO_PHAN_CONG</t>
        </is>
      </c>
      <c r="E5" s="43" t="inlineStr">
        <is>
          <t>Active</t>
        </is>
      </c>
      <c r="F5" s="43" t="inlineStr">
        <is>
          <t>Test phân công + xem full list</t>
        </is>
      </c>
      <c r="G5" s="43" t="inlineStr">
        <is>
          <t>canDispatch=true</t>
        </is>
      </c>
    </row>
    <row r="6">
      <c r="A6" s="43" t="inlineStr">
        <is>
          <t>U004</t>
        </is>
      </c>
      <c r="B6" s="43" t="inlineStr">
        <is>
          <t>admin@pc02.local</t>
        </is>
      </c>
      <c r="C6" s="43" t="inlineStr">
        <is>
          <t>Admin@2025</t>
        </is>
      </c>
      <c r="D6" s="43" t="inlineStr">
        <is>
          <t>ADMIN</t>
        </is>
      </c>
      <c r="E6" s="43" t="inlineStr">
        <is>
          <t>Active</t>
        </is>
      </c>
      <c r="F6" s="43" t="inlineStr">
        <is>
          <t>Test restore + xem full</t>
        </is>
      </c>
      <c r="G6" s="43" t="inlineStr">
        <is>
          <t>Quyền full</t>
        </is>
      </c>
    </row>
    <row r="7">
      <c r="A7" s="43" t="inlineStr">
        <is>
          <t>U005</t>
        </is>
      </c>
      <c r="B7" s="43" t="inlineStr">
        <is>
          <t>locked@pc02.local</t>
        </is>
      </c>
      <c r="C7" s="43" t="inlineStr">
        <is>
          <t>Test@1234</t>
        </is>
      </c>
      <c r="D7" s="43" t="inlineStr">
        <is>
          <t>DIEU_TRA_VIEN</t>
        </is>
      </c>
      <c r="E7" s="43" t="inlineStr">
        <is>
          <t>Locked</t>
        </is>
      </c>
      <c r="F7" s="43" t="inlineStr">
        <is>
          <t>Test login fail</t>
        </is>
      </c>
      <c r="G7" s="43" t="inlineStr">
        <is>
          <t>Tài khoản bị khóa</t>
        </is>
      </c>
    </row>
    <row r="8">
      <c r="A8" s="43" t="inlineStr">
        <is>
          <t>U006</t>
        </is>
      </c>
      <c r="B8" s="43" t="inlineStr">
        <is>
          <t>tt_t2@pc02.local</t>
        </is>
      </c>
      <c r="C8" s="43" t="inlineStr">
        <is>
          <t>Test@1234</t>
        </is>
      </c>
      <c r="D8" s="43" t="inlineStr">
        <is>
          <t>TO_TRUONG</t>
        </is>
      </c>
      <c r="E8" s="43" t="inlineStr">
        <is>
          <t>Active</t>
        </is>
      </c>
      <c r="F8" s="43" t="inlineStr">
        <is>
          <t>Test team owner xem Case của team</t>
        </is>
      </c>
      <c r="G8" s="43" t="inlineStr">
        <is>
          <t>Tổ trưởng Team T2</t>
        </is>
      </c>
    </row>
    <row r="11" ht="25" customHeight="1">
      <c r="A11" s="57" t="inlineStr">
        <is>
          <t>2. BOUNDARY VALUES (BVA)</t>
        </is>
      </c>
    </row>
    <row r="12">
      <c r="A12" s="10" t="inlineStr">
        <is>
          <t>Field</t>
        </is>
      </c>
      <c r="B12" s="10" t="inlineStr">
        <is>
          <t>Giá trị</t>
        </is>
      </c>
      <c r="C12" s="10" t="inlineStr">
        <is>
          <t>Loại</t>
        </is>
      </c>
      <c r="D12" s="10" t="inlineStr">
        <is>
          <t>Kỳ vọng</t>
        </is>
      </c>
      <c r="E12" s="10" t="inlineStr">
        <is>
          <t>Ghi chú</t>
        </is>
      </c>
    </row>
    <row r="13">
      <c r="A13" s="43" t="inlineStr">
        <is>
          <t>name</t>
        </is>
      </c>
      <c r="B13" s="43" t="inlineStr">
        <is>
          <t>(empty)</t>
        </is>
      </c>
      <c r="C13" s="43" t="inlineStr">
        <is>
          <t>min-1</t>
        </is>
      </c>
      <c r="D13" s="43" t="inlineStr">
        <is>
          <t>FAIL</t>
        </is>
      </c>
      <c r="E13" s="43" t="inlineStr">
        <is>
          <t>@IsString cho phép '' — nhưng spec nên reject; test confirm</t>
        </is>
      </c>
    </row>
    <row r="14">
      <c r="A14" s="43" t="inlineStr">
        <is>
          <t>name</t>
        </is>
      </c>
      <c r="B14" s="43" t="inlineStr">
        <is>
          <t>A</t>
        </is>
      </c>
      <c r="C14" s="43" t="inlineStr">
        <is>
          <t>min</t>
        </is>
      </c>
      <c r="D14" s="43" t="inlineStr">
        <is>
          <t>PASS</t>
        </is>
      </c>
      <c r="E14" s="43" t="inlineStr">
        <is>
          <t>1 char hợp lệ</t>
        </is>
      </c>
    </row>
    <row r="15">
      <c r="A15" s="43" t="inlineStr">
        <is>
          <t>name</t>
        </is>
      </c>
      <c r="B15" s="43" t="inlineStr">
        <is>
          <t>(500 chars)</t>
        </is>
      </c>
      <c r="C15" s="43" t="inlineStr">
        <is>
          <t>max</t>
        </is>
      </c>
      <c r="D15" s="43" t="inlineStr">
        <is>
          <t>PASS</t>
        </is>
      </c>
      <c r="E15" s="43" t="inlineStr">
        <is>
          <t>Đúng giới hạn @MaxLength(500)</t>
        </is>
      </c>
    </row>
    <row r="16">
      <c r="A16" s="43" t="inlineStr">
        <is>
          <t>name</t>
        </is>
      </c>
      <c r="B16" s="43" t="inlineStr">
        <is>
          <t>(501 chars)</t>
        </is>
      </c>
      <c r="C16" s="43" t="inlineStr">
        <is>
          <t>max+1</t>
        </is>
      </c>
      <c r="D16" s="43" t="inlineStr">
        <is>
          <t>FAIL</t>
        </is>
      </c>
      <c r="E16" s="43" t="inlineStr">
        <is>
          <t>Vượt MaxLength</t>
        </is>
      </c>
    </row>
    <row r="17">
      <c r="A17" s="43" t="inlineStr">
        <is>
          <t>reason (delete)</t>
        </is>
      </c>
      <c r="B17" s="43" t="inlineStr">
        <is>
          <t>(9 chars)</t>
        </is>
      </c>
      <c r="C17" s="43" t="inlineStr">
        <is>
          <t>min-1</t>
        </is>
      </c>
      <c r="D17" s="43" t="inlineStr">
        <is>
          <t>FAIL</t>
        </is>
      </c>
      <c r="E17" s="43" t="inlineStr">
        <is>
          <t>DTO @MinLength(10)</t>
        </is>
      </c>
    </row>
    <row r="18">
      <c r="A18" s="43" t="inlineStr">
        <is>
          <t>reason (delete)</t>
        </is>
      </c>
      <c r="B18" s="43" t="inlineStr">
        <is>
          <t>(10 chars)</t>
        </is>
      </c>
      <c r="C18" s="43" t="inlineStr">
        <is>
          <t>min</t>
        </is>
      </c>
      <c r="D18" s="43" t="inlineStr">
        <is>
          <t>PASS</t>
        </is>
      </c>
      <c r="E18" s="43" t="inlineStr">
        <is>
          <t>Đủ min</t>
        </is>
      </c>
    </row>
    <row r="19">
      <c r="A19" s="43" t="inlineStr">
        <is>
          <t>reason (delete)</t>
        </is>
      </c>
      <c r="B19" s="43" t="inlineStr">
        <is>
          <t>(500 chars)</t>
        </is>
      </c>
      <c r="C19" s="43" t="inlineStr">
        <is>
          <t>max</t>
        </is>
      </c>
      <c r="D19" s="43" t="inlineStr">
        <is>
          <t>PASS</t>
        </is>
      </c>
      <c r="E19" s="43" t="inlineStr">
        <is>
          <t>Đúng max</t>
        </is>
      </c>
    </row>
    <row r="20">
      <c r="A20" s="43" t="inlineStr">
        <is>
          <t>reason (delete)</t>
        </is>
      </c>
      <c r="B20" s="43" t="inlineStr">
        <is>
          <t>(501 chars)</t>
        </is>
      </c>
      <c r="C20" s="43" t="inlineStr">
        <is>
          <t>max+1</t>
        </is>
      </c>
      <c r="D20" s="43" t="inlineStr">
        <is>
          <t>FAIL</t>
        </is>
      </c>
      <c r="E20" s="43" t="inlineStr">
        <is>
          <t>@MaxLength(500)</t>
        </is>
      </c>
    </row>
    <row r="21">
      <c r="A21" s="43" t="inlineStr">
        <is>
          <t>subjectsCount</t>
        </is>
      </c>
      <c r="B21" s="43" t="inlineStr">
        <is>
          <t>-1</t>
        </is>
      </c>
      <c r="C21" s="43" t="inlineStr">
        <is>
          <t>min-1</t>
        </is>
      </c>
      <c r="D21" s="43" t="inlineStr">
        <is>
          <t>FAIL</t>
        </is>
      </c>
      <c r="E21" s="43" t="inlineStr">
        <is>
          <t>@Min(0)</t>
        </is>
      </c>
    </row>
    <row r="22">
      <c r="A22" s="43" t="inlineStr">
        <is>
          <t>subjectsCount</t>
        </is>
      </c>
      <c r="B22" s="43" t="inlineStr">
        <is>
          <t>0</t>
        </is>
      </c>
      <c r="C22" s="43" t="inlineStr">
        <is>
          <t>min</t>
        </is>
      </c>
      <c r="D22" s="43" t="inlineStr">
        <is>
          <t>PASS</t>
        </is>
      </c>
      <c r="E22" s="43" t="inlineStr">
        <is>
          <t>Đúng min</t>
        </is>
      </c>
    </row>
    <row r="23">
      <c r="A23" s="43" t="inlineStr">
        <is>
          <t>subjectsCount</t>
        </is>
      </c>
      <c r="B23" s="43" t="inlineStr">
        <is>
          <t>2147483647</t>
        </is>
      </c>
      <c r="C23" s="43" t="inlineStr">
        <is>
          <t>max</t>
        </is>
      </c>
      <c r="D23" s="43" t="inlineStr">
        <is>
          <t>PASS</t>
        </is>
      </c>
      <c r="E23" s="43" t="inlineStr">
        <is>
          <t>Int max</t>
        </is>
      </c>
    </row>
    <row r="24">
      <c r="A24" s="43" t="inlineStr">
        <is>
          <t>crime</t>
        </is>
      </c>
      <c r="B24" s="43" t="inlineStr">
        <is>
          <t>(256 chars)</t>
        </is>
      </c>
      <c r="C24" s="43" t="inlineStr">
        <is>
          <t>max+1</t>
        </is>
      </c>
      <c r="D24" s="43" t="inlineStr">
        <is>
          <t>FAIL</t>
        </is>
      </c>
      <c r="E24" s="43" t="inlineStr">
        <is>
          <t>@MaxLength(255)</t>
        </is>
      </c>
    </row>
    <row r="25">
      <c r="A25" s="43" t="inlineStr">
        <is>
          <t>unit</t>
        </is>
      </c>
      <c r="B25" s="43" t="inlineStr">
        <is>
          <t>(255 chars)</t>
        </is>
      </c>
      <c r="C25" s="43" t="inlineStr">
        <is>
          <t>max</t>
        </is>
      </c>
      <c r="D25" s="43" t="inlineStr">
        <is>
          <t>PASS</t>
        </is>
      </c>
      <c r="E25" s="43" t="inlineStr"/>
    </row>
    <row r="26">
      <c r="A26" s="43" t="inlineStr">
        <is>
          <t>sourceDocumentNote</t>
        </is>
      </c>
      <c r="B26" s="43" t="inlineStr">
        <is>
          <t>(1001 chars)</t>
        </is>
      </c>
      <c r="C26" s="43" t="inlineStr">
        <is>
          <t>max+1</t>
        </is>
      </c>
      <c r="D26" s="43" t="inlineStr">
        <is>
          <t>FAIL</t>
        </is>
      </c>
      <c r="E26" s="43" t="inlineStr">
        <is>
          <t>@MaxLength(1000)</t>
        </is>
      </c>
    </row>
    <row r="29" ht="25" customHeight="1">
      <c r="A29" s="57" t="inlineStr">
        <is>
          <t>3. SECURITY PAYLOADS (OWASP)</t>
        </is>
      </c>
    </row>
    <row r="30">
      <c r="A30" s="10" t="inlineStr">
        <is>
          <t>Field/Endpoint</t>
        </is>
      </c>
      <c r="B30" s="10" t="inlineStr">
        <is>
          <t>Payload</t>
        </is>
      </c>
      <c r="C30" s="10" t="inlineStr">
        <is>
          <t>Loại tấn công</t>
        </is>
      </c>
      <c r="D30" s="10" t="inlineStr">
        <is>
          <t>Kỳ vọng</t>
        </is>
      </c>
      <c r="E30" s="10" t="inlineStr">
        <is>
          <t>OWASP Reference</t>
        </is>
      </c>
    </row>
    <row r="31">
      <c r="A31" s="43" t="inlineStr">
        <is>
          <t>GET /cases?search=</t>
        </is>
      </c>
      <c r="B31" s="43" t="inlineStr">
        <is>
          <t>'; DROP TABLE cases;--</t>
        </is>
      </c>
      <c r="C31" s="43" t="inlineStr">
        <is>
          <t>SQL Injection</t>
        </is>
      </c>
      <c r="D31" s="43" t="inlineStr">
        <is>
          <t>Empty result, no SQL error, bảng cases nguyên vẹn</t>
        </is>
      </c>
      <c r="E31" s="43" t="inlineStr">
        <is>
          <t>A03:2021</t>
        </is>
      </c>
    </row>
    <row r="32">
      <c r="A32" s="43" t="inlineStr">
        <is>
          <t>GET /cases?search=</t>
        </is>
      </c>
      <c r="B32" s="43" t="inlineStr">
        <is>
          <t>' OR '1'='1</t>
        </is>
      </c>
      <c r="C32" s="43" t="inlineStr">
        <is>
          <t>SQL Injection (bypass)</t>
        </is>
      </c>
      <c r="D32" s="43" t="inlineStr">
        <is>
          <t>Không expose row ngoài scope</t>
        </is>
      </c>
      <c r="E32" s="43" t="inlineStr">
        <is>
          <t>A03:2021</t>
        </is>
      </c>
    </row>
    <row r="33">
      <c r="A33" s="43" t="inlineStr">
        <is>
          <t>POST /cases name=</t>
        </is>
      </c>
      <c r="B33" s="43" t="inlineStr">
        <is>
          <t>&lt;script&gt;alert('XSS')&lt;/script&gt;</t>
        </is>
      </c>
      <c r="C33" s="43" t="inlineStr">
        <is>
          <t>Stored XSS</t>
        </is>
      </c>
      <c r="D33" s="43" t="inlineStr">
        <is>
          <t>Stored raw nhưng render escaped (React)</t>
        </is>
      </c>
      <c r="E33" s="43" t="inlineStr">
        <is>
          <t>A03:2021</t>
        </is>
      </c>
    </row>
    <row r="34">
      <c r="A34" s="43" t="inlineStr">
        <is>
          <t>POST /cases name=</t>
        </is>
      </c>
      <c r="B34" s="43" t="inlineStr">
        <is>
          <t>&lt;img src=x onerror=alert(1)&gt;</t>
        </is>
      </c>
      <c r="C34" s="43" t="inlineStr">
        <is>
          <t>XSS — img onerror</t>
        </is>
      </c>
      <c r="D34" s="43" t="inlineStr">
        <is>
          <t>Escape, không exec</t>
        </is>
      </c>
      <c r="E34" s="43" t="inlineStr">
        <is>
          <t>A03:2021</t>
        </is>
      </c>
    </row>
    <row r="35">
      <c r="A35" s="43" t="inlineStr">
        <is>
          <t>POST /cases crime=</t>
        </is>
      </c>
      <c r="B35" s="43" t="inlineStr">
        <is>
          <t>javascript:alert(document.cookie)</t>
        </is>
      </c>
      <c r="C35" s="43" t="inlineStr">
        <is>
          <t>XSS — JS scheme</t>
        </is>
      </c>
      <c r="D35" s="43" t="inlineStr">
        <is>
          <t>Escape</t>
        </is>
      </c>
      <c r="E35" s="43" t="inlineStr">
        <is>
          <t>A03:2021</t>
        </is>
      </c>
    </row>
    <row r="36">
      <c r="A36" s="43" t="inlineStr">
        <is>
          <t>GET /cases/:id</t>
        </is>
      </c>
      <c r="B36" s="43" t="inlineStr">
        <is>
          <t>id='cAsE-DIff-TEAM'</t>
        </is>
      </c>
      <c r="C36" s="43" t="inlineStr">
        <is>
          <t>IDOR ngang</t>
        </is>
      </c>
      <c r="D36" s="43" t="inlineStr">
        <is>
          <t>403 ForbiddenException</t>
        </is>
      </c>
      <c r="E36" s="43" t="inlineStr">
        <is>
          <t>A01:2021</t>
        </is>
      </c>
    </row>
    <row r="37">
      <c r="A37" s="43" t="inlineStr">
        <is>
          <t>POST /cases/:id/restore</t>
        </is>
      </c>
      <c r="B37" s="43" t="inlineStr">
        <is>
          <t>User role thường</t>
        </is>
      </c>
      <c r="C37" s="43" t="inlineStr">
        <is>
          <t>Privilege escalation (vertical)</t>
        </is>
      </c>
      <c r="D37" s="43" t="inlineStr">
        <is>
          <t>403 PermissionsGuard reject</t>
        </is>
      </c>
      <c r="E37" s="43" t="inlineStr">
        <is>
          <t>A01:2021</t>
        </is>
      </c>
    </row>
    <row r="38">
      <c r="A38" s="43" t="inlineStr">
        <is>
          <t>PATCH /cases/:id/assign</t>
        </is>
      </c>
      <c r="B38" s="43" t="inlineStr">
        <is>
          <t>User non-dispatcher</t>
        </is>
      </c>
      <c r="C38" s="43" t="inlineStr">
        <is>
          <t>Privilege escalation</t>
        </is>
      </c>
      <c r="D38" s="43" t="inlineStr">
        <is>
          <t>403 DispatchGuard reject</t>
        </is>
      </c>
      <c r="E38" s="43" t="inlineStr">
        <is>
          <t>A01:2021</t>
        </is>
      </c>
    </row>
    <row r="39">
      <c r="A39" s="43" t="inlineStr">
        <is>
          <t>Authorization header</t>
        </is>
      </c>
      <c r="B39" s="43" t="inlineStr">
        <is>
          <t>Bearer (none)</t>
        </is>
      </c>
      <c r="C39" s="43" t="inlineStr">
        <is>
          <t>Auth bypass</t>
        </is>
      </c>
      <c r="D39" s="43" t="inlineStr">
        <is>
          <t>401 JwtAuthGuard</t>
        </is>
      </c>
      <c r="E39" s="43" t="inlineStr">
        <is>
          <t>A07:2021</t>
        </is>
      </c>
    </row>
    <row r="40">
      <c r="A40" s="43" t="inlineStr">
        <is>
          <t>Authorization header</t>
        </is>
      </c>
      <c r="B40" s="43" t="inlineStr">
        <is>
          <t>Bearer &lt;expired-jwt&gt;</t>
        </is>
      </c>
      <c r="C40" s="43" t="inlineStr">
        <is>
          <t>Session reuse</t>
        </is>
      </c>
      <c r="D40" s="43" t="inlineStr">
        <is>
          <t>401</t>
        </is>
      </c>
      <c r="E40" s="43" t="inlineStr">
        <is>
          <t>A07:2021</t>
        </is>
      </c>
    </row>
    <row r="41">
      <c r="A41" s="43" t="inlineStr">
        <is>
          <t>GET /cases/export/ward</t>
        </is>
      </c>
      <c r="B41" s="43" t="inlineStr">
        <is>
          <t>6 request / 60s</t>
        </is>
      </c>
      <c r="C41" s="43" t="inlineStr">
        <is>
          <t>DoS — no rate limit</t>
        </is>
      </c>
      <c r="D41" s="43" t="inlineStr">
        <is>
          <t>429 Too Many Requests</t>
        </is>
      </c>
      <c r="E41" s="43" t="inlineStr">
        <is>
          <t>A04:2021</t>
        </is>
      </c>
    </row>
    <row r="42">
      <c r="A42" s="43" t="inlineStr">
        <is>
          <t>POST /cases metadata=</t>
        </is>
      </c>
      <c r="B42" s="43" t="inlineStr">
        <is>
          <t>{"__proto__":{"admin":true}}</t>
        </is>
      </c>
      <c r="C42" s="43" t="inlineStr">
        <is>
          <t>Prototype pollution</t>
        </is>
      </c>
      <c r="D42" s="43" t="inlineStr">
        <is>
          <t>Reject hoặc strip prototype keys</t>
        </is>
      </c>
      <c r="E42" s="43" t="inlineStr">
        <is>
          <t>A08:2021</t>
        </is>
      </c>
    </row>
    <row r="43">
      <c r="A43" s="43" t="inlineStr">
        <is>
          <t>POST /cases name=</t>
        </is>
      </c>
      <c r="B43" s="43" t="inlineStr">
        <is>
          <t>AAAAAA…(5000 chars)</t>
        </is>
      </c>
      <c r="C43" s="43" t="inlineStr">
        <is>
          <t>Buffer overflow / Long input</t>
        </is>
      </c>
      <c r="D43" s="43" t="inlineStr">
        <is>
          <t>400 @MaxLength(500)</t>
        </is>
      </c>
      <c r="E43" s="43" t="inlineStr">
        <is>
          <t>A04:2021</t>
        </is>
      </c>
    </row>
  </sheetData>
  <mergeCells count="3">
    <mergeCell ref="A11:G11"/>
    <mergeCell ref="A1:G1"/>
    <mergeCell ref="A29:G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50" customWidth="1" min="3" max="3"/>
    <col width="14" customWidth="1" min="4" max="4"/>
    <col width="16" customWidth="1" min="5" max="5"/>
    <col width="16" customWidth="1" min="6" max="6"/>
    <col width="16" customWidth="1" min="7" max="7"/>
    <col width="16" customWidth="1" min="8" max="8"/>
    <col width="30" customWidth="1" min="9" max="9"/>
  </cols>
  <sheetData>
    <row r="1" ht="30" customHeight="1">
      <c r="A1" s="37" t="inlineStr">
        <is>
          <t>🐛 BUG TRACKER</t>
        </is>
      </c>
    </row>
    <row r="2">
      <c r="A2" s="58" t="inlineStr">
        <is>
          <t>Workflow: Open → Fixing → Fixed → Verified → Closed. Mỗi lần TC fail tự động tạo bug record.</t>
        </is>
      </c>
    </row>
    <row r="3" ht="35" customHeight="1">
      <c r="A3" s="39" t="inlineStr">
        <is>
          <t>Bug ID</t>
        </is>
      </c>
      <c r="B3" s="39" t="inlineStr">
        <is>
          <t>TC ID liên kết</t>
        </is>
      </c>
      <c r="C3" s="39" t="inlineStr">
        <is>
          <t>Mô tả bug</t>
        </is>
      </c>
      <c r="D3" s="39" t="inlineStr">
        <is>
          <t>Severity</t>
        </is>
      </c>
      <c r="E3" s="39" t="inlineStr">
        <is>
          <t>Status</t>
        </is>
      </c>
      <c r="F3" s="39" t="inlineStr">
        <is>
          <t>Ngày phát hiện</t>
        </is>
      </c>
      <c r="G3" s="39" t="inlineStr">
        <is>
          <t>Lần fix gần nhất</t>
        </is>
      </c>
      <c r="H3" s="39" t="inlineStr">
        <is>
          <t>Re-test kết quả</t>
        </is>
      </c>
      <c r="I3" s="39" t="inlineStr">
        <is>
          <t>Ghi chú</t>
        </is>
      </c>
    </row>
    <row r="4" ht="30" customHeight="1">
      <c r="A4" s="40" t="inlineStr">
        <is>
          <t>BUG-001</t>
        </is>
      </c>
      <c r="B4" s="40" t="inlineStr">
        <is>
          <t>TC-013</t>
        </is>
      </c>
      <c r="C4" s="43" t="inlineStr">
        <is>
          <t>Test fail: TC-013: name rỗng → 400 @P1 @RED</t>
        </is>
      </c>
      <c r="D4" s="40" t="inlineStr">
        <is>
          <t>High</t>
        </is>
      </c>
      <c r="E4" s="40" t="inlineStr">
        <is>
          <t>Open</t>
        </is>
      </c>
      <c r="F4" s="40" t="inlineStr">
        <is>
          <t>23/05/2026</t>
        </is>
      </c>
      <c r="G4" s="40" t="inlineStr"/>
      <c r="H4" s="40" t="inlineStr"/>
      <c r="I4" s="43" t="inlineStr"/>
    </row>
    <row r="5" ht="30" customHeight="1">
      <c r="A5" s="40" t="inlineStr">
        <is>
          <t>BUG-002</t>
        </is>
      </c>
      <c r="B5" s="40" t="inlineStr">
        <is>
          <t>TC-014</t>
        </is>
      </c>
      <c r="C5" s="43" t="inlineStr">
        <is>
          <t>Test fail: TC-014: name chỉ whitespace → kỳ vọng 400 (verify trim) @P1 @RED</t>
        </is>
      </c>
      <c r="D5" s="40" t="inlineStr">
        <is>
          <t>Medium</t>
        </is>
      </c>
      <c r="E5" s="40" t="inlineStr">
        <is>
          <t>Open</t>
        </is>
      </c>
      <c r="F5" s="40" t="inlineStr">
        <is>
          <t>23/05/2026</t>
        </is>
      </c>
      <c r="G5" s="40" t="inlineStr"/>
      <c r="H5" s="40" t="inlineStr"/>
      <c r="I5" s="43" t="inlineStr"/>
    </row>
    <row r="6" ht="30" customHeight="1">
      <c r="A6" s="40" t="inlineStr">
        <is>
          <t>BUG-003</t>
        </is>
      </c>
      <c r="B6" s="40" t="inlineStr">
        <is>
          <t>TC-039</t>
        </is>
      </c>
      <c r="C6" s="43" t="inlineStr">
        <is>
          <t>Test fail: TC-039: GET status-history sắp xếp desc theo time @P1 @STATE</t>
        </is>
      </c>
      <c r="D6" s="40" t="inlineStr">
        <is>
          <t>Medium</t>
        </is>
      </c>
      <c r="E6" s="40" t="inlineStr">
        <is>
          <t>Open</t>
        </is>
      </c>
      <c r="F6" s="40" t="inlineStr">
        <is>
          <t>23/05/2026</t>
        </is>
      </c>
      <c r="G6" s="40" t="inlineStr"/>
      <c r="H6" s="40" t="inlineStr"/>
      <c r="I6" s="43" t="inlineStr"/>
    </row>
    <row r="7" ht="30" customHeight="1">
      <c r="A7" s="40" t="inlineStr">
        <is>
          <t>BUG-004</t>
        </is>
      </c>
      <c r="B7" s="40" t="inlineStr">
        <is>
          <t>TC-057</t>
        </is>
      </c>
      <c r="C7" s="43" t="inlineStr">
        <is>
          <t>Test fail: TC-057: name có leading/trailing whitespace — kiểm tra trim @P2 @DATA</t>
        </is>
      </c>
      <c r="D7" s="40" t="inlineStr">
        <is>
          <t>Low</t>
        </is>
      </c>
      <c r="E7" s="40" t="inlineStr">
        <is>
          <t>Open</t>
        </is>
      </c>
      <c r="F7" s="40" t="inlineStr">
        <is>
          <t>23/05/2026</t>
        </is>
      </c>
      <c r="G7" s="40" t="inlineStr"/>
      <c r="H7" s="40" t="inlineStr"/>
      <c r="I7" s="43" t="inlineStr"/>
    </row>
    <row r="8" ht="30" customHeight="1">
      <c r="A8" s="40" t="inlineStr">
        <is>
          <t>BUG-005</t>
        </is>
      </c>
      <c r="B8" s="40" t="inlineStr">
        <is>
          <t>TC-062</t>
        </is>
      </c>
      <c r="C8" s="43" t="inlineStr">
        <is>
          <t>Test fail: TC-062: Tab keyboard navigate qua form Create @P2 @A11Y</t>
        </is>
      </c>
      <c r="D8" s="40" t="inlineStr">
        <is>
          <t>Medium</t>
        </is>
      </c>
      <c r="E8" s="40" t="inlineStr">
        <is>
          <t>Open</t>
        </is>
      </c>
      <c r="F8" s="40" t="inlineStr">
        <is>
          <t>23/05/2026</t>
        </is>
      </c>
      <c r="G8" s="40" t="inlineStr"/>
      <c r="H8" s="40" t="inlineStr"/>
      <c r="I8" s="43" t="inlineStr"/>
    </row>
    <row r="9" ht="30" customHeight="1">
      <c r="A9" s="40" t="inlineStr">
        <is>
          <t>BUG-006</t>
        </is>
      </c>
      <c r="B9" s="40" t="inlineStr">
        <is>
          <t>TC-064</t>
        </is>
      </c>
      <c r="C9" s="43" t="inlineStr">
        <is>
          <t>Test fail: TC-064: Contrast ratio của badge status &gt;= 4.5:1 @P2 @A11Y</t>
        </is>
      </c>
      <c r="D9" s="40" t="inlineStr">
        <is>
          <t>Medium</t>
        </is>
      </c>
      <c r="E9" s="40" t="inlineStr">
        <is>
          <t>Open</t>
        </is>
      </c>
      <c r="F9" s="40" t="inlineStr">
        <is>
          <t>23/05/2026</t>
        </is>
      </c>
      <c r="G9" s="40" t="inlineStr"/>
      <c r="H9" s="40" t="inlineStr"/>
      <c r="I9" s="43" t="inlineStr"/>
    </row>
    <row r="10" ht="30" customHeight="1">
      <c r="A10" s="40" t="inlineStr"/>
      <c r="B10" s="40" t="inlineStr"/>
      <c r="C10" s="43" t="inlineStr"/>
      <c r="D10" s="40" t="inlineStr"/>
      <c r="E10" s="40" t="inlineStr"/>
      <c r="F10" s="40" t="inlineStr"/>
      <c r="G10" s="40" t="inlineStr"/>
      <c r="H10" s="40" t="inlineStr"/>
      <c r="I10" s="43" t="inlineStr"/>
    </row>
    <row r="11" ht="30" customHeight="1">
      <c r="A11" s="40" t="inlineStr"/>
      <c r="B11" s="40" t="inlineStr"/>
      <c r="C11" s="43" t="inlineStr"/>
      <c r="D11" s="40" t="inlineStr"/>
      <c r="E11" s="40" t="inlineStr"/>
      <c r="F11" s="40" t="inlineStr"/>
      <c r="G11" s="40" t="inlineStr"/>
      <c r="H11" s="40" t="inlineStr"/>
      <c r="I11" s="43" t="inlineStr"/>
    </row>
    <row r="12" ht="30" customHeight="1">
      <c r="A12" s="40" t="inlineStr"/>
      <c r="B12" s="40" t="inlineStr"/>
      <c r="C12" s="43" t="inlineStr"/>
      <c r="D12" s="40" t="inlineStr"/>
      <c r="E12" s="40" t="inlineStr"/>
      <c r="F12" s="40" t="inlineStr"/>
      <c r="G12" s="40" t="inlineStr"/>
      <c r="H12" s="40" t="inlineStr"/>
      <c r="I12" s="43" t="inlineStr"/>
    </row>
    <row r="13" ht="30" customHeight="1">
      <c r="A13" s="40" t="inlineStr"/>
      <c r="B13" s="40" t="inlineStr"/>
      <c r="C13" s="43" t="inlineStr"/>
      <c r="D13" s="40" t="inlineStr"/>
      <c r="E13" s="40" t="inlineStr"/>
      <c r="F13" s="40" t="inlineStr"/>
      <c r="G13" s="40" t="inlineStr"/>
      <c r="H13" s="40" t="inlineStr"/>
      <c r="I13" s="43" t="inlineStr"/>
    </row>
    <row r="14" ht="30" customHeight="1">
      <c r="A14" s="40" t="inlineStr"/>
      <c r="B14" s="40" t="inlineStr"/>
      <c r="C14" s="43" t="inlineStr"/>
      <c r="D14" s="40" t="inlineStr"/>
      <c r="E14" s="40" t="inlineStr"/>
      <c r="F14" s="40" t="inlineStr"/>
      <c r="G14" s="40" t="inlineStr"/>
      <c r="H14" s="40" t="inlineStr"/>
      <c r="I14" s="43" t="inlineStr"/>
    </row>
    <row r="15" ht="30" customHeight="1">
      <c r="A15" s="40" t="inlineStr"/>
      <c r="B15" s="40" t="inlineStr"/>
      <c r="C15" s="43" t="inlineStr"/>
      <c r="D15" s="40" t="inlineStr"/>
      <c r="E15" s="40" t="inlineStr"/>
      <c r="F15" s="40" t="inlineStr"/>
      <c r="G15" s="40" t="inlineStr"/>
      <c r="H15" s="40" t="inlineStr"/>
      <c r="I15" s="43" t="inlineStr"/>
    </row>
    <row r="16" ht="30" customHeight="1">
      <c r="A16" s="40" t="inlineStr"/>
      <c r="B16" s="40" t="inlineStr"/>
      <c r="C16" s="43" t="inlineStr"/>
      <c r="D16" s="40" t="inlineStr"/>
      <c r="E16" s="40" t="inlineStr"/>
      <c r="F16" s="40" t="inlineStr"/>
      <c r="G16" s="40" t="inlineStr"/>
      <c r="H16" s="40" t="inlineStr"/>
      <c r="I16" s="43" t="inlineStr"/>
    </row>
    <row r="17" ht="30" customHeight="1">
      <c r="A17" s="40" t="inlineStr"/>
      <c r="B17" s="40" t="inlineStr"/>
      <c r="C17" s="43" t="inlineStr"/>
      <c r="D17" s="40" t="inlineStr"/>
      <c r="E17" s="40" t="inlineStr"/>
      <c r="F17" s="40" t="inlineStr"/>
      <c r="G17" s="40" t="inlineStr"/>
      <c r="H17" s="40" t="inlineStr"/>
      <c r="I17" s="43" t="inlineStr"/>
    </row>
    <row r="18" ht="30" customHeight="1">
      <c r="A18" s="40" t="inlineStr"/>
      <c r="B18" s="40" t="inlineStr"/>
      <c r="C18" s="43" t="inlineStr"/>
      <c r="D18" s="40" t="inlineStr"/>
      <c r="E18" s="40" t="inlineStr"/>
      <c r="F18" s="40" t="inlineStr"/>
      <c r="G18" s="40" t="inlineStr"/>
      <c r="H18" s="40" t="inlineStr"/>
      <c r="I18" s="43" t="inlineStr"/>
    </row>
    <row r="19" ht="30" customHeight="1">
      <c r="A19" s="40" t="inlineStr"/>
      <c r="B19" s="40" t="inlineStr"/>
      <c r="C19" s="43" t="inlineStr"/>
      <c r="D19" s="40" t="inlineStr"/>
      <c r="E19" s="40" t="inlineStr"/>
      <c r="F19" s="40" t="inlineStr"/>
      <c r="G19" s="40" t="inlineStr"/>
      <c r="H19" s="40" t="inlineStr"/>
      <c r="I19" s="43" t="inlineStr"/>
    </row>
    <row r="20" ht="30" customHeight="1">
      <c r="A20" s="40" t="inlineStr"/>
      <c r="B20" s="40" t="inlineStr"/>
      <c r="C20" s="43" t="inlineStr"/>
      <c r="D20" s="40" t="inlineStr"/>
      <c r="E20" s="40" t="inlineStr"/>
      <c r="F20" s="40" t="inlineStr"/>
      <c r="G20" s="40" t="inlineStr"/>
      <c r="H20" s="40" t="inlineStr"/>
      <c r="I20" s="43" t="inlineStr"/>
    </row>
    <row r="21" ht="30" customHeight="1">
      <c r="A21" s="40" t="inlineStr"/>
      <c r="B21" s="40" t="inlineStr"/>
      <c r="C21" s="43" t="inlineStr"/>
      <c r="D21" s="40" t="inlineStr"/>
      <c r="E21" s="40" t="inlineStr"/>
      <c r="F21" s="40" t="inlineStr"/>
      <c r="G21" s="40" t="inlineStr"/>
      <c r="H21" s="40" t="inlineStr"/>
      <c r="I21" s="43" t="inlineStr"/>
    </row>
    <row r="22" ht="30" customHeight="1">
      <c r="A22" s="40" t="inlineStr"/>
      <c r="B22" s="40" t="inlineStr"/>
      <c r="C22" s="43" t="inlineStr"/>
      <c r="D22" s="40" t="inlineStr"/>
      <c r="E22" s="40" t="inlineStr"/>
      <c r="F22" s="40" t="inlineStr"/>
      <c r="G22" s="40" t="inlineStr"/>
      <c r="H22" s="40" t="inlineStr"/>
      <c r="I22" s="43" t="inlineStr"/>
    </row>
    <row r="23" ht="30" customHeight="1">
      <c r="A23" s="40" t="inlineStr"/>
      <c r="B23" s="40" t="inlineStr"/>
      <c r="C23" s="43" t="inlineStr"/>
      <c r="D23" s="40" t="inlineStr"/>
      <c r="E23" s="40" t="inlineStr"/>
      <c r="F23" s="40" t="inlineStr"/>
      <c r="G23" s="40" t="inlineStr"/>
      <c r="H23" s="40" t="inlineStr"/>
      <c r="I23" s="43" t="inlineStr"/>
    </row>
    <row r="24" ht="30" customHeight="1">
      <c r="A24" s="40" t="inlineStr"/>
      <c r="B24" s="40" t="inlineStr"/>
      <c r="C24" s="43" t="inlineStr"/>
      <c r="D24" s="40" t="inlineStr"/>
      <c r="E24" s="40" t="inlineStr"/>
      <c r="F24" s="40" t="inlineStr"/>
      <c r="G24" s="40" t="inlineStr"/>
      <c r="H24" s="40" t="inlineStr"/>
      <c r="I24" s="43" t="inlineStr"/>
    </row>
    <row r="25" ht="30" customHeight="1">
      <c r="A25" s="40" t="inlineStr"/>
      <c r="B25" s="40" t="inlineStr"/>
      <c r="C25" s="43" t="inlineStr"/>
      <c r="D25" s="40" t="inlineStr"/>
      <c r="E25" s="40" t="inlineStr"/>
      <c r="F25" s="40" t="inlineStr"/>
      <c r="G25" s="40" t="inlineStr"/>
      <c r="H25" s="40" t="inlineStr"/>
      <c r="I25" s="43" t="inlineStr"/>
    </row>
    <row r="26" ht="30" customHeight="1">
      <c r="A26" s="40" t="inlineStr"/>
      <c r="B26" s="40" t="inlineStr"/>
      <c r="C26" s="43" t="inlineStr"/>
      <c r="D26" s="40" t="inlineStr"/>
      <c r="E26" s="40" t="inlineStr"/>
      <c r="F26" s="40" t="inlineStr"/>
      <c r="G26" s="40" t="inlineStr"/>
      <c r="H26" s="40" t="inlineStr"/>
      <c r="I26" s="43" t="inlineStr"/>
    </row>
    <row r="27" ht="30" customHeight="1">
      <c r="A27" s="40" t="inlineStr"/>
      <c r="B27" s="40" t="inlineStr"/>
      <c r="C27" s="43" t="inlineStr"/>
      <c r="D27" s="40" t="inlineStr"/>
      <c r="E27" s="40" t="inlineStr"/>
      <c r="F27" s="40" t="inlineStr"/>
      <c r="G27" s="40" t="inlineStr"/>
      <c r="H27" s="40" t="inlineStr"/>
      <c r="I27" s="43" t="inlineStr"/>
    </row>
    <row r="28" ht="30" customHeight="1">
      <c r="A28" s="40" t="inlineStr"/>
      <c r="B28" s="40" t="inlineStr"/>
      <c r="C28" s="43" t="inlineStr"/>
      <c r="D28" s="40" t="inlineStr"/>
      <c r="E28" s="40" t="inlineStr"/>
      <c r="F28" s="40" t="inlineStr"/>
      <c r="G28" s="40" t="inlineStr"/>
      <c r="H28" s="40" t="inlineStr"/>
      <c r="I28" s="43" t="inlineStr"/>
    </row>
    <row r="29" ht="30" customHeight="1">
      <c r="A29" s="40" t="inlineStr"/>
      <c r="B29" s="40" t="inlineStr"/>
      <c r="C29" s="43" t="inlineStr"/>
      <c r="D29" s="40" t="inlineStr"/>
      <c r="E29" s="40" t="inlineStr"/>
      <c r="F29" s="40" t="inlineStr"/>
      <c r="G29" s="40" t="inlineStr"/>
      <c r="H29" s="40" t="inlineStr"/>
      <c r="I29" s="43" t="inlineStr"/>
    </row>
    <row r="30" ht="30" customHeight="1">
      <c r="A30" s="40" t="inlineStr"/>
      <c r="B30" s="40" t="inlineStr"/>
      <c r="C30" s="43" t="inlineStr"/>
      <c r="D30" s="40" t="inlineStr"/>
      <c r="E30" s="40" t="inlineStr"/>
      <c r="F30" s="40" t="inlineStr"/>
      <c r="G30" s="40" t="inlineStr"/>
      <c r="H30" s="40" t="inlineStr"/>
      <c r="I30" s="43" t="inlineStr"/>
    </row>
    <row r="31" ht="30" customHeight="1">
      <c r="A31" s="40" t="inlineStr"/>
      <c r="B31" s="40" t="inlineStr"/>
      <c r="C31" s="43" t="inlineStr"/>
      <c r="D31" s="40" t="inlineStr"/>
      <c r="E31" s="40" t="inlineStr"/>
      <c r="F31" s="40" t="inlineStr"/>
      <c r="G31" s="40" t="inlineStr"/>
      <c r="H31" s="40" t="inlineStr"/>
      <c r="I31" s="43" t="inlineStr"/>
    </row>
    <row r="32" ht="30" customHeight="1">
      <c r="A32" s="40" t="inlineStr"/>
      <c r="B32" s="40" t="inlineStr"/>
      <c r="C32" s="43" t="inlineStr"/>
      <c r="D32" s="40" t="inlineStr"/>
      <c r="E32" s="40" t="inlineStr"/>
      <c r="F32" s="40" t="inlineStr"/>
      <c r="G32" s="40" t="inlineStr"/>
      <c r="H32" s="40" t="inlineStr"/>
      <c r="I32" s="43" t="inlineStr"/>
    </row>
    <row r="33" ht="30" customHeight="1">
      <c r="A33" s="40" t="inlineStr"/>
      <c r="B33" s="40" t="inlineStr"/>
      <c r="C33" s="43" t="inlineStr"/>
      <c r="D33" s="40" t="inlineStr"/>
      <c r="E33" s="40" t="inlineStr"/>
      <c r="F33" s="40" t="inlineStr"/>
      <c r="G33" s="40" t="inlineStr"/>
      <c r="H33" s="40" t="inlineStr"/>
      <c r="I33" s="43" t="inlineStr"/>
    </row>
    <row r="34" ht="30" customHeight="1">
      <c r="A34" s="40" t="inlineStr"/>
      <c r="B34" s="40" t="inlineStr"/>
      <c r="C34" s="43" t="inlineStr"/>
      <c r="D34" s="40" t="inlineStr"/>
      <c r="E34" s="40" t="inlineStr"/>
      <c r="F34" s="40" t="inlineStr"/>
      <c r="G34" s="40" t="inlineStr"/>
      <c r="H34" s="40" t="inlineStr"/>
      <c r="I34" s="43" t="inlineStr"/>
    </row>
    <row r="35" ht="30" customHeight="1">
      <c r="A35" s="40" t="inlineStr"/>
      <c r="B35" s="40" t="inlineStr"/>
      <c r="C35" s="43" t="inlineStr"/>
      <c r="D35" s="40" t="inlineStr"/>
      <c r="E35" s="40" t="inlineStr"/>
      <c r="F35" s="40" t="inlineStr"/>
      <c r="G35" s="40" t="inlineStr"/>
      <c r="H35" s="40" t="inlineStr"/>
      <c r="I35" s="43" t="inlineStr"/>
    </row>
    <row r="36" ht="30" customHeight="1">
      <c r="A36" s="40" t="inlineStr"/>
      <c r="B36" s="40" t="inlineStr"/>
      <c r="C36" s="43" t="inlineStr"/>
      <c r="D36" s="40" t="inlineStr"/>
      <c r="E36" s="40" t="inlineStr"/>
      <c r="F36" s="40" t="inlineStr"/>
      <c r="G36" s="40" t="inlineStr"/>
      <c r="H36" s="40" t="inlineStr"/>
      <c r="I36" s="43" t="inlineStr"/>
    </row>
    <row r="37" ht="30" customHeight="1">
      <c r="A37" s="40" t="inlineStr"/>
      <c r="B37" s="40" t="inlineStr"/>
      <c r="C37" s="43" t="inlineStr"/>
      <c r="D37" s="40" t="inlineStr"/>
      <c r="E37" s="40" t="inlineStr"/>
      <c r="F37" s="40" t="inlineStr"/>
      <c r="G37" s="40" t="inlineStr"/>
      <c r="H37" s="40" t="inlineStr"/>
      <c r="I37" s="43" t="inlineStr"/>
    </row>
    <row r="38" ht="30" customHeight="1">
      <c r="A38" s="40" t="inlineStr"/>
      <c r="B38" s="40" t="inlineStr"/>
      <c r="C38" s="43" t="inlineStr"/>
      <c r="D38" s="40" t="inlineStr"/>
      <c r="E38" s="40" t="inlineStr"/>
      <c r="F38" s="40" t="inlineStr"/>
      <c r="G38" s="40" t="inlineStr"/>
      <c r="H38" s="40" t="inlineStr"/>
      <c r="I38" s="43" t="inlineStr"/>
    </row>
    <row r="39" ht="30" customHeight="1">
      <c r="A39" s="40" t="inlineStr"/>
      <c r="B39" s="40" t="inlineStr"/>
      <c r="C39" s="43" t="inlineStr"/>
      <c r="D39" s="40" t="inlineStr"/>
      <c r="E39" s="40" t="inlineStr"/>
      <c r="F39" s="40" t="inlineStr"/>
      <c r="G39" s="40" t="inlineStr"/>
      <c r="H39" s="40" t="inlineStr"/>
      <c r="I39" s="43" t="inlineStr"/>
    </row>
    <row r="40" ht="30" customHeight="1">
      <c r="A40" s="40" t="inlineStr"/>
      <c r="B40" s="40" t="inlineStr"/>
      <c r="C40" s="43" t="inlineStr"/>
      <c r="D40" s="40" t="inlineStr"/>
      <c r="E40" s="40" t="inlineStr"/>
      <c r="F40" s="40" t="inlineStr"/>
      <c r="G40" s="40" t="inlineStr"/>
      <c r="H40" s="40" t="inlineStr"/>
      <c r="I40" s="43" t="inlineStr"/>
    </row>
    <row r="41" ht="30" customHeight="1">
      <c r="A41" s="40" t="inlineStr"/>
      <c r="B41" s="40" t="inlineStr"/>
      <c r="C41" s="43" t="inlineStr"/>
      <c r="D41" s="40" t="inlineStr"/>
      <c r="E41" s="40" t="inlineStr"/>
      <c r="F41" s="40" t="inlineStr"/>
      <c r="G41" s="40" t="inlineStr"/>
      <c r="H41" s="40" t="inlineStr"/>
      <c r="I41" s="43" t="inlineStr"/>
    </row>
    <row r="42" ht="30" customHeight="1">
      <c r="A42" s="40" t="inlineStr"/>
      <c r="B42" s="40" t="inlineStr"/>
      <c r="C42" s="43" t="inlineStr"/>
      <c r="D42" s="40" t="inlineStr"/>
      <c r="E42" s="40" t="inlineStr"/>
      <c r="F42" s="40" t="inlineStr"/>
      <c r="G42" s="40" t="inlineStr"/>
      <c r="H42" s="40" t="inlineStr"/>
      <c r="I42" s="43" t="inlineStr"/>
    </row>
    <row r="43" ht="30" customHeight="1">
      <c r="A43" s="40" t="inlineStr"/>
      <c r="B43" s="40" t="inlineStr"/>
      <c r="C43" s="43" t="inlineStr"/>
      <c r="D43" s="40" t="inlineStr"/>
      <c r="E43" s="40" t="inlineStr"/>
      <c r="F43" s="40" t="inlineStr"/>
      <c r="G43" s="40" t="inlineStr"/>
      <c r="H43" s="40" t="inlineStr"/>
      <c r="I43" s="43" t="inlineStr"/>
    </row>
    <row r="44" ht="30" customHeight="1">
      <c r="A44" s="40" t="inlineStr"/>
      <c r="B44" s="40" t="inlineStr"/>
      <c r="C44" s="43" t="inlineStr"/>
      <c r="D44" s="40" t="inlineStr"/>
      <c r="E44" s="40" t="inlineStr"/>
      <c r="F44" s="40" t="inlineStr"/>
      <c r="G44" s="40" t="inlineStr"/>
      <c r="H44" s="40" t="inlineStr"/>
      <c r="I44" s="43" t="inlineStr"/>
    </row>
    <row r="45" ht="30" customHeight="1">
      <c r="A45" s="40" t="inlineStr"/>
      <c r="B45" s="40" t="inlineStr"/>
      <c r="C45" s="43" t="inlineStr"/>
      <c r="D45" s="40" t="inlineStr"/>
      <c r="E45" s="40" t="inlineStr"/>
      <c r="F45" s="40" t="inlineStr"/>
      <c r="G45" s="40" t="inlineStr"/>
      <c r="H45" s="40" t="inlineStr"/>
      <c r="I45" s="43" t="inlineStr"/>
    </row>
    <row r="46" ht="30" customHeight="1">
      <c r="A46" s="40" t="inlineStr"/>
      <c r="B46" s="40" t="inlineStr"/>
      <c r="C46" s="43" t="inlineStr"/>
      <c r="D46" s="40" t="inlineStr"/>
      <c r="E46" s="40" t="inlineStr"/>
      <c r="F46" s="40" t="inlineStr"/>
      <c r="G46" s="40" t="inlineStr"/>
      <c r="H46" s="40" t="inlineStr"/>
      <c r="I46" s="43" t="inlineStr"/>
    </row>
    <row r="47" ht="30" customHeight="1">
      <c r="A47" s="40" t="inlineStr"/>
      <c r="B47" s="40" t="inlineStr"/>
      <c r="C47" s="43" t="inlineStr"/>
      <c r="D47" s="40" t="inlineStr"/>
      <c r="E47" s="40" t="inlineStr"/>
      <c r="F47" s="40" t="inlineStr"/>
      <c r="G47" s="40" t="inlineStr"/>
      <c r="H47" s="40" t="inlineStr"/>
      <c r="I47" s="43" t="inlineStr"/>
    </row>
    <row r="48" ht="30" customHeight="1">
      <c r="A48" s="40" t="inlineStr"/>
      <c r="B48" s="40" t="inlineStr"/>
      <c r="C48" s="43" t="inlineStr"/>
      <c r="D48" s="40" t="inlineStr"/>
      <c r="E48" s="40" t="inlineStr"/>
      <c r="F48" s="40" t="inlineStr"/>
      <c r="G48" s="40" t="inlineStr"/>
      <c r="H48" s="40" t="inlineStr"/>
      <c r="I48" s="43" t="inlineStr"/>
    </row>
    <row r="49" ht="30" customHeight="1">
      <c r="A49" s="40" t="inlineStr"/>
      <c r="B49" s="40" t="inlineStr"/>
      <c r="C49" s="43" t="inlineStr"/>
      <c r="D49" s="40" t="inlineStr"/>
      <c r="E49" s="40" t="inlineStr"/>
      <c r="F49" s="40" t="inlineStr"/>
      <c r="G49" s="40" t="inlineStr"/>
      <c r="H49" s="40" t="inlineStr"/>
      <c r="I49" s="43" t="inlineStr"/>
    </row>
    <row r="50" ht="30" customHeight="1">
      <c r="A50" s="40" t="inlineStr"/>
      <c r="B50" s="40" t="inlineStr"/>
      <c r="C50" s="43" t="inlineStr"/>
      <c r="D50" s="40" t="inlineStr"/>
      <c r="E50" s="40" t="inlineStr"/>
      <c r="F50" s="40" t="inlineStr"/>
      <c r="G50" s="40" t="inlineStr"/>
      <c r="H50" s="40" t="inlineStr"/>
      <c r="I50" s="43" t="inlineStr"/>
    </row>
    <row r="51" ht="30" customHeight="1">
      <c r="A51" s="40" t="inlineStr"/>
      <c r="B51" s="40" t="inlineStr"/>
      <c r="C51" s="43" t="inlineStr"/>
      <c r="D51" s="40" t="inlineStr"/>
      <c r="E51" s="40" t="inlineStr"/>
      <c r="F51" s="40" t="inlineStr"/>
      <c r="G51" s="40" t="inlineStr"/>
      <c r="H51" s="40" t="inlineStr"/>
      <c r="I51" s="43" t="inlineStr"/>
    </row>
    <row r="52" ht="30" customHeight="1">
      <c r="A52" s="40" t="inlineStr"/>
      <c r="B52" s="40" t="inlineStr"/>
      <c r="C52" s="43" t="inlineStr"/>
      <c r="D52" s="40" t="inlineStr"/>
      <c r="E52" s="40" t="inlineStr"/>
      <c r="F52" s="40" t="inlineStr"/>
      <c r="G52" s="40" t="inlineStr"/>
      <c r="H52" s="40" t="inlineStr"/>
      <c r="I52" s="43" t="inlineStr"/>
    </row>
    <row r="53" ht="30" customHeight="1">
      <c r="A53" s="40" t="inlineStr"/>
      <c r="B53" s="40" t="inlineStr"/>
      <c r="C53" s="43" t="inlineStr"/>
      <c r="D53" s="40" t="inlineStr"/>
      <c r="E53" s="40" t="inlineStr"/>
      <c r="F53" s="40" t="inlineStr"/>
      <c r="G53" s="40" t="inlineStr"/>
      <c r="H53" s="40" t="inlineStr"/>
      <c r="I53" s="43" t="inlineStr"/>
    </row>
  </sheetData>
  <autoFilter ref="A3:I53"/>
  <mergeCells count="2">
    <mergeCell ref="A1:I1"/>
    <mergeCell ref="A2:I2"/>
  </mergeCells>
  <conditionalFormatting sqref="E4:E54">
    <cfRule type="cellIs" priority="1" operator="equal" dxfId="3">
      <formula>"Open"</formula>
    </cfRule>
    <cfRule type="cellIs" priority="2" operator="equal" dxfId="4">
      <formula>"Fixing"</formula>
    </cfRule>
    <cfRule type="cellIs" priority="3" operator="equal" dxfId="7">
      <formula>"Fixed"</formula>
    </cfRule>
    <cfRule type="cellIs" priority="4" operator="equal" dxfId="2">
      <formula>"Verified"</formula>
    </cfRule>
    <cfRule type="cellIs" priority="5" operator="equal" dxfId="5">
      <formula>"Closed"</formula>
    </cfRule>
    <cfRule type="cellIs" priority="6" operator="equal" dxfId="8">
      <formula>"Reopened"</formula>
    </cfRule>
  </conditionalFormatting>
  <conditionalFormatting sqref="D4:D54">
    <cfRule type="cellIs" priority="7" operator="equal" dxfId="0">
      <formula>"Critical"</formula>
    </cfRule>
    <cfRule type="cellIs" priority="8" operator="equal" dxfId="9">
      <formula>"High"</formula>
    </cfRule>
    <cfRule type="cellIs" priority="9" operator="equal" dxfId="10">
      <formula>"Medium"</formula>
    </cfRule>
    <cfRule type="cellIs" priority="10" operator="equal" dxfId="11">
      <formula>"Low"</formula>
    </cfRule>
  </conditionalFormatting>
  <dataValidations count="3">
    <dataValidation sqref="D4:D54" showDropDown="0" showInputMessage="0" showErrorMessage="0" allowBlank="1" type="list">
      <formula1>"Critical,High,Medium,Low"</formula1>
    </dataValidation>
    <dataValidation sqref="E4:E54" showDropDown="0" showInputMessage="0" showErrorMessage="0" allowBlank="1" prompt="Open → Fixing → Fixed → Verified → Closed" type="list">
      <formula1>"Open,Fixing,Fixed,Verified,Closed,Reopened,Cannot Reproduce,Wont Fix"</formula1>
    </dataValidation>
    <dataValidation sqref="H4:H54" showDropDown="0" showInputMessage="0" showErrorMessage="0" allowBlank="1"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3"/>
  <sheetViews>
    <sheetView workbookViewId="0">
      <pane ySplit="3" topLeftCell="A4" activePane="bottomLeft" state="frozen"/>
      <selection pane="bottomLeft" activeCell="A1" sqref="A1"/>
    </sheetView>
  </sheetViews>
  <sheetFormatPr baseColWidth="8" defaultRowHeight="15"/>
  <cols>
    <col width="12" customWidth="1" min="1" max="1"/>
    <col width="14" customWidth="1" min="2" max="2"/>
    <col width="18" customWidth="1" min="3" max="3"/>
    <col width="16" customWidth="1" min="4" max="4"/>
    <col width="22" customWidth="1" min="5" max="5"/>
    <col width="18" customWidth="1" min="6" max="6"/>
    <col width="18" customWidth="1" min="7" max="7"/>
    <col width="14" customWidth="1" min="8" max="8"/>
    <col width="18" customWidth="1" min="9" max="9"/>
    <col width="50" customWidth="1" min="10" max="10"/>
    <col width="12" customWidth="1" min="11" max="11"/>
    <col width="16" customWidth="1" min="12" max="12"/>
    <col width="30" customWidth="1" min="13" max="13"/>
  </cols>
  <sheetData>
    <row r="1" ht="30" customHeight="1">
      <c r="A1" s="59" t="inlineStr">
        <is>
          <t>⚠️ REGRESSION LOG — Theo dõi lỗi level down (TC từng Đạt nay Không đạt)</t>
        </is>
      </c>
    </row>
    <row r="2" ht="35" customHeight="1">
      <c r="A2" s="60" t="inlineStr">
        <is>
          <t>Auto-generated bởi runner khi phát hiện TC từng Đạt giờ Không đạt sau khi fix bug khác. Severity tự động ESCALATE +1 level (High→Critical, Medium→High...). BẤT KỲ regression nào còn open đều BLOCK release.</t>
        </is>
      </c>
    </row>
    <row r="3" ht="35" customHeight="1">
      <c r="A3" s="61" t="inlineStr">
        <is>
          <t>Reg ID</t>
        </is>
      </c>
      <c r="B3" s="61" t="inlineStr">
        <is>
          <t>TC ID</t>
        </is>
      </c>
      <c r="C3" s="61" t="inlineStr">
        <is>
          <t>Module</t>
        </is>
      </c>
      <c r="D3" s="61" t="inlineStr">
        <is>
          <t>Lần phát hiện</t>
        </is>
      </c>
      <c r="E3" s="61" t="inlineStr">
        <is>
          <t>Bug gốc gây regression</t>
        </is>
      </c>
      <c r="F3" s="61" t="inlineStr">
        <is>
          <t>Status trước retest</t>
        </is>
      </c>
      <c r="G3" s="61" t="inlineStr">
        <is>
          <t>Status sau retest</t>
        </is>
      </c>
      <c r="H3" s="61" t="inlineStr">
        <is>
          <t>Severity gốc</t>
        </is>
      </c>
      <c r="I3" s="61" t="inlineStr">
        <is>
          <t>Severity regression</t>
        </is>
      </c>
      <c r="J3" s="61" t="inlineStr">
        <is>
          <t>Mô tả regression</t>
        </is>
      </c>
      <c r="K3" s="61" t="inlineStr">
        <is>
          <t>Đã fix?</t>
        </is>
      </c>
      <c r="L3" s="61" t="inlineStr">
        <is>
          <t>Ngày verify lại</t>
        </is>
      </c>
      <c r="M3" s="61" t="inlineStr">
        <is>
          <t>Ghi chú</t>
        </is>
      </c>
    </row>
    <row r="4" ht="35" customHeight="1">
      <c r="A4" s="40" t="inlineStr"/>
      <c r="B4" s="40" t="inlineStr"/>
      <c r="C4" s="43" t="inlineStr"/>
      <c r="D4" s="40" t="inlineStr"/>
      <c r="E4" s="43" t="inlineStr"/>
      <c r="F4" s="40" t="inlineStr"/>
      <c r="G4" s="40" t="inlineStr"/>
      <c r="H4" s="40" t="inlineStr"/>
      <c r="I4" s="40" t="inlineStr"/>
      <c r="J4" s="43" t="inlineStr"/>
      <c r="K4" s="40" t="inlineStr"/>
      <c r="L4" s="40" t="inlineStr"/>
      <c r="M4" s="43" t="inlineStr"/>
    </row>
    <row r="5" ht="35" customHeight="1">
      <c r="A5" s="40" t="inlineStr"/>
      <c r="B5" s="40" t="inlineStr"/>
      <c r="C5" s="43" t="inlineStr"/>
      <c r="D5" s="40" t="inlineStr"/>
      <c r="E5" s="43" t="inlineStr"/>
      <c r="F5" s="40" t="inlineStr"/>
      <c r="G5" s="40" t="inlineStr"/>
      <c r="H5" s="40" t="inlineStr"/>
      <c r="I5" s="40" t="inlineStr"/>
      <c r="J5" s="43" t="inlineStr"/>
      <c r="K5" s="40" t="inlineStr"/>
      <c r="L5" s="40" t="inlineStr"/>
      <c r="M5" s="43" t="inlineStr"/>
    </row>
    <row r="6" ht="35" customHeight="1">
      <c r="A6" s="40" t="inlineStr"/>
      <c r="B6" s="40" t="inlineStr"/>
      <c r="C6" s="43" t="inlineStr"/>
      <c r="D6" s="40" t="inlineStr"/>
      <c r="E6" s="43" t="inlineStr"/>
      <c r="F6" s="40" t="inlineStr"/>
      <c r="G6" s="40" t="inlineStr"/>
      <c r="H6" s="40" t="inlineStr"/>
      <c r="I6" s="40" t="inlineStr"/>
      <c r="J6" s="43" t="inlineStr"/>
      <c r="K6" s="40" t="inlineStr"/>
      <c r="L6" s="40" t="inlineStr"/>
      <c r="M6" s="43" t="inlineStr"/>
    </row>
    <row r="7" ht="35" customHeight="1">
      <c r="A7" s="40" t="inlineStr"/>
      <c r="B7" s="40" t="inlineStr"/>
      <c r="C7" s="43" t="inlineStr"/>
      <c r="D7" s="40" t="inlineStr"/>
      <c r="E7" s="43" t="inlineStr"/>
      <c r="F7" s="40" t="inlineStr"/>
      <c r="G7" s="40" t="inlineStr"/>
      <c r="H7" s="40" t="inlineStr"/>
      <c r="I7" s="40" t="inlineStr"/>
      <c r="J7" s="43" t="inlineStr"/>
      <c r="K7" s="40" t="inlineStr"/>
      <c r="L7" s="40" t="inlineStr"/>
      <c r="M7" s="43" t="inlineStr"/>
    </row>
    <row r="8" ht="35" customHeight="1">
      <c r="A8" s="40" t="inlineStr"/>
      <c r="B8" s="40" t="inlineStr"/>
      <c r="C8" s="43" t="inlineStr"/>
      <c r="D8" s="40" t="inlineStr"/>
      <c r="E8" s="43" t="inlineStr"/>
      <c r="F8" s="40" t="inlineStr"/>
      <c r="G8" s="40" t="inlineStr"/>
      <c r="H8" s="40" t="inlineStr"/>
      <c r="I8" s="40" t="inlineStr"/>
      <c r="J8" s="43" t="inlineStr"/>
      <c r="K8" s="40" t="inlineStr"/>
      <c r="L8" s="40" t="inlineStr"/>
      <c r="M8" s="43" t="inlineStr"/>
    </row>
    <row r="9" ht="35" customHeight="1">
      <c r="A9" s="40" t="inlineStr"/>
      <c r="B9" s="40" t="inlineStr"/>
      <c r="C9" s="43" t="inlineStr"/>
      <c r="D9" s="40" t="inlineStr"/>
      <c r="E9" s="43" t="inlineStr"/>
      <c r="F9" s="40" t="inlineStr"/>
      <c r="G9" s="40" t="inlineStr"/>
      <c r="H9" s="40" t="inlineStr"/>
      <c r="I9" s="40" t="inlineStr"/>
      <c r="J9" s="43" t="inlineStr"/>
      <c r="K9" s="40" t="inlineStr"/>
      <c r="L9" s="40" t="inlineStr"/>
      <c r="M9" s="43" t="inlineStr"/>
    </row>
    <row r="10" ht="35" customHeight="1">
      <c r="A10" s="40" t="inlineStr"/>
      <c r="B10" s="40" t="inlineStr"/>
      <c r="C10" s="43" t="inlineStr"/>
      <c r="D10" s="40" t="inlineStr"/>
      <c r="E10" s="43" t="inlineStr"/>
      <c r="F10" s="40" t="inlineStr"/>
      <c r="G10" s="40" t="inlineStr"/>
      <c r="H10" s="40" t="inlineStr"/>
      <c r="I10" s="40" t="inlineStr"/>
      <c r="J10" s="43" t="inlineStr"/>
      <c r="K10" s="40" t="inlineStr"/>
      <c r="L10" s="40" t="inlineStr"/>
      <c r="M10" s="43" t="inlineStr"/>
    </row>
    <row r="11" ht="35" customHeight="1">
      <c r="A11" s="40" t="inlineStr"/>
      <c r="B11" s="40" t="inlineStr"/>
      <c r="C11" s="43" t="inlineStr"/>
      <c r="D11" s="40" t="inlineStr"/>
      <c r="E11" s="43" t="inlineStr"/>
      <c r="F11" s="40" t="inlineStr"/>
      <c r="G11" s="40" t="inlineStr"/>
      <c r="H11" s="40" t="inlineStr"/>
      <c r="I11" s="40" t="inlineStr"/>
      <c r="J11" s="43" t="inlineStr"/>
      <c r="K11" s="40" t="inlineStr"/>
      <c r="L11" s="40" t="inlineStr"/>
      <c r="M11" s="43" t="inlineStr"/>
    </row>
    <row r="12" ht="35" customHeight="1">
      <c r="A12" s="40" t="inlineStr"/>
      <c r="B12" s="40" t="inlineStr"/>
      <c r="C12" s="43" t="inlineStr"/>
      <c r="D12" s="40" t="inlineStr"/>
      <c r="E12" s="43" t="inlineStr"/>
      <c r="F12" s="40" t="inlineStr"/>
      <c r="G12" s="40" t="inlineStr"/>
      <c r="H12" s="40" t="inlineStr"/>
      <c r="I12" s="40" t="inlineStr"/>
      <c r="J12" s="43" t="inlineStr"/>
      <c r="K12" s="40" t="inlineStr"/>
      <c r="L12" s="40" t="inlineStr"/>
      <c r="M12" s="43" t="inlineStr"/>
    </row>
    <row r="13" ht="35" customHeight="1">
      <c r="A13" s="40" t="inlineStr"/>
      <c r="B13" s="40" t="inlineStr"/>
      <c r="C13" s="43" t="inlineStr"/>
      <c r="D13" s="40" t="inlineStr"/>
      <c r="E13" s="43" t="inlineStr"/>
      <c r="F13" s="40" t="inlineStr"/>
      <c r="G13" s="40" t="inlineStr"/>
      <c r="H13" s="40" t="inlineStr"/>
      <c r="I13" s="40" t="inlineStr"/>
      <c r="J13" s="43" t="inlineStr"/>
      <c r="K13" s="40" t="inlineStr"/>
      <c r="L13" s="40" t="inlineStr"/>
      <c r="M13" s="43" t="inlineStr"/>
    </row>
    <row r="14" ht="35" customHeight="1">
      <c r="A14" s="40" t="inlineStr"/>
      <c r="B14" s="40" t="inlineStr"/>
      <c r="C14" s="43" t="inlineStr"/>
      <c r="D14" s="40" t="inlineStr"/>
      <c r="E14" s="43" t="inlineStr"/>
      <c r="F14" s="40" t="inlineStr"/>
      <c r="G14" s="40" t="inlineStr"/>
      <c r="H14" s="40" t="inlineStr"/>
      <c r="I14" s="40" t="inlineStr"/>
      <c r="J14" s="43" t="inlineStr"/>
      <c r="K14" s="40" t="inlineStr"/>
      <c r="L14" s="40" t="inlineStr"/>
      <c r="M14" s="43" t="inlineStr"/>
    </row>
    <row r="15" ht="35" customHeight="1">
      <c r="A15" s="40" t="inlineStr"/>
      <c r="B15" s="40" t="inlineStr"/>
      <c r="C15" s="43" t="inlineStr"/>
      <c r="D15" s="40" t="inlineStr"/>
      <c r="E15" s="43" t="inlineStr"/>
      <c r="F15" s="40" t="inlineStr"/>
      <c r="G15" s="40" t="inlineStr"/>
      <c r="H15" s="40" t="inlineStr"/>
      <c r="I15" s="40" t="inlineStr"/>
      <c r="J15" s="43" t="inlineStr"/>
      <c r="K15" s="40" t="inlineStr"/>
      <c r="L15" s="40" t="inlineStr"/>
      <c r="M15" s="43" t="inlineStr"/>
    </row>
    <row r="16" ht="35" customHeight="1">
      <c r="A16" s="40" t="inlineStr"/>
      <c r="B16" s="40" t="inlineStr"/>
      <c r="C16" s="43" t="inlineStr"/>
      <c r="D16" s="40" t="inlineStr"/>
      <c r="E16" s="43" t="inlineStr"/>
      <c r="F16" s="40" t="inlineStr"/>
      <c r="G16" s="40" t="inlineStr"/>
      <c r="H16" s="40" t="inlineStr"/>
      <c r="I16" s="40" t="inlineStr"/>
      <c r="J16" s="43" t="inlineStr"/>
      <c r="K16" s="40" t="inlineStr"/>
      <c r="L16" s="40" t="inlineStr"/>
      <c r="M16" s="43" t="inlineStr"/>
    </row>
    <row r="17" ht="35" customHeight="1">
      <c r="A17" s="40" t="inlineStr"/>
      <c r="B17" s="40" t="inlineStr"/>
      <c r="C17" s="43" t="inlineStr"/>
      <c r="D17" s="40" t="inlineStr"/>
      <c r="E17" s="43" t="inlineStr"/>
      <c r="F17" s="40" t="inlineStr"/>
      <c r="G17" s="40" t="inlineStr"/>
      <c r="H17" s="40" t="inlineStr"/>
      <c r="I17" s="40" t="inlineStr"/>
      <c r="J17" s="43" t="inlineStr"/>
      <c r="K17" s="40" t="inlineStr"/>
      <c r="L17" s="40" t="inlineStr"/>
      <c r="M17" s="43" t="inlineStr"/>
    </row>
    <row r="18" ht="35" customHeight="1">
      <c r="A18" s="40" t="inlineStr"/>
      <c r="B18" s="40" t="inlineStr"/>
      <c r="C18" s="43" t="inlineStr"/>
      <c r="D18" s="40" t="inlineStr"/>
      <c r="E18" s="43" t="inlineStr"/>
      <c r="F18" s="40" t="inlineStr"/>
      <c r="G18" s="40" t="inlineStr"/>
      <c r="H18" s="40" t="inlineStr"/>
      <c r="I18" s="40" t="inlineStr"/>
      <c r="J18" s="43" t="inlineStr"/>
      <c r="K18" s="40" t="inlineStr"/>
      <c r="L18" s="40" t="inlineStr"/>
      <c r="M18" s="43" t="inlineStr"/>
    </row>
    <row r="19" ht="35" customHeight="1">
      <c r="A19" s="40" t="inlineStr"/>
      <c r="B19" s="40" t="inlineStr"/>
      <c r="C19" s="43" t="inlineStr"/>
      <c r="D19" s="40" t="inlineStr"/>
      <c r="E19" s="43" t="inlineStr"/>
      <c r="F19" s="40" t="inlineStr"/>
      <c r="G19" s="40" t="inlineStr"/>
      <c r="H19" s="40" t="inlineStr"/>
      <c r="I19" s="40" t="inlineStr"/>
      <c r="J19" s="43" t="inlineStr"/>
      <c r="K19" s="40" t="inlineStr"/>
      <c r="L19" s="40" t="inlineStr"/>
      <c r="M19" s="43" t="inlineStr"/>
    </row>
    <row r="20" ht="35" customHeight="1">
      <c r="A20" s="40" t="inlineStr"/>
      <c r="B20" s="40" t="inlineStr"/>
      <c r="C20" s="43" t="inlineStr"/>
      <c r="D20" s="40" t="inlineStr"/>
      <c r="E20" s="43" t="inlineStr"/>
      <c r="F20" s="40" t="inlineStr"/>
      <c r="G20" s="40" t="inlineStr"/>
      <c r="H20" s="40" t="inlineStr"/>
      <c r="I20" s="40" t="inlineStr"/>
      <c r="J20" s="43" t="inlineStr"/>
      <c r="K20" s="40" t="inlineStr"/>
      <c r="L20" s="40" t="inlineStr"/>
      <c r="M20" s="43" t="inlineStr"/>
    </row>
    <row r="21" ht="35" customHeight="1">
      <c r="A21" s="40" t="inlineStr"/>
      <c r="B21" s="40" t="inlineStr"/>
      <c r="C21" s="43" t="inlineStr"/>
      <c r="D21" s="40" t="inlineStr"/>
      <c r="E21" s="43" t="inlineStr"/>
      <c r="F21" s="40" t="inlineStr"/>
      <c r="G21" s="40" t="inlineStr"/>
      <c r="H21" s="40" t="inlineStr"/>
      <c r="I21" s="40" t="inlineStr"/>
      <c r="J21" s="43" t="inlineStr"/>
      <c r="K21" s="40" t="inlineStr"/>
      <c r="L21" s="40" t="inlineStr"/>
      <c r="M21" s="43" t="inlineStr"/>
    </row>
    <row r="22" ht="35" customHeight="1">
      <c r="A22" s="40" t="inlineStr"/>
      <c r="B22" s="40" t="inlineStr"/>
      <c r="C22" s="43" t="inlineStr"/>
      <c r="D22" s="40" t="inlineStr"/>
      <c r="E22" s="43" t="inlineStr"/>
      <c r="F22" s="40" t="inlineStr"/>
      <c r="G22" s="40" t="inlineStr"/>
      <c r="H22" s="40" t="inlineStr"/>
      <c r="I22" s="40" t="inlineStr"/>
      <c r="J22" s="43" t="inlineStr"/>
      <c r="K22" s="40" t="inlineStr"/>
      <c r="L22" s="40" t="inlineStr"/>
      <c r="M22" s="43" t="inlineStr"/>
    </row>
    <row r="23" ht="35" customHeight="1">
      <c r="A23" s="40" t="inlineStr"/>
      <c r="B23" s="40" t="inlineStr"/>
      <c r="C23" s="43" t="inlineStr"/>
      <c r="D23" s="40" t="inlineStr"/>
      <c r="E23" s="43" t="inlineStr"/>
      <c r="F23" s="40" t="inlineStr"/>
      <c r="G23" s="40" t="inlineStr"/>
      <c r="H23" s="40" t="inlineStr"/>
      <c r="I23" s="40" t="inlineStr"/>
      <c r="J23" s="43" t="inlineStr"/>
      <c r="K23" s="40" t="inlineStr"/>
      <c r="L23" s="40" t="inlineStr"/>
      <c r="M23" s="43" t="inlineStr"/>
    </row>
    <row r="24" ht="35" customHeight="1">
      <c r="A24" s="40" t="inlineStr"/>
      <c r="B24" s="40" t="inlineStr"/>
      <c r="C24" s="43" t="inlineStr"/>
      <c r="D24" s="40" t="inlineStr"/>
      <c r="E24" s="43" t="inlineStr"/>
      <c r="F24" s="40" t="inlineStr"/>
      <c r="G24" s="40" t="inlineStr"/>
      <c r="H24" s="40" t="inlineStr"/>
      <c r="I24" s="40" t="inlineStr"/>
      <c r="J24" s="43" t="inlineStr"/>
      <c r="K24" s="40" t="inlineStr"/>
      <c r="L24" s="40" t="inlineStr"/>
      <c r="M24" s="43" t="inlineStr"/>
    </row>
    <row r="25" ht="35" customHeight="1">
      <c r="A25" s="40" t="inlineStr"/>
      <c r="B25" s="40" t="inlineStr"/>
      <c r="C25" s="43" t="inlineStr"/>
      <c r="D25" s="40" t="inlineStr"/>
      <c r="E25" s="43" t="inlineStr"/>
      <c r="F25" s="40" t="inlineStr"/>
      <c r="G25" s="40" t="inlineStr"/>
      <c r="H25" s="40" t="inlineStr"/>
      <c r="I25" s="40" t="inlineStr"/>
      <c r="J25" s="43" t="inlineStr"/>
      <c r="K25" s="40" t="inlineStr"/>
      <c r="L25" s="40" t="inlineStr"/>
      <c r="M25" s="43" t="inlineStr"/>
    </row>
    <row r="26" ht="35" customHeight="1">
      <c r="A26" s="40" t="inlineStr"/>
      <c r="B26" s="40" t="inlineStr"/>
      <c r="C26" s="43" t="inlineStr"/>
      <c r="D26" s="40" t="inlineStr"/>
      <c r="E26" s="43" t="inlineStr"/>
      <c r="F26" s="40" t="inlineStr"/>
      <c r="G26" s="40" t="inlineStr"/>
      <c r="H26" s="40" t="inlineStr"/>
      <c r="I26" s="40" t="inlineStr"/>
      <c r="J26" s="43" t="inlineStr"/>
      <c r="K26" s="40" t="inlineStr"/>
      <c r="L26" s="40" t="inlineStr"/>
      <c r="M26" s="43" t="inlineStr"/>
    </row>
    <row r="27" ht="35" customHeight="1">
      <c r="A27" s="40" t="inlineStr"/>
      <c r="B27" s="40" t="inlineStr"/>
      <c r="C27" s="43" t="inlineStr"/>
      <c r="D27" s="40" t="inlineStr"/>
      <c r="E27" s="43" t="inlineStr"/>
      <c r="F27" s="40" t="inlineStr"/>
      <c r="G27" s="40" t="inlineStr"/>
      <c r="H27" s="40" t="inlineStr"/>
      <c r="I27" s="40" t="inlineStr"/>
      <c r="J27" s="43" t="inlineStr"/>
      <c r="K27" s="40" t="inlineStr"/>
      <c r="L27" s="40" t="inlineStr"/>
      <c r="M27" s="43" t="inlineStr"/>
    </row>
    <row r="28" ht="35" customHeight="1">
      <c r="A28" s="40" t="inlineStr"/>
      <c r="B28" s="40" t="inlineStr"/>
      <c r="C28" s="43" t="inlineStr"/>
      <c r="D28" s="40" t="inlineStr"/>
      <c r="E28" s="43" t="inlineStr"/>
      <c r="F28" s="40" t="inlineStr"/>
      <c r="G28" s="40" t="inlineStr"/>
      <c r="H28" s="40" t="inlineStr"/>
      <c r="I28" s="40" t="inlineStr"/>
      <c r="J28" s="43" t="inlineStr"/>
      <c r="K28" s="40" t="inlineStr"/>
      <c r="L28" s="40" t="inlineStr"/>
      <c r="M28" s="43" t="inlineStr"/>
    </row>
    <row r="29" ht="35" customHeight="1">
      <c r="A29" s="40" t="inlineStr"/>
      <c r="B29" s="40" t="inlineStr"/>
      <c r="C29" s="43" t="inlineStr"/>
      <c r="D29" s="40" t="inlineStr"/>
      <c r="E29" s="43" t="inlineStr"/>
      <c r="F29" s="40" t="inlineStr"/>
      <c r="G29" s="40" t="inlineStr"/>
      <c r="H29" s="40" t="inlineStr"/>
      <c r="I29" s="40" t="inlineStr"/>
      <c r="J29" s="43" t="inlineStr"/>
      <c r="K29" s="40" t="inlineStr"/>
      <c r="L29" s="40" t="inlineStr"/>
      <c r="M29" s="43" t="inlineStr"/>
    </row>
    <row r="30" ht="35" customHeight="1">
      <c r="A30" s="40" t="inlineStr"/>
      <c r="B30" s="40" t="inlineStr"/>
      <c r="C30" s="43" t="inlineStr"/>
      <c r="D30" s="40" t="inlineStr"/>
      <c r="E30" s="43" t="inlineStr"/>
      <c r="F30" s="40" t="inlineStr"/>
      <c r="G30" s="40" t="inlineStr"/>
      <c r="H30" s="40" t="inlineStr"/>
      <c r="I30" s="40" t="inlineStr"/>
      <c r="J30" s="43" t="inlineStr"/>
      <c r="K30" s="40" t="inlineStr"/>
      <c r="L30" s="40" t="inlineStr"/>
      <c r="M30" s="43" t="inlineStr"/>
    </row>
    <row r="31" ht="35" customHeight="1">
      <c r="A31" s="40" t="inlineStr"/>
      <c r="B31" s="40" t="inlineStr"/>
      <c r="C31" s="43" t="inlineStr"/>
      <c r="D31" s="40" t="inlineStr"/>
      <c r="E31" s="43" t="inlineStr"/>
      <c r="F31" s="40" t="inlineStr"/>
      <c r="G31" s="40" t="inlineStr"/>
      <c r="H31" s="40" t="inlineStr"/>
      <c r="I31" s="40" t="inlineStr"/>
      <c r="J31" s="43" t="inlineStr"/>
      <c r="K31" s="40" t="inlineStr"/>
      <c r="L31" s="40" t="inlineStr"/>
      <c r="M31" s="43" t="inlineStr"/>
    </row>
    <row r="32" ht="35" customHeight="1">
      <c r="A32" s="40" t="inlineStr"/>
      <c r="B32" s="40" t="inlineStr"/>
      <c r="C32" s="43" t="inlineStr"/>
      <c r="D32" s="40" t="inlineStr"/>
      <c r="E32" s="43" t="inlineStr"/>
      <c r="F32" s="40" t="inlineStr"/>
      <c r="G32" s="40" t="inlineStr"/>
      <c r="H32" s="40" t="inlineStr"/>
      <c r="I32" s="40" t="inlineStr"/>
      <c r="J32" s="43" t="inlineStr"/>
      <c r="K32" s="40" t="inlineStr"/>
      <c r="L32" s="40" t="inlineStr"/>
      <c r="M32" s="43" t="inlineStr"/>
    </row>
    <row r="33" ht="35" customHeight="1">
      <c r="A33" s="40" t="inlineStr"/>
      <c r="B33" s="40" t="inlineStr"/>
      <c r="C33" s="43" t="inlineStr"/>
      <c r="D33" s="40" t="inlineStr"/>
      <c r="E33" s="43" t="inlineStr"/>
      <c r="F33" s="40" t="inlineStr"/>
      <c r="G33" s="40" t="inlineStr"/>
      <c r="H33" s="40" t="inlineStr"/>
      <c r="I33" s="40" t="inlineStr"/>
      <c r="J33" s="43" t="inlineStr"/>
      <c r="K33" s="40" t="inlineStr"/>
      <c r="L33" s="40" t="inlineStr"/>
      <c r="M33" s="43" t="inlineStr"/>
    </row>
  </sheetData>
  <autoFilter ref="A3:M33"/>
  <mergeCells count="2">
    <mergeCell ref="A2:M2"/>
    <mergeCell ref="A1:M1"/>
  </mergeCells>
  <conditionalFormatting sqref="I4:I34">
    <cfRule type="cellIs" priority="1" operator="equal" dxfId="0">
      <formula>"Critical"</formula>
    </cfRule>
    <cfRule type="cellIs" priority="2" operator="equal" dxfId="9">
      <formula>"High"</formula>
    </cfRule>
    <cfRule type="cellIs" priority="3" operator="equal" dxfId="10">
      <formula>"Medium"</formula>
    </cfRule>
  </conditionalFormatting>
  <conditionalFormatting sqref="K4:K34">
    <cfRule type="cellIs" priority="4" operator="equal" dxfId="3">
      <formula>"No"</formula>
    </cfRule>
    <cfRule type="cellIs" priority="5" operator="equal" dxfId="2">
      <formula>"Yes"</formula>
    </cfRule>
    <cfRule type="cellIs" priority="6" operator="equal" dxfId="4">
      <formula>"Verifying"</formula>
    </cfRule>
  </conditionalFormatting>
  <dataValidations count="3">
    <dataValidation sqref="H4:H34" showDropDown="0" showInputMessage="0" showErrorMessage="0" allowBlank="1" type="list">
      <formula1>"Critical,High,Medium,Low"</formula1>
    </dataValidation>
    <dataValidation sqref="I4:I34" showDropDown="0" showInputMessage="0" showErrorMessage="0" allowBlank="1" type="list">
      <formula1>"Critical,High,Medium,Low"</formula1>
    </dataValidation>
    <dataValidation sqref="K4:K34" showDropDown="0" showInputMessage="0" showErrorMessage="0" allowBlank="1" type="list">
      <formula1>"Yes,No,Verifying"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2026-05-23T06:56:10Z</dcterms:created>
  <dcterms:modified xmlns:dcterms="http://purl.org/dc/terms/" xmlns:xsi="http://www.w3.org/2001/XMLSchema-instance" xsi:type="dcterms:W3CDTF">2026-05-23T10:23:40Z</dcterms:modified>
</cp:coreProperties>
</file>