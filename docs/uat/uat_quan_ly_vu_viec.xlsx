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Data" sheetId="3" state="visible" r:id="rId3"/>
    <sheet xmlns:r="http://schemas.openxmlformats.org/officeDocument/2006/relationships" name="Bug Tracker" sheetId="4" state="visible" r:id="rId4"/>
    <sheet xmlns:r="http://schemas.openxmlformats.org/officeDocument/2006/relationships" name="Regression Log" sheetId="5" state="visible" r:id="rId5"/>
  </sheets>
  <definedNames>
    <definedName name="_xlnm._FilterDatabase" localSheetId="1" hidden="1">'Test Cases'!$A$3:$V$784</definedName>
    <definedName name="_xlnm._FilterDatabase" localSheetId="3" hidden="1">'Bug Tracker'!$A$3:$I$53</definedName>
    <definedName name="_xlnm._FilterDatabase" localSheetId="4" hidden="1">'Regression Log'!$A$3:$M$33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color rgb="00FFC000"/>
      <sz val="10"/>
    </font>
    <font>
      <name val="Arial"/>
      <b val="1"/>
      <color rgb="00FFFFFF"/>
      <sz val="12"/>
    </font>
    <font>
      <name val="Arial"/>
      <b val="1"/>
      <color rgb="00FFFFFF"/>
      <sz val="16"/>
    </font>
    <font>
      <name val="Arial"/>
      <b val="1"/>
      <sz val="12"/>
    </font>
    <font>
      <name val="Arial"/>
      <b val="1"/>
      <color rgb="00FFFFFF"/>
    </font>
    <font>
      <name val="Arial"/>
      <b val="1"/>
      <sz val="11"/>
    </font>
    <font>
      <name val="Arial"/>
      <b val="1"/>
      <color rgb="001F4E78"/>
      <sz val="12"/>
    </font>
    <font>
      <name val="Arial"/>
      <b val="1"/>
      <color rgb="00009900"/>
      <sz val="14"/>
    </font>
    <font>
      <name val="Arial"/>
      <i val="1"/>
      <sz val="9"/>
    </font>
    <font>
      <name val="Arial"/>
      <b val="1"/>
      <sz val="14"/>
    </font>
    <font>
      <name val="Arial"/>
      <b val="1"/>
      <sz val="10"/>
    </font>
    <font>
      <name val="Arial"/>
      <b val="1"/>
      <color rgb="0070AD47"/>
      <sz val="10"/>
    </font>
    <font>
      <name val="Arial"/>
      <b val="1"/>
      <color rgb="00C00000"/>
    </font>
  </fonts>
  <fills count="22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FB6C1"/>
      </patternFill>
    </fill>
    <fill>
      <patternFill patternType="solid">
        <fgColor rgb="00B4A7D6"/>
      </patternFill>
    </fill>
    <fill>
      <patternFill patternType="solid">
        <fgColor rgb="00A9D08E"/>
      </patternFill>
    </fill>
    <fill>
      <patternFill patternType="solid">
        <fgColor rgb="00FFD966"/>
      </patternFill>
    </fill>
    <fill>
      <patternFill patternType="solid">
        <fgColor rgb="00F4B08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9BC2E6"/>
      </patternFill>
    </fill>
    <fill>
      <patternFill patternType="solid">
        <fgColor rgb="00F8CBAD"/>
      </patternFill>
    </fill>
    <fill>
      <patternFill patternType="solid">
        <fgColor rgb="00C9C9C9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9" fillId="2" borderId="0" applyAlignment="1" pivotButton="0" quotePrefix="0" xfId="0">
      <alignment horizontal="center" vertical="center"/>
    </xf>
    <xf numFmtId="0" fontId="11" fillId="17" borderId="0" applyAlignment="1" pivotButton="0" quotePrefix="0" xfId="0">
      <alignment horizontal="left" vertical="center" indent="1"/>
    </xf>
    <xf numFmtId="0" fontId="12" fillId="0" borderId="1" pivotButton="0" quotePrefix="0" xfId="0"/>
    <xf numFmtId="0" fontId="13" fillId="0" borderId="1" pivotButton="0" quotePrefix="0" xfId="0"/>
    <xf numFmtId="0" fontId="2" fillId="0" borderId="1" pivotButton="0" quotePrefix="0" xfId="0"/>
    <xf numFmtId="164" fontId="14" fillId="0" borderId="1" pivotButton="0" quotePrefix="0" xfId="0"/>
    <xf numFmtId="0" fontId="15" fillId="0" borderId="1" pivotButton="0" quotePrefix="0" xfId="0"/>
    <xf numFmtId="164" fontId="16" fillId="0" borderId="1" pivotButton="0" quotePrefix="0" xfId="0"/>
    <xf numFmtId="0" fontId="8" fillId="17" borderId="0" applyAlignment="1" pivotButton="0" quotePrefix="0" xfId="0">
      <alignment horizontal="left" vertical="center" indent="1"/>
    </xf>
    <xf numFmtId="0" fontId="3" fillId="17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17" fillId="4" borderId="1" applyAlignment="1" pivotButton="0" quotePrefix="0" xfId="0">
      <alignment horizontal="left"/>
    </xf>
    <xf numFmtId="0" fontId="17" fillId="18" borderId="1" applyAlignment="1" pivotButton="0" quotePrefix="0" xfId="0">
      <alignment horizontal="left"/>
    </xf>
    <xf numFmtId="0" fontId="17" fillId="11" borderId="1" applyAlignment="1" pivotButton="0" quotePrefix="0" xfId="0">
      <alignment horizontal="left"/>
    </xf>
    <xf numFmtId="0" fontId="17" fillId="12" borderId="1" applyAlignment="1" pivotButton="0" quotePrefix="0" xfId="0">
      <alignment horizontal="left"/>
    </xf>
    <xf numFmtId="0" fontId="17" fillId="5" borderId="1" applyAlignment="1" pivotButton="0" quotePrefix="0" xfId="0">
      <alignment horizontal="left"/>
    </xf>
    <xf numFmtId="0" fontId="17" fillId="13" borderId="1" applyAlignment="1" pivotButton="0" quotePrefix="0" xfId="0">
      <alignment horizontal="left"/>
    </xf>
    <xf numFmtId="0" fontId="17" fillId="6" borderId="1" applyAlignment="1" pivotButton="0" quotePrefix="0" xfId="0">
      <alignment horizontal="left"/>
    </xf>
    <xf numFmtId="0" fontId="17" fillId="10" borderId="1" applyAlignment="1" pivotButton="0" quotePrefix="0" xfId="0">
      <alignment horizontal="left"/>
    </xf>
    <xf numFmtId="0" fontId="17" fillId="9" borderId="1" applyAlignment="1" pivotButton="0" quotePrefix="0" xfId="0">
      <alignment horizontal="left"/>
    </xf>
    <xf numFmtId="0" fontId="17" fillId="7" borderId="1" applyAlignment="1" pivotButton="0" quotePrefix="0" xfId="0">
      <alignment horizontal="left"/>
    </xf>
    <xf numFmtId="0" fontId="17" fillId="8" borderId="1" applyAlignment="1" pivotButton="0" quotePrefix="0" xfId="0">
      <alignment horizontal="left"/>
    </xf>
    <xf numFmtId="0" fontId="17" fillId="14" borderId="1" applyAlignment="1" pivotButton="0" quotePrefix="0" xfId="0">
      <alignment horizontal="left"/>
    </xf>
    <xf numFmtId="0" fontId="17" fillId="19" borderId="1" applyAlignment="1" pivotButton="0" quotePrefix="0" xfId="0">
      <alignment horizontal="left"/>
    </xf>
    <xf numFmtId="0" fontId="17" fillId="15" borderId="1" applyAlignment="1" pivotButton="0" quotePrefix="0" xfId="0">
      <alignment horizontal="left"/>
    </xf>
    <xf numFmtId="0" fontId="17" fillId="16" borderId="1" applyAlignment="1" pivotButton="0" quotePrefix="0" xfId="0">
      <alignment horizontal="left"/>
    </xf>
    <xf numFmtId="0" fontId="17" fillId="2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left"/>
    </xf>
    <xf numFmtId="0" fontId="18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19" fillId="0" borderId="1" applyAlignment="1" pivotButton="0" quotePrefix="0" xfId="0">
      <alignment horizontal="left"/>
    </xf>
    <xf numFmtId="0" fontId="8" fillId="21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7" fillId="0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4" fillId="12" borderId="1" applyAlignment="1" pivotButton="0" quotePrefix="0" xfId="0">
      <alignment horizontal="center" vertical="top" wrapText="1"/>
    </xf>
    <xf numFmtId="0" fontId="4" fillId="13" borderId="1" applyAlignment="1" pivotButton="0" quotePrefix="0" xfId="0">
      <alignment horizontal="center" vertical="top" wrapText="1"/>
    </xf>
    <xf numFmtId="0" fontId="4" fillId="14" borderId="1" applyAlignment="1" pivotButton="0" quotePrefix="0" xfId="0">
      <alignment horizontal="center" vertical="top" wrapText="1"/>
    </xf>
    <xf numFmtId="0" fontId="4" fillId="15" borderId="1" applyAlignment="1" pivotButton="0" quotePrefix="0" xfId="0">
      <alignment horizontal="center" vertical="top" wrapText="1"/>
    </xf>
    <xf numFmtId="0" fontId="4" fillId="16" borderId="1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center"/>
    </xf>
    <xf numFmtId="0" fontId="1" fillId="21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ont>
        <name val="Arial"/>
        <b val="1"/>
        <color rgb="00FFFFFF"/>
      </font>
      <fill>
        <patternFill patternType="solid">
          <fgColor rgb="00C00000"/>
        </patternFill>
      </fill>
    </dxf>
    <dxf>
      <font>
        <name val="Arial"/>
        <b val="1"/>
        <color rgb="00FFFFFF"/>
        <sz val="14"/>
      </font>
      <fill>
        <patternFill patternType="solid">
          <fgColor rgb="00C00000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9D9D9"/>
        </patternFill>
      </fill>
    </dxf>
    <dxf>
      <font>
        <name val="Arial"/>
        <b val="1"/>
        <color rgb="00FFFFFF"/>
        <sz val="10"/>
      </font>
      <fill>
        <patternFill patternType="solid">
          <fgColor rgb="00C00000"/>
        </patternFill>
      </fill>
    </dxf>
    <dxf>
      <fill>
        <patternFill patternType="solid">
          <fgColor rgb="00B4C7E7"/>
        </patternFill>
      </fill>
    </dxf>
    <dxf>
      <fill>
        <patternFill patternType="solid">
          <fgColor rgb="00FFB6C1"/>
        </patternFill>
      </fill>
    </dxf>
    <dxf>
      <fill>
        <patternFill patternType="solid">
          <fgColor rgb="00ED7D31"/>
        </patternFill>
      </fill>
    </dxf>
    <dxf>
      <fill>
        <patternFill patternType="solid">
          <fgColor rgb="00FFC000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4" customWidth="1" min="4" max="4"/>
    <col width="14" customWidth="1" min="5" max="5"/>
    <col width="14" customWidth="1" min="6" max="6"/>
  </cols>
  <sheetData>
    <row r="1" ht="35" customHeight="1">
      <c r="A1" s="1" t="inlineStr">
        <is>
          <t>📊 DASHBOARD - UAT EXECUTION SUMMARY</t>
        </is>
      </c>
    </row>
    <row r="3">
      <c r="A3" s="2" t="inlineStr">
        <is>
          <t>TỔNG QUAN</t>
        </is>
      </c>
    </row>
    <row r="4">
      <c r="A4" s="3" t="inlineStr">
        <is>
          <t>Tổng số TC</t>
        </is>
      </c>
      <c r="B4" s="4" t="n">
        <v>781</v>
      </c>
      <c r="C4" s="5" t="inlineStr">
        <is>
          <t>Số test case đã viết</t>
        </is>
      </c>
    </row>
    <row r="5">
      <c r="A5" s="3" t="inlineStr">
        <is>
          <t>Đã thực thi</t>
        </is>
      </c>
      <c r="B5" s="4">
        <f>COUNTIF('Test Cases'!Q4:Q784,"Đạt")+COUNTIF('Test Cases'!Q4:Q784,"Không đạt")+COUNTIF('Test Cases'!Q4:Q784,"Bị chặn")</f>
        <v/>
      </c>
      <c r="C5" s="5" t="inlineStr">
        <is>
          <t>TC đã có Status</t>
        </is>
      </c>
    </row>
    <row r="6">
      <c r="A6" s="3" t="inlineStr">
        <is>
          <t>Đạt</t>
        </is>
      </c>
      <c r="B6" s="4">
        <f>COUNTIF('Test Cases'!Q4:Q784,"Đạt")</f>
        <v/>
      </c>
      <c r="C6" s="5" t="inlineStr">
        <is>
          <t>TC pass</t>
        </is>
      </c>
    </row>
    <row r="7">
      <c r="A7" s="3" t="inlineStr">
        <is>
          <t>Không đạt</t>
        </is>
      </c>
      <c r="B7" s="4">
        <f>COUNTIF('Test Cases'!Q4:Q784,"Không đạt")</f>
        <v/>
      </c>
      <c r="C7" s="5" t="inlineStr">
        <is>
          <t>TC fail - có bug</t>
        </is>
      </c>
    </row>
    <row r="8">
      <c r="A8" s="3" t="inlineStr">
        <is>
          <t>Bị chặn</t>
        </is>
      </c>
      <c r="B8" s="4">
        <f>COUNTIF('Test Cases'!Q4:Q784,"Bị chặn")</f>
        <v/>
      </c>
      <c r="C8" s="5" t="inlineStr">
        <is>
          <t>Không chạy được</t>
        </is>
      </c>
    </row>
    <row r="9">
      <c r="A9" s="3" t="inlineStr">
        <is>
          <t>Chưa chạy</t>
        </is>
      </c>
      <c r="B9" s="4">
        <f>COUNTBLANK('Test Cases'!Q4:Q784)+COUNTIF('Test Cases'!Q4:Q784,"Chưa chạy")</f>
        <v/>
      </c>
      <c r="C9" s="5" t="inlineStr">
        <is>
          <t>Còn lại</t>
        </is>
      </c>
    </row>
    <row r="11">
      <c r="A11" s="3" t="inlineStr">
        <is>
          <t>Tỷ lệ đạt</t>
        </is>
      </c>
      <c r="B11" s="6">
        <f>IFERROR(COUNTIF('Test Cases'!Q4:Q784,"Đạt")/(COUNTIF('Test Cases'!Q4:Q784,"Đạt")+COUNTIF('Test Cases'!Q4:Q784,"Không đạt")),0)</f>
        <v/>
      </c>
      <c r="C11" s="7" t="inlineStr">
        <is>
          <t>Đạt / (Đạt + Không đạt)</t>
        </is>
      </c>
    </row>
    <row r="12">
      <c r="A12" s="3" t="inlineStr">
        <is>
          <t>Tỷ lệ hoàn thành</t>
        </is>
      </c>
      <c r="B12" s="8">
        <f>IFERROR((COUNTIF('Test Cases'!Q4:Q784,"Đạt")+COUNTIF('Test Cases'!Q4:Q784,"Không đạt")+COUNTIF('Test Cases'!Q4:Q784,"Bị chặn"))/781,0)</f>
        <v/>
      </c>
      <c r="C12" s="7" t="inlineStr">
        <is>
          <t>Đã chạy / Tổng</t>
        </is>
      </c>
    </row>
    <row r="14">
      <c r="A14" s="9" t="inlineStr">
        <is>
          <t>ĐỘ PHỦ THEO LOẠI</t>
        </is>
      </c>
    </row>
    <row r="15">
      <c r="A15" s="10" t="inlineStr">
        <is>
          <t>Loại</t>
        </is>
      </c>
      <c r="B15" s="10" t="inlineStr">
        <is>
          <t>Số TC</t>
        </is>
      </c>
      <c r="C15" s="10" t="inlineStr">
        <is>
          <t>Tỷ lệ</t>
        </is>
      </c>
      <c r="D15" s="10" t="inlineStr">
        <is>
          <t>Pass</t>
        </is>
      </c>
      <c r="E15" s="10" t="inlineStr">
        <is>
          <t>Fail</t>
        </is>
      </c>
      <c r="F15" s="10" t="inlineStr">
        <is>
          <t>Pass rate</t>
        </is>
      </c>
    </row>
    <row r="16">
      <c r="A16" s="11" t="inlineStr">
        <is>
          <t>GREEN</t>
        </is>
      </c>
      <c r="B16" s="12">
        <f>COUNTIF('Test Cases'!B4:B784,"GREEN")</f>
        <v/>
      </c>
      <c r="C16" s="13">
        <f>IFERROR(B16/781,0)</f>
        <v/>
      </c>
      <c r="D16" s="12">
        <f>COUNTIFS('Test Cases'!B4:B784,"GREEN",'Test Cases'!Q4:Q784,"Đạt")</f>
        <v/>
      </c>
      <c r="E16" s="12">
        <f>COUNTIFS('Test Cases'!B4:B784,"GREEN",'Test Cases'!Q4:Q784,"Không đạt")</f>
        <v/>
      </c>
      <c r="F16" s="13">
        <f>IFERROR(D16/(D16+E16),0)</f>
        <v/>
      </c>
    </row>
    <row r="17">
      <c r="A17" s="14" t="inlineStr">
        <is>
          <t>RED</t>
        </is>
      </c>
      <c r="B17" s="12">
        <f>COUNTIF('Test Cases'!B4:B784,"RED")</f>
        <v/>
      </c>
      <c r="C17" s="13">
        <f>IFERROR(B17/781,0)</f>
        <v/>
      </c>
      <c r="D17" s="12">
        <f>COUNTIFS('Test Cases'!B4:B784,"RED",'Test Cases'!Q4:Q784,"Đạt")</f>
        <v/>
      </c>
      <c r="E17" s="12">
        <f>COUNTIFS('Test Cases'!B4:B784,"RED",'Test Cases'!Q4:Q784,"Không đạt")</f>
        <v/>
      </c>
      <c r="F17" s="13">
        <f>IFERROR(D17/(D17+E17),0)</f>
        <v/>
      </c>
    </row>
    <row r="18">
      <c r="A18" s="15" t="inlineStr">
        <is>
          <t>EDGE</t>
        </is>
      </c>
      <c r="B18" s="12">
        <f>COUNTIF('Test Cases'!B4:B784,"EDGE")</f>
        <v/>
      </c>
      <c r="C18" s="13">
        <f>IFERROR(B18/781,0)</f>
        <v/>
      </c>
      <c r="D18" s="12">
        <f>COUNTIFS('Test Cases'!B4:B784,"EDGE",'Test Cases'!Q4:Q784,"Đạt")</f>
        <v/>
      </c>
      <c r="E18" s="12">
        <f>COUNTIFS('Test Cases'!B4:B784,"EDGE",'Test Cases'!Q4:Q784,"Không đạt")</f>
        <v/>
      </c>
      <c r="F18" s="13">
        <f>IFERROR(D18/(D18+E18),0)</f>
        <v/>
      </c>
    </row>
    <row r="19">
      <c r="A19" s="16" t="inlineStr">
        <is>
          <t>BOUNDARY</t>
        </is>
      </c>
      <c r="B19" s="12">
        <f>COUNTIF('Test Cases'!B4:B784,"BOUNDARY")</f>
        <v/>
      </c>
      <c r="C19" s="13">
        <f>IFERROR(B19/781,0)</f>
        <v/>
      </c>
      <c r="D19" s="12">
        <f>COUNTIFS('Test Cases'!B4:B784,"BOUNDARY",'Test Cases'!Q4:Q784,"Đạt")</f>
        <v/>
      </c>
      <c r="E19" s="12">
        <f>COUNTIFS('Test Cases'!B4:B784,"BOUNDARY",'Test Cases'!Q4:Q784,"Không đạt")</f>
        <v/>
      </c>
      <c r="F19" s="13">
        <f>IFERROR(D19/(D19+E19),0)</f>
        <v/>
      </c>
    </row>
    <row r="20">
      <c r="A20" s="17" t="inlineStr">
        <is>
          <t>EP</t>
        </is>
      </c>
      <c r="B20" s="12">
        <f>COUNTIF('Test Cases'!B4:B784,"EP")</f>
        <v/>
      </c>
      <c r="C20" s="13">
        <f>IFERROR(B20/781,0)</f>
        <v/>
      </c>
      <c r="D20" s="12">
        <f>COUNTIFS('Test Cases'!B4:B784,"EP",'Test Cases'!Q4:Q784,"Đạt")</f>
        <v/>
      </c>
      <c r="E20" s="12">
        <f>COUNTIFS('Test Cases'!B4:B784,"EP",'Test Cases'!Q4:Q784,"Không đạt")</f>
        <v/>
      </c>
      <c r="F20" s="13">
        <f>IFERROR(D20/(D20+E20),0)</f>
        <v/>
      </c>
    </row>
    <row r="21">
      <c r="A21" s="18" t="inlineStr">
        <is>
          <t>STATE</t>
        </is>
      </c>
      <c r="B21" s="12">
        <f>COUNTIF('Test Cases'!B4:B784,"STATE")</f>
        <v/>
      </c>
      <c r="C21" s="13">
        <f>IFERROR(B21/781,0)</f>
        <v/>
      </c>
      <c r="D21" s="12">
        <f>COUNTIFS('Test Cases'!B4:B784,"STATE",'Test Cases'!Q4:Q784,"Đạt")</f>
        <v/>
      </c>
      <c r="E21" s="12">
        <f>COUNTIFS('Test Cases'!B4:B784,"STATE",'Test Cases'!Q4:Q784,"Không đạt")</f>
        <v/>
      </c>
      <c r="F21" s="13">
        <f>IFERROR(D21/(D21+E21),0)</f>
        <v/>
      </c>
    </row>
    <row r="22">
      <c r="A22" s="19" t="inlineStr">
        <is>
          <t>DECISION</t>
        </is>
      </c>
      <c r="B22" s="12">
        <f>COUNTIF('Test Cases'!B4:B784,"DECISION")</f>
        <v/>
      </c>
      <c r="C22" s="13">
        <f>IFERROR(B22/781,0)</f>
        <v/>
      </c>
      <c r="D22" s="12">
        <f>COUNTIFS('Test Cases'!B4:B784,"DECISION",'Test Cases'!Q4:Q784,"Đạt")</f>
        <v/>
      </c>
      <c r="E22" s="12">
        <f>COUNTIFS('Test Cases'!B4:B784,"DECISION",'Test Cases'!Q4:Q784,"Không đạt")</f>
        <v/>
      </c>
      <c r="F22" s="13">
        <f>IFERROR(D22/(D22+E22),0)</f>
        <v/>
      </c>
    </row>
    <row r="23">
      <c r="A23" s="20" t="inlineStr">
        <is>
          <t>SECURITY</t>
        </is>
      </c>
      <c r="B23" s="12">
        <f>COUNTIF('Test Cases'!B4:B784,"SECURITY")</f>
        <v/>
      </c>
      <c r="C23" s="13">
        <f>IFERROR(B23/781,0)</f>
        <v/>
      </c>
      <c r="D23" s="12">
        <f>COUNTIFS('Test Cases'!B4:B784,"SECURITY",'Test Cases'!Q4:Q784,"Đạt")</f>
        <v/>
      </c>
      <c r="E23" s="12">
        <f>COUNTIFS('Test Cases'!B4:B784,"SECURITY",'Test Cases'!Q4:Q784,"Không đạt")</f>
        <v/>
      </c>
      <c r="F23" s="13">
        <f>IFERROR(D23/(D23+E23),0)</f>
        <v/>
      </c>
    </row>
    <row r="24">
      <c r="A24" s="21" t="inlineStr">
        <is>
          <t>DATA</t>
        </is>
      </c>
      <c r="B24" s="12">
        <f>COUNTIF('Test Cases'!B4:B784,"DATA")</f>
        <v/>
      </c>
      <c r="C24" s="13">
        <f>IFERROR(B24/781,0)</f>
        <v/>
      </c>
      <c r="D24" s="12">
        <f>COUNTIFS('Test Cases'!B4:B784,"DATA",'Test Cases'!Q4:Q784,"Đạt")</f>
        <v/>
      </c>
      <c r="E24" s="12">
        <f>COUNTIFS('Test Cases'!B4:B784,"DATA",'Test Cases'!Q4:Q784,"Không đạt")</f>
        <v/>
      </c>
      <c r="F24" s="13">
        <f>IFERROR(D24/(D24+E24),0)</f>
        <v/>
      </c>
    </row>
    <row r="25">
      <c r="A25" s="22" t="inlineStr">
        <is>
          <t>PERFORMANCE</t>
        </is>
      </c>
      <c r="B25" s="12">
        <f>COUNTIF('Test Cases'!B4:B784,"PERFORMANCE")</f>
        <v/>
      </c>
      <c r="C25" s="13">
        <f>IFERROR(B25/781,0)</f>
        <v/>
      </c>
      <c r="D25" s="12">
        <f>COUNTIFS('Test Cases'!B4:B784,"PERFORMANCE",'Test Cases'!Q4:Q784,"Đạt")</f>
        <v/>
      </c>
      <c r="E25" s="12">
        <f>COUNTIFS('Test Cases'!B4:B784,"PERFORMANCE",'Test Cases'!Q4:Q784,"Không đạt")</f>
        <v/>
      </c>
      <c r="F25" s="13">
        <f>IFERROR(D25/(D25+E25),0)</f>
        <v/>
      </c>
    </row>
    <row r="26">
      <c r="A26" s="23" t="inlineStr">
        <is>
          <t>A11Y</t>
        </is>
      </c>
      <c r="B26" s="12">
        <f>COUNTIF('Test Cases'!B4:B784,"A11Y")</f>
        <v/>
      </c>
      <c r="C26" s="13">
        <f>IFERROR(B26/781,0)</f>
        <v/>
      </c>
      <c r="D26" s="12">
        <f>COUNTIFS('Test Cases'!B4:B784,"A11Y",'Test Cases'!Q4:Q784,"Đạt")</f>
        <v/>
      </c>
      <c r="E26" s="12">
        <f>COUNTIFS('Test Cases'!B4:B784,"A11Y",'Test Cases'!Q4:Q784,"Không đạt")</f>
        <v/>
      </c>
      <c r="F26" s="13">
        <f>IFERROR(D26/(D26+E26),0)</f>
        <v/>
      </c>
    </row>
    <row r="27">
      <c r="A27" s="24" t="inlineStr">
        <is>
          <t>COMPAT</t>
        </is>
      </c>
      <c r="B27" s="12">
        <f>COUNTIF('Test Cases'!B4:B784,"COMPAT")</f>
        <v/>
      </c>
      <c r="C27" s="13">
        <f>IFERROR(B27/781,0)</f>
        <v/>
      </c>
      <c r="D27" s="12">
        <f>COUNTIFS('Test Cases'!B4:B784,"COMPAT",'Test Cases'!Q4:Q784,"Đạt")</f>
        <v/>
      </c>
      <c r="E27" s="12">
        <f>COUNTIFS('Test Cases'!B4:B784,"COMPAT",'Test Cases'!Q4:Q784,"Không đạt")</f>
        <v/>
      </c>
      <c r="F27" s="13">
        <f>IFERROR(D27/(D27+E27),0)</f>
        <v/>
      </c>
    </row>
    <row r="28">
      <c r="A28" s="25" t="inlineStr">
        <is>
          <t>INTEGRATION</t>
        </is>
      </c>
      <c r="B28" s="12">
        <f>COUNTIF('Test Cases'!B4:B784,"INTEGRATION")</f>
        <v/>
      </c>
      <c r="C28" s="13">
        <f>IFERROR(B28/781,0)</f>
        <v/>
      </c>
      <c r="D28" s="12">
        <f>COUNTIFS('Test Cases'!B4:B784,"INTEGRATION",'Test Cases'!Q4:Q784,"Đạt")</f>
        <v/>
      </c>
      <c r="E28" s="12">
        <f>COUNTIFS('Test Cases'!B4:B784,"INTEGRATION",'Test Cases'!Q4:Q784,"Không đạt")</f>
        <v/>
      </c>
      <c r="F28" s="13">
        <f>IFERROR(D28/(D28+E28),0)</f>
        <v/>
      </c>
    </row>
    <row r="29">
      <c r="A29" s="26" t="inlineStr">
        <is>
          <t>REGRESSION</t>
        </is>
      </c>
      <c r="B29" s="12">
        <f>COUNTIF('Test Cases'!B4:B784,"REGRESSION")</f>
        <v/>
      </c>
      <c r="C29" s="13">
        <f>IFERROR(B29/781,0)</f>
        <v/>
      </c>
      <c r="D29" s="12">
        <f>COUNTIFS('Test Cases'!B4:B784,"REGRESSION",'Test Cases'!Q4:Q784,"Đạt")</f>
        <v/>
      </c>
      <c r="E29" s="12">
        <f>COUNTIFS('Test Cases'!B4:B784,"REGRESSION",'Test Cases'!Q4:Q784,"Không đạt")</f>
        <v/>
      </c>
      <c r="F29" s="13">
        <f>IFERROR(D29/(D29+E29),0)</f>
        <v/>
      </c>
    </row>
    <row r="30">
      <c r="A30" s="27" t="inlineStr">
        <is>
          <t>RECOVERY</t>
        </is>
      </c>
      <c r="B30" s="12">
        <f>COUNTIF('Test Cases'!B4:B784,"RECOVERY")</f>
        <v/>
      </c>
      <c r="C30" s="13">
        <f>IFERROR(B30/781,0)</f>
        <v/>
      </c>
      <c r="D30" s="12">
        <f>COUNTIFS('Test Cases'!B4:B784,"RECOVERY",'Test Cases'!Q4:Q784,"Đạt")</f>
        <v/>
      </c>
      <c r="E30" s="12">
        <f>COUNTIFS('Test Cases'!B4:B784,"RECOVERY",'Test Cases'!Q4:Q784,"Không đạt")</f>
        <v/>
      </c>
      <c r="F30" s="13">
        <f>IFERROR(D30/(D30+E30),0)</f>
        <v/>
      </c>
    </row>
    <row r="31">
      <c r="A31" s="28" t="inlineStr">
        <is>
          <t>AUDIT</t>
        </is>
      </c>
      <c r="B31" s="12">
        <f>COUNTIF('Test Cases'!B4:B784,"AUDIT")</f>
        <v/>
      </c>
      <c r="C31" s="13">
        <f>IFERROR(B31/781,0)</f>
        <v/>
      </c>
      <c r="D31" s="12">
        <f>COUNTIFS('Test Cases'!B4:B784,"AUDIT",'Test Cases'!Q4:Q784,"Đạt")</f>
        <v/>
      </c>
      <c r="E31" s="12">
        <f>COUNTIFS('Test Cases'!B4:B784,"AUDIT",'Test Cases'!Q4:Q784,"Không đạt")</f>
        <v/>
      </c>
      <c r="F31" s="13">
        <f>IFERROR(D31/(D31+E31),0)</f>
        <v/>
      </c>
    </row>
    <row r="32">
      <c r="A32" s="29" t="inlineStr">
        <is>
          <t>USABILITY</t>
        </is>
      </c>
      <c r="B32" s="12">
        <f>COUNTIF('Test Cases'!B4:B784,"USABILITY")</f>
        <v/>
      </c>
      <c r="C32" s="13">
        <f>IFERROR(B32/781,0)</f>
        <v/>
      </c>
      <c r="D32" s="12">
        <f>COUNTIFS('Test Cases'!B4:B784,"USABILITY",'Test Cases'!Q4:Q784,"Đạt")</f>
        <v/>
      </c>
      <c r="E32" s="12">
        <f>COUNTIFS('Test Cases'!B4:B784,"USABILITY",'Test Cases'!Q4:Q784,"Không đạt")</f>
        <v/>
      </c>
      <c r="F32" s="13">
        <f>IFERROR(D32/(D32+E32),0)</f>
        <v/>
      </c>
    </row>
    <row r="34">
      <c r="A34" s="9" t="inlineStr">
        <is>
          <t>THEO ĐỘ ƯU TIÊN</t>
        </is>
      </c>
    </row>
    <row r="35">
      <c r="A35" s="10" t="inlineStr">
        <is>
          <t>Priority</t>
        </is>
      </c>
      <c r="B35" s="10" t="inlineStr">
        <is>
          <t>Số TC</t>
        </is>
      </c>
      <c r="C35" s="10" t="inlineStr">
        <is>
          <t>Tỷ lệ</t>
        </is>
      </c>
      <c r="D35" s="10" t="inlineStr">
        <is>
          <t>Pass</t>
        </is>
      </c>
      <c r="E35" s="10" t="inlineStr">
        <is>
          <t>Fail</t>
        </is>
      </c>
      <c r="F35" s="10" t="inlineStr">
        <is>
          <t>Pass rate</t>
        </is>
      </c>
    </row>
    <row r="36">
      <c r="A36" s="30" t="inlineStr">
        <is>
          <t>P0</t>
        </is>
      </c>
      <c r="B36" s="12">
        <f>COUNTIF('Test Cases'!C4:C784,"P0")</f>
        <v/>
      </c>
      <c r="C36" s="13">
        <f>IFERROR(B36/781,0)</f>
        <v/>
      </c>
      <c r="D36" s="12">
        <f>COUNTIFS('Test Cases'!C4:C784,"P0",'Test Cases'!Q4:Q784,"Đạt")</f>
        <v/>
      </c>
      <c r="E36" s="12">
        <f>COUNTIFS('Test Cases'!C4:C784,"P0",'Test Cases'!Q4:Q784,"Không đạt")</f>
        <v/>
      </c>
      <c r="F36" s="13">
        <f>IFERROR(D36/(D36+E36),0)</f>
        <v/>
      </c>
    </row>
    <row r="37">
      <c r="A37" s="31" t="inlineStr">
        <is>
          <t>P1</t>
        </is>
      </c>
      <c r="B37" s="12">
        <f>COUNTIF('Test Cases'!C4:C784,"P1")</f>
        <v/>
      </c>
      <c r="C37" s="13">
        <f>IFERROR(B37/781,0)</f>
        <v/>
      </c>
      <c r="D37" s="12">
        <f>COUNTIFS('Test Cases'!C4:C784,"P1",'Test Cases'!Q4:Q784,"Đạt")</f>
        <v/>
      </c>
      <c r="E37" s="12">
        <f>COUNTIFS('Test Cases'!C4:C784,"P1",'Test Cases'!Q4:Q784,"Không đạt")</f>
        <v/>
      </c>
      <c r="F37" s="13">
        <f>IFERROR(D37/(D37+E37),0)</f>
        <v/>
      </c>
    </row>
    <row r="38">
      <c r="A38" s="32" t="inlineStr">
        <is>
          <t>P2</t>
        </is>
      </c>
      <c r="B38" s="12">
        <f>COUNTIF('Test Cases'!C4:C784,"P2")</f>
        <v/>
      </c>
      <c r="C38" s="13">
        <f>IFERROR(B38/781,0)</f>
        <v/>
      </c>
      <c r="D38" s="12">
        <f>COUNTIFS('Test Cases'!C4:C784,"P2",'Test Cases'!Q4:Q784,"Đạt")</f>
        <v/>
      </c>
      <c r="E38" s="12">
        <f>COUNTIFS('Test Cases'!C4:C784,"P2",'Test Cases'!Q4:Q784,"Không đạt")</f>
        <v/>
      </c>
      <c r="F38" s="13">
        <f>IFERROR(D38/(D38+E38),0)</f>
        <v/>
      </c>
    </row>
    <row r="39">
      <c r="A39" s="33" t="inlineStr">
        <is>
          <t>P3</t>
        </is>
      </c>
      <c r="B39" s="12">
        <f>COUNTIF('Test Cases'!C4:C784,"P3")</f>
        <v/>
      </c>
      <c r="C39" s="13">
        <f>IFERROR(B39/781,0)</f>
        <v/>
      </c>
      <c r="D39" s="12">
        <f>COUNTIFS('Test Cases'!C4:C784,"P3",'Test Cases'!Q4:Q784,"Đạt")</f>
        <v/>
      </c>
      <c r="E39" s="12">
        <f>COUNTIFS('Test Cases'!C4:C784,"P3",'Test Cases'!Q4:Q784,"Không đạt")</f>
        <v/>
      </c>
      <c r="F39" s="13">
        <f>IFERROR(D39/(D39+E39),0)</f>
        <v/>
      </c>
    </row>
    <row r="41">
      <c r="A41" s="9" t="inlineStr">
        <is>
          <t>EXIT CRITERIA</t>
        </is>
      </c>
    </row>
    <row r="42">
      <c r="A42" s="10" t="inlineStr">
        <is>
          <t>Tiêu chí</t>
        </is>
      </c>
      <c r="B42" s="10" t="inlineStr">
        <is>
          <t>Yêu cầu</t>
        </is>
      </c>
      <c r="C42" s="10" t="inlineStr">
        <is>
          <t>Thực tế</t>
        </is>
      </c>
      <c r="D42" s="10" t="inlineStr">
        <is>
          <t>Trạng thái</t>
        </is>
      </c>
    </row>
    <row r="43">
      <c r="A43" s="34" t="inlineStr">
        <is>
          <t>P0 pass rate</t>
        </is>
      </c>
      <c r="B43" s="12" t="inlineStr">
        <is>
          <t>≥ 100%</t>
        </is>
      </c>
      <c r="C43" s="13">
        <f>IFERROR(COUNTIFS('Test Cases'!C4:C784,"P0",'Test Cases'!Q4:Q784,"Đạt")/COUNTIF('Test Cases'!C4:C784,"P0"),0)</f>
        <v/>
      </c>
      <c r="D43" s="12">
        <f>IF(C43&gt;=1,"✅ Đạt","❌ Chưa đạt")</f>
        <v/>
      </c>
    </row>
    <row r="44">
      <c r="A44" s="34" t="inlineStr">
        <is>
          <t>P1 pass rate</t>
        </is>
      </c>
      <c r="B44" s="12" t="inlineStr">
        <is>
          <t>≥ 95%</t>
        </is>
      </c>
      <c r="C44" s="13">
        <f>IFERROR(COUNTIFS('Test Cases'!C4:C784,"P1",'Test Cases'!Q4:Q784,"Đạt")/COUNTIF('Test Cases'!C4:C784,"P1"),0)</f>
        <v/>
      </c>
      <c r="D44" s="12">
        <f>IF(C44&gt;=0.95,"✅ Đạt","❌ Chưa đạt")</f>
        <v/>
      </c>
    </row>
    <row r="45">
      <c r="A45" s="34" t="inlineStr">
        <is>
          <t>P2 pass rate</t>
        </is>
      </c>
      <c r="B45" s="12" t="inlineStr">
        <is>
          <t>≥ 85%</t>
        </is>
      </c>
      <c r="C45" s="13">
        <f>IFERROR(COUNTIFS('Test Cases'!C4:C784,"P2",'Test Cases'!Q4:Q784,"Đạt")/MAX(COUNTIF('Test Cases'!C4:C784,"P2"),1),1)</f>
        <v/>
      </c>
      <c r="D45" s="12">
        <f>IF(C45&gt;=0.85,"✅ Đạt","❌ Chưa đạt")</f>
        <v/>
      </c>
    </row>
    <row r="46">
      <c r="A46" s="34" t="inlineStr">
        <is>
          <t>Bug Critical mở</t>
        </is>
      </c>
      <c r="B46" s="12">
        <f> 0</f>
        <v/>
      </c>
      <c r="C46" s="12">
        <f>COUNTIFS('Bug Tracker'!D:D,"Critical",'Bug Tracker'!E:E,"Open")+COUNTIFS('Bug Tracker'!D:D,"Critical",'Bug Tracker'!E:E,"Fixing")+COUNTIFS('Bug Tracker'!D:D,"Critical",'Bug Tracker'!E:E,"Fixed")</f>
        <v/>
      </c>
      <c r="D46" s="12">
        <f>IF(C46=0,"✅ Đạt","❌ Chưa đạt")</f>
        <v/>
      </c>
    </row>
    <row r="47">
      <c r="A47" s="35" t="inlineStr">
        <is>
          <t>TC bị regression</t>
        </is>
      </c>
      <c r="B47" s="12">
        <f> 0</f>
        <v/>
      </c>
      <c r="C47" s="12">
        <f>COUNTIF('Test Cases'!U:U,"⚠️ REGRESSION")</f>
        <v/>
      </c>
      <c r="D47" s="12">
        <f>IF(C47=0,"✅ Không có","🚨 BLOCK RELEASE")</f>
        <v/>
      </c>
    </row>
    <row r="48">
      <c r="A48" s="35" t="inlineStr">
        <is>
          <t>Regression chưa fix</t>
        </is>
      </c>
      <c r="B48" s="12">
        <f> 0</f>
        <v/>
      </c>
      <c r="C48" s="12">
        <f>COUNTIF('Regression Log'!K:K,"No")+COUNTIF('Regression Log'!K:K,"Verifying")</f>
        <v/>
      </c>
      <c r="D48" s="12">
        <f>IF(C48=0,"✅ Không có","🚨 BLOCK RELEASE")</f>
        <v/>
      </c>
    </row>
    <row r="50" ht="40" customHeight="1">
      <c r="A50" s="36">
        <f>IF(OR(C47&gt;0,C48&gt;0),"🚨 CẢNH BÁO REGRESSION: "&amp;C47&amp;" TC level-down, "&amp;C48&amp;" bug regression chưa fix - XEM Regression Log sheet","")</f>
        <v/>
      </c>
    </row>
    <row r="52" ht="30" customHeight="1">
      <c r="A52" s="37">
        <f>IF(AND(C43&gt;=1,C44&gt;=0.95,C45&gt;=0.85,C46=0,C47=0,C48=0),"🎉 SẴN SÀNG RELEASE",IF(OR(C47&gt;0,C48&gt;0),"⛔ BLOCK RELEASE — CÓ REGRESSION (LEVEL DOWN)","⛔ CHƯA SẴN SÀNG RELEASE"))</f>
        <v/>
      </c>
    </row>
  </sheetData>
  <mergeCells count="7">
    <mergeCell ref="A41:F41"/>
    <mergeCell ref="A52:F52"/>
    <mergeCell ref="A14:F14"/>
    <mergeCell ref="A1:F1"/>
    <mergeCell ref="A34:F34"/>
    <mergeCell ref="A50:F50"/>
    <mergeCell ref="A3:F3"/>
  </mergeCells>
  <conditionalFormatting sqref="D47">
    <cfRule type="cellIs" priority="1" operator="equal" dxfId="0">
      <formula>"🚨 BLOCK RELEASE"</formula>
    </cfRule>
  </conditionalFormatting>
  <conditionalFormatting sqref="D48">
    <cfRule type="cellIs" priority="2" operator="equal" dxfId="0">
      <formula>"🚨 BLOCK RELEASE"</formula>
    </cfRule>
  </conditionalFormatting>
  <conditionalFormatting sqref="A52">
    <cfRule type="expression" priority="3" dxfId="1">
      <formula>OR(C47&gt;0,C48&gt;0)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5" customWidth="1" min="4" max="4"/>
    <col width="35" customWidth="1" min="5" max="5"/>
    <col width="14" customWidth="1" min="6" max="6"/>
    <col width="18" customWidth="1" min="7" max="7"/>
    <col width="13" customWidth="1" min="8" max="8"/>
    <col width="30" customWidth="1" min="9" max="9"/>
    <col width="40" customWidth="1" min="10" max="10"/>
    <col width="25" customWidth="1" min="11" max="11"/>
    <col width="35" customWidth="1" min="12" max="12"/>
    <col width="30" customWidth="1" min="13" max="13"/>
    <col width="30" customWidth="1" min="14" max="14"/>
    <col width="14" customWidth="1" min="15" max="15"/>
    <col width="35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5" customWidth="1" min="22" max="22"/>
  </cols>
  <sheetData>
    <row r="1" ht="30" customHeight="1">
      <c r="A1" s="37" t="inlineStr">
        <is>
          <t>BỘ TEST CASE UAT: Quản lý vụ việc / vụ án (Case Management) — toàn bộ chức năng</t>
        </is>
      </c>
    </row>
    <row r="2">
      <c r="A2" s="38" t="inlineStr">
        <is>
          <t>Tổng số TC: 781 | Ngày tạo: 23/05/2026 | Generated by uat-test-writer skill</t>
        </is>
      </c>
    </row>
    <row r="3" ht="40" customHeight="1">
      <c r="A3" s="39" t="inlineStr">
        <is>
          <t>TC-ID</t>
        </is>
      </c>
      <c r="B3" s="39" t="inlineStr">
        <is>
          <t>Loại</t>
        </is>
      </c>
      <c r="C3" s="39" t="inlineStr">
        <is>
          <t>Độ ưu tiên</t>
        </is>
      </c>
      <c r="D3" s="39" t="inlineStr">
        <is>
          <t>Module</t>
        </is>
      </c>
      <c r="E3" s="39" t="inlineStr">
        <is>
          <t>Tiêu đề</t>
        </is>
      </c>
      <c r="F3" s="39" t="inlineStr">
        <is>
          <t>Yêu cầu</t>
        </is>
      </c>
      <c r="G3" s="39" t="inlineStr">
        <is>
          <t>Kỹ thuật test</t>
        </is>
      </c>
      <c r="H3" s="39" t="inlineStr">
        <is>
          <t>Mức độ rủi ro</t>
        </is>
      </c>
      <c r="I3" s="39" t="inlineStr">
        <is>
          <t>Điều kiện tiên quyết</t>
        </is>
      </c>
      <c r="J3" s="39" t="inlineStr">
        <is>
          <t>Các bước kiểm thử</t>
        </is>
      </c>
      <c r="K3" s="39" t="inlineStr">
        <is>
          <t>Dữ liệu kiểm thử</t>
        </is>
      </c>
      <c r="L3" s="39" t="inlineStr">
        <is>
          <t>Kết quả mong đợi - UI</t>
        </is>
      </c>
      <c r="M3" s="39" t="inlineStr">
        <is>
          <t>Kết quả mong đợi - API</t>
        </is>
      </c>
      <c r="N3" s="39" t="inlineStr">
        <is>
          <t>Kết quả mong đợi - Side effects</t>
        </is>
      </c>
      <c r="O3" s="39" t="inlineStr">
        <is>
          <t>Severity nếu fail</t>
        </is>
      </c>
      <c r="P3" s="39" t="inlineStr">
        <is>
          <t>Kết quả thực tế</t>
        </is>
      </c>
      <c r="Q3" s="39" t="inlineStr">
        <is>
          <t>Trạng thái</t>
        </is>
      </c>
      <c r="R3" s="39" t="inlineStr">
        <is>
          <t>Bug ID</t>
        </is>
      </c>
      <c r="S3" s="39" t="inlineStr">
        <is>
          <t>Lần chạy cuối</t>
        </is>
      </c>
      <c r="T3" s="39" t="inlineStr">
        <is>
          <t>Lịch sử chạy</t>
        </is>
      </c>
      <c r="U3" s="39" t="inlineStr">
        <is>
          <t>Cờ regression</t>
        </is>
      </c>
      <c r="V3" s="39" t="inlineStr">
        <is>
          <t>Ghi chú</t>
        </is>
      </c>
    </row>
    <row r="4" ht="80" customHeight="1">
      <c r="A4" s="40" t="inlineStr">
        <is>
          <t>TC-001</t>
        </is>
      </c>
      <c r="B4" s="41" t="inlineStr">
        <is>
          <t>GREEN</t>
        </is>
      </c>
      <c r="C4" s="42" t="inlineStr">
        <is>
          <t>P0</t>
        </is>
      </c>
      <c r="D4" s="43" t="inlineStr">
        <is>
          <t>Create</t>
        </is>
      </c>
      <c r="E4" s="43" t="inlineStr">
        <is>
          <t>Tạo Case DIRECT_DISCOVERY thành công với input đầy đủ</t>
        </is>
      </c>
      <c r="F4" s="40" t="inlineStr">
        <is>
          <t>REQ-CASE-CREATE-001</t>
        </is>
      </c>
      <c r="G4" s="40" t="inlineStr">
        <is>
          <t>Use case testing</t>
        </is>
      </c>
      <c r="H4" s="40" t="inlineStr">
        <is>
          <t>Cao</t>
        </is>
      </c>
      <c r="I4" s="43" t="inlineStr">
        <is>
          <t>1. Login dieuTra1@pc02.local (role INVESTIGATOR)
2. User thuộc Team-Q1
3. JWT valid</t>
        </is>
      </c>
      <c r="J4" s="43" t="inlineStr">
        <is>
          <t>1. Navigate /cases/new
2. Nhập name = 'Vụ trộm cắp xe máy tại Q1 ngày 12/05/2026'
3. Chọn caseProvenance = DIRECT_DISCOVERY
4. Nhập crime = 'Trộm cắp tài sản — Đ.173 BLHS'
5. Chọn capDoToiPham = NGHIEM_TRONG
6. Nhập subjectsCount = 2
7. Nhập ngayKhoiTo = '2026-05-12'
8. Click 'Lưu'</t>
        </is>
      </c>
      <c r="K4" s="43" t="inlineStr">
        <is>
          <t>name='Vụ trộm cắp xe máy tại Q1 ngày 12/05/2026', caseProvenance='DIRECT_DISCOVERY', crime='Trộm cắp tài sản — Đ.173 BLHS', capDoToiPham='NGHIEM_TRONG', subjectsCount=2, ngayKhoiTo='2026-05-12'</t>
        </is>
      </c>
      <c r="L4" s="43" t="inlineStr">
        <is>
          <t>1. Toast 'Tạo vụ án thành công'
2. Redirect /cases/&lt;id&gt;
3. Trang detail hiển thị đủ field
4. Badge status = 'Tiếp nhận'</t>
        </is>
      </c>
      <c r="M4" s="43" t="inlineStr">
        <is>
          <t>1. POST /api/v1/cases trả 201
2. Body: success=true, data.id, data.status='TIEP_NHAN', data.caseProvenance='DIRECT_DISCOVERY', data.createdById=&lt;userId&gt;
3. data.assignedTeamId auto-set từ dataScope</t>
        </is>
      </c>
      <c r="N4" s="43" t="inlineStr">
        <is>
          <t>1. Row trong table cases, deletedAt=NULL
2. Audit log CASE_CREATED có ipAddress, userAgent
3. assignedTeamId auto từ ward officer scope (v0.33)</t>
        </is>
      </c>
      <c r="O4" s="40" t="inlineStr">
        <is>
          <t>Critical</t>
        </is>
      </c>
      <c r="P4" s="43" t="inlineStr">
        <is>
          <t>Thời gian: 125ms</t>
        </is>
      </c>
      <c r="Q4" s="40" t="inlineStr">
        <is>
          <t>Không đạt</t>
        </is>
      </c>
      <c r="R4" s="40" t="inlineStr">
        <is>
          <t>BUG-078</t>
        </is>
      </c>
      <c r="S4" s="40" t="inlineStr">
        <is>
          <t>23/05/2026 19:06</t>
        </is>
      </c>
      <c r="T4" s="43" t="inlineStr">
        <is>
          <t>R1:Không đạt</t>
        </is>
      </c>
      <c r="U4" s="40" t="inlineStr"/>
      <c r="V4" s="43" t="inlineStr"/>
    </row>
    <row r="5" ht="80" customHeight="1">
      <c r="A5" s="40" t="inlineStr">
        <is>
          <t>TC-002</t>
        </is>
      </c>
      <c r="B5" s="41" t="inlineStr">
        <is>
          <t>GREEN</t>
        </is>
      </c>
      <c r="C5" s="42" t="inlineStr">
        <is>
          <t>P0</t>
        </is>
      </c>
      <c r="D5" s="43" t="inlineStr">
        <is>
          <t>Create</t>
        </is>
      </c>
      <c r="E5" s="43" t="inlineStr">
        <is>
          <t>Tạo Case FROM_PETITION link Petition đang status TIEP_NHAN + expectedPetitionUpdatedAt khớp</t>
        </is>
      </c>
      <c r="F5" s="40" t="inlineStr">
        <is>
          <t>REQ-CASE-CREATE-002</t>
        </is>
      </c>
      <c r="G5" s="40" t="inlineStr">
        <is>
          <t>Use case testing</t>
        </is>
      </c>
      <c r="H5" s="40" t="inlineStr">
        <is>
          <t>Cao</t>
        </is>
      </c>
      <c r="I5" s="43" t="inlineStr">
        <is>
          <t>1. Login INVESTIGATOR
2. Có Petition PET-001 status=TIEP_NHAN, updatedAt='2026-05-20T10:00:00.000Z', linkedCaseId=NULL</t>
        </is>
      </c>
      <c r="J5" s="43" t="inlineStr">
        <is>
          <t>1. Vào /petitions/PET-001
2. Click 'Khởi tố vụ án'
3. Form mở với caseProvenance=FROM_PETITION, linkedPetitionId=PET-001 pre-filled
4. Nhập name = 'Vụ án từ đơn thư PET-001'
5. Submit</t>
        </is>
      </c>
      <c r="K5" s="43" t="inlineStr">
        <is>
          <t>linkedPetitionId='PET-001', expectedPetitionUpdatedAt='2026-05-20T10:00:00.000Z', caseProvenance='FROM_PETITION'</t>
        </is>
      </c>
      <c r="L5" s="43" t="inlineStr">
        <is>
          <t>1. Toast 'Tạo vụ án thành công'
2. Redirect /cases/&lt;newId&gt;
3. Tab 'Nguồn tin' hiển thị link sang Petition PET-001</t>
        </is>
      </c>
      <c r="M5" s="43" t="inlineStr">
        <is>
          <t>1. POST /cases trả 201
2. data.linkedPetitionId='PET-001'
3. Atomic update Petition.status=DA_CHUYEN_VU_AN</t>
        </is>
      </c>
      <c r="N5" s="43" t="inlineStr">
        <is>
          <t>1. cases row có linkedPetitionId
2. petitions PET-001: linkedCaseId=newId, status=DA_CHUYEN_VU_AN
3. Audit CASE_CREATED metadata.linkedPetitionId='PET-001'</t>
        </is>
      </c>
      <c r="O5" s="40" t="inlineStr">
        <is>
          <t>Critical</t>
        </is>
      </c>
      <c r="P5" s="43" t="inlineStr">
        <is>
          <t>Thời gian: 123ms</t>
        </is>
      </c>
      <c r="Q5" s="40" t="inlineStr">
        <is>
          <t>Không đạt</t>
        </is>
      </c>
      <c r="R5" s="40" t="inlineStr">
        <is>
          <t>BUG-079</t>
        </is>
      </c>
      <c r="S5" s="40" t="inlineStr">
        <is>
          <t>23/05/2026 19:06</t>
        </is>
      </c>
      <c r="T5" s="43" t="inlineStr">
        <is>
          <t>R1:Không đạt</t>
        </is>
      </c>
      <c r="U5" s="40" t="inlineStr"/>
      <c r="V5" s="43" t="inlineStr"/>
    </row>
    <row r="6" ht="80" customHeight="1">
      <c r="A6" s="40" t="inlineStr">
        <is>
          <t>TC-003</t>
        </is>
      </c>
      <c r="B6" s="41" t="inlineStr">
        <is>
          <t>GREEN</t>
        </is>
      </c>
      <c r="C6" s="42" t="inlineStr">
        <is>
          <t>P0</t>
        </is>
      </c>
      <c r="D6" s="43" t="inlineStr">
        <is>
          <t>Create</t>
        </is>
      </c>
      <c r="E6" s="43" t="inlineStr">
        <is>
          <t>Tạo Case FROM_INCIDENT link Incident chưa khởi tố + expectedIncidentUpdatedAt khớp</t>
        </is>
      </c>
      <c r="F6" s="40" t="inlineStr">
        <is>
          <t>REQ-CASE-CREATE-003</t>
        </is>
      </c>
      <c r="G6" s="40" t="inlineStr">
        <is>
          <t>Use case testing</t>
        </is>
      </c>
      <c r="H6" s="40" t="inlineStr">
        <is>
          <t>Cao</t>
        </is>
      </c>
      <c r="I6" s="43" t="inlineStr">
        <is>
          <t>1. Login INVESTIGATOR
2. Có Incident INC-001 deletedAt=NULL, linkedCaseId=NULL, updatedAt='2026-05-20T11:00:00.000Z'</t>
        </is>
      </c>
      <c r="J6" s="43" t="inlineStr">
        <is>
          <t>1. Vào /incidents/INC-001
2. Click 'Khởi tố vụ án'
3. Form pre-fill caseProvenance=FROM_INCIDENT, linkedIncidentId=INC-001
4. Nhập name='Vụ án khởi tố từ INC-001'
5. Submit</t>
        </is>
      </c>
      <c r="K6" s="43" t="inlineStr">
        <is>
          <t>linkedIncidentId='INC-001', expectedIncidentUpdatedAt='2026-05-20T11:00:00.000Z', caseProvenance='FROM_INCIDENT'</t>
        </is>
      </c>
      <c r="L6" s="43" t="inlineStr">
        <is>
          <t>1. Toast success
2. Redirect /cases/&lt;newId&gt;
3. Detail page có badge 'Khởi tố từ vụ việc INC-001'</t>
        </is>
      </c>
      <c r="M6" s="43" t="inlineStr">
        <is>
          <t>1. POST /cases trả 201
2. data.linkedIncidentId='INC-001'
3. Incident INC-001 update linkedCaseId=newId</t>
        </is>
      </c>
      <c r="N6" s="43" t="inlineStr">
        <is>
          <t>1. cases.linkedIncidentId, incidents.linkedCaseId updated atomic
2. Audit CASE_CREATED metadata.linkedIncidentId</t>
        </is>
      </c>
      <c r="O6" s="40" t="inlineStr">
        <is>
          <t>Critical</t>
        </is>
      </c>
      <c r="P6" s="43" t="inlineStr">
        <is>
          <t>Thời gian: 116ms</t>
        </is>
      </c>
      <c r="Q6" s="40" t="inlineStr">
        <is>
          <t>Không đạt</t>
        </is>
      </c>
      <c r="R6" s="40" t="inlineStr">
        <is>
          <t>BUG-080</t>
        </is>
      </c>
      <c r="S6" s="40" t="inlineStr">
        <is>
          <t>23/05/2026 19:06</t>
        </is>
      </c>
      <c r="T6" s="43" t="inlineStr">
        <is>
          <t>R1:Không đạt</t>
        </is>
      </c>
      <c r="U6" s="40" t="inlineStr"/>
      <c r="V6" s="43" t="inlineStr"/>
    </row>
    <row r="7" ht="80" customHeight="1">
      <c r="A7" s="40" t="inlineStr">
        <is>
          <t>TC-004</t>
        </is>
      </c>
      <c r="B7" s="41" t="inlineStr">
        <is>
          <t>GREEN</t>
        </is>
      </c>
      <c r="C7" s="42" t="inlineStr">
        <is>
          <t>P0</t>
        </is>
      </c>
      <c r="D7" s="43" t="inlineStr">
        <is>
          <t>Create</t>
        </is>
      </c>
      <c r="E7" s="43" t="inlineStr">
        <is>
          <t>Tạo Case TRANSFERRED với sourceDocumentNote</t>
        </is>
      </c>
      <c r="F7" s="40" t="inlineStr">
        <is>
          <t>REQ-CASE-CREATE-004</t>
        </is>
      </c>
      <c r="G7" s="40" t="inlineStr">
        <is>
          <t>Use case testing</t>
        </is>
      </c>
      <c r="H7" s="40" t="inlineStr">
        <is>
          <t>Cao</t>
        </is>
      </c>
      <c r="I7" s="43" t="inlineStr">
        <is>
          <t>1. Login INVESTIGATOR</t>
        </is>
      </c>
      <c r="J7" s="43" t="inlineStr">
        <is>
          <t>1. Mở form tạo vụ án
2. Chọn caseProvenance=TRANSFERRED
3. Nhập sourceDocumentNote='Công văn chuyển từ Cơ quan ANĐT Thành phố số 1234/CV ngày 10/05/2026'
4. Nhập name + submit</t>
        </is>
      </c>
      <c r="K7" s="43" t="inlineStr">
        <is>
          <t>caseProvenance='TRANSFERRED', sourceDocumentNote='Công văn chuyển từ Cơ quan ANĐT Thành phố số 1234/CV ngày 10/05/2026', name='Vụ chuyển CQĐT khác'</t>
        </is>
      </c>
      <c r="L7" s="43" t="inlineStr">
        <is>
          <t>Toast 'Tạo vụ án thành công', detail hiện sourceDocumentNote</t>
        </is>
      </c>
      <c r="M7" s="43" t="inlineStr">
        <is>
          <t>POST /cases 201, data.caseProvenance='TRANSFERRED', data.sourceDocumentNote set</t>
        </is>
      </c>
      <c r="N7" s="43" t="inlineStr">
        <is>
          <t>cases row có sourceDocumentNote saved</t>
        </is>
      </c>
      <c r="O7" s="40" t="inlineStr">
        <is>
          <t>High</t>
        </is>
      </c>
      <c r="P7" s="43" t="inlineStr">
        <is>
          <t>Thời gian: 118ms</t>
        </is>
      </c>
      <c r="Q7" s="40" t="inlineStr">
        <is>
          <t>Không đạt</t>
        </is>
      </c>
      <c r="R7" s="40" t="inlineStr">
        <is>
          <t>BUG-081</t>
        </is>
      </c>
      <c r="S7" s="40" t="inlineStr">
        <is>
          <t>23/05/2026 19:06</t>
        </is>
      </c>
      <c r="T7" s="43" t="inlineStr">
        <is>
          <t>R1:Không đạt</t>
        </is>
      </c>
      <c r="U7" s="40" t="inlineStr"/>
      <c r="V7" s="43" t="inlineStr"/>
    </row>
    <row r="8" ht="80" customHeight="1">
      <c r="A8" s="40" t="inlineStr">
        <is>
          <t>TC-005</t>
        </is>
      </c>
      <c r="B8" s="41" t="inlineStr">
        <is>
          <t>GREEN</t>
        </is>
      </c>
      <c r="C8" s="42" t="inlineStr">
        <is>
          <t>P0</t>
        </is>
      </c>
      <c r="D8" s="43" t="inlineStr">
        <is>
          <t>Create</t>
        </is>
      </c>
      <c r="E8" s="43" t="inlineStr">
        <is>
          <t>Tạo Case OTHER_LEGAL_SOURCE</t>
        </is>
      </c>
      <c r="F8" s="40" t="inlineStr">
        <is>
          <t>REQ-CASE-CREATE-005</t>
        </is>
      </c>
      <c r="G8" s="40" t="inlineStr">
        <is>
          <t>Use case testing</t>
        </is>
      </c>
      <c r="H8" s="40" t="inlineStr">
        <is>
          <t>Cao</t>
        </is>
      </c>
      <c r="I8" s="43" t="inlineStr">
        <is>
          <t>1. User đã login
2. Token JWT hợp lệ</t>
        </is>
      </c>
      <c r="J8" s="43" t="inlineStr">
        <is>
          <t>1. Form tạo
2. Chọn provenance=OTHER_LEGAL_SOURCE
3. Nhập name='Vụ phát hiện qua tin báo nặc danh', sourceDocumentNote='Tin báo Hotline 113'
4. Submit</t>
        </is>
      </c>
      <c r="K8" s="43" t="inlineStr">
        <is>
          <t>caseProvenance='OTHER_LEGAL_SOURCE', name='Vụ phát hiện qua tin báo nặc danh', sourceDocumentNote='Tin báo Hotline 113'</t>
        </is>
      </c>
      <c r="L8" s="43" t="inlineStr">
        <is>
          <t>Toast success</t>
        </is>
      </c>
      <c r="M8" s="43" t="inlineStr">
        <is>
          <t>201 with caseProvenance=OTHER_LEGAL_SOURCE</t>
        </is>
      </c>
      <c r="N8" s="43" t="inlineStr">
        <is>
          <t>Row saved</t>
        </is>
      </c>
      <c r="O8" s="40" t="inlineStr">
        <is>
          <t>High</t>
        </is>
      </c>
      <c r="P8" s="43" t="inlineStr">
        <is>
          <t>Thời gian: 123ms</t>
        </is>
      </c>
      <c r="Q8" s="40" t="inlineStr">
        <is>
          <t>Không đạt</t>
        </is>
      </c>
      <c r="R8" s="40" t="inlineStr">
        <is>
          <t>BUG-082</t>
        </is>
      </c>
      <c r="S8" s="40" t="inlineStr">
        <is>
          <t>23/05/2026 19:06</t>
        </is>
      </c>
      <c r="T8" s="43" t="inlineStr">
        <is>
          <t>R1:Không đạt</t>
        </is>
      </c>
      <c r="U8" s="40" t="inlineStr"/>
      <c r="V8" s="43" t="inlineStr"/>
    </row>
    <row r="9" ht="80" customHeight="1">
      <c r="A9" s="40" t="inlineStr">
        <is>
          <t>TC-006</t>
        </is>
      </c>
      <c r="B9" s="41" t="inlineStr">
        <is>
          <t>GREEN</t>
        </is>
      </c>
      <c r="C9" s="42" t="inlineStr">
        <is>
          <t>P0</t>
        </is>
      </c>
      <c r="D9" s="43" t="inlineStr">
        <is>
          <t>Create</t>
        </is>
      </c>
      <c r="E9" s="43" t="inlineStr">
        <is>
          <t>Tạo Case với capDoToiPham=DAC_BIET_NGHIEM_TRONG để KPI-4 tính</t>
        </is>
      </c>
      <c r="F9" s="40" t="inlineStr">
        <is>
          <t>REQ-CASE-CREATE-006</t>
        </is>
      </c>
      <c r="G9" s="40" t="inlineStr">
        <is>
          <t>Use case testing</t>
        </is>
      </c>
      <c r="H9" s="40" t="inlineStr">
        <is>
          <t>Cao</t>
        </is>
      </c>
      <c r="I9" s="43" t="inlineStr">
        <is>
          <t>1. User đã login
2. Token JWT hợp lệ</t>
        </is>
      </c>
      <c r="J9" s="43" t="inlineStr">
        <is>
          <t>1. Tạo Case mới
2. Chọn capDoToiPham=DAC_BIET_NGHIEM_TRONG
3. crime='Giết người — Đ.123 BLHS'
4. Submit</t>
        </is>
      </c>
      <c r="K9" s="43" t="inlineStr">
        <is>
          <t>capDoToiPham='DAC_BIET_NGHIEM_TRONG', crime='Giết người — Đ.123 BLHS'</t>
        </is>
      </c>
      <c r="L9" s="43" t="inlineStr">
        <is>
          <t>Detail hiện badge mức độ 'Đặc biệt nghiêm trọng' màu đỏ</t>
        </is>
      </c>
      <c r="M9" s="43" t="inlineStr">
        <is>
          <t>data.capDoToiPham='DAC_BIET_NGHIEM_TRONG'</t>
        </is>
      </c>
      <c r="N9" s="43" t="inlineStr">
        <is>
          <t>KPI-4 dashboard cập nhật count án ĐBNT +1</t>
        </is>
      </c>
      <c r="O9" s="40" t="inlineStr">
        <is>
          <t>High</t>
        </is>
      </c>
      <c r="P9" s="43" t="inlineStr">
        <is>
          <t>Thời gian: 172ms</t>
        </is>
      </c>
      <c r="Q9" s="40" t="inlineStr">
        <is>
          <t>Không đạt</t>
        </is>
      </c>
      <c r="R9" s="40" t="inlineStr">
        <is>
          <t>BUG-083</t>
        </is>
      </c>
      <c r="S9" s="40" t="inlineStr">
        <is>
          <t>23/05/2026 19:06</t>
        </is>
      </c>
      <c r="T9" s="43" t="inlineStr">
        <is>
          <t>R1:Không đạt</t>
        </is>
      </c>
      <c r="U9" s="40" t="inlineStr"/>
      <c r="V9" s="43" t="inlineStr"/>
    </row>
    <row r="10" ht="80" customHeight="1">
      <c r="A10" s="40" t="inlineStr">
        <is>
          <t>TC-007</t>
        </is>
      </c>
      <c r="B10" s="41" t="inlineStr">
        <is>
          <t>GREEN</t>
        </is>
      </c>
      <c r="C10" s="42" t="inlineStr">
        <is>
          <t>P0</t>
        </is>
      </c>
      <c r="D10" s="43" t="inlineStr">
        <is>
          <t>Create</t>
        </is>
      </c>
      <c r="E10" s="43" t="inlineStr">
        <is>
          <t>Auto-deadline tính theo SystemSetting THOI_HAN_GIAI_QUYET</t>
        </is>
      </c>
      <c r="F10" s="40" t="inlineStr">
        <is>
          <t>REQ-CASE-CREATE-007</t>
        </is>
      </c>
      <c r="G10" s="40" t="inlineStr">
        <is>
          <t>Use case testing</t>
        </is>
      </c>
      <c r="H10" s="40" t="inlineStr">
        <is>
          <t>Cao</t>
        </is>
      </c>
      <c r="I10" s="43" t="inlineStr">
        <is>
          <t>SystemSetting THOI_HAN_GIAI_QUYET = 120 (ngày)</t>
        </is>
      </c>
      <c r="J10" s="43" t="inlineStr">
        <is>
          <t>1. Tạo Case mới ngày 2026-05-23
2. KHÔNG nhập deadline
3. Submit</t>
        </is>
      </c>
      <c r="K10" s="43" t="inlineStr">
        <is>
          <t>name='Test auto deadline', caseProvenance='DIRECT_DISCOVERY'</t>
        </is>
      </c>
      <c r="L10" s="43" t="inlineStr">
        <is>
          <t>Detail hiển thị deadline = 2026-09-20 (120 ngày sau)</t>
        </is>
      </c>
      <c r="M10" s="43" t="inlineStr">
        <is>
          <t>data.deadline = createdAt + 120 days (UTC)</t>
        </is>
      </c>
      <c r="N10" s="43" t="inlineStr">
        <is>
          <t>Deadline auto-set từ SystemSetting, không phải từ user input</t>
        </is>
      </c>
      <c r="O10" s="40" t="inlineStr">
        <is>
          <t>High</t>
        </is>
      </c>
      <c r="P10" s="43" t="inlineStr">
        <is>
          <t>Thời gian: 132ms</t>
        </is>
      </c>
      <c r="Q10" s="40" t="inlineStr">
        <is>
          <t>Không đạt</t>
        </is>
      </c>
      <c r="R10" s="40" t="inlineStr">
        <is>
          <t>BUG-084</t>
        </is>
      </c>
      <c r="S10" s="40" t="inlineStr">
        <is>
          <t>23/05/2026 19:06</t>
        </is>
      </c>
      <c r="T10" s="43" t="inlineStr">
        <is>
          <t>R1:Không đạt</t>
        </is>
      </c>
      <c r="U10" s="40" t="inlineStr"/>
      <c r="V10" s="43" t="inlineStr"/>
    </row>
    <row r="11" ht="80" customHeight="1">
      <c r="A11" s="40" t="inlineStr">
        <is>
          <t>TC-008</t>
        </is>
      </c>
      <c r="B11" s="41" t="inlineStr">
        <is>
          <t>GREEN</t>
        </is>
      </c>
      <c r="C11" s="42" t="inlineStr">
        <is>
          <t>P0</t>
        </is>
      </c>
      <c r="D11" s="43" t="inlineStr">
        <is>
          <t>Create</t>
        </is>
      </c>
      <c r="E11" s="43" t="inlineStr">
        <is>
          <t>Tạo Case manual deadline override auto-deadline</t>
        </is>
      </c>
      <c r="F11" s="40" t="inlineStr">
        <is>
          <t>REQ-CASE-CREATE-008</t>
        </is>
      </c>
      <c r="G11" s="40" t="inlineStr">
        <is>
          <t>Use case testing</t>
        </is>
      </c>
      <c r="H11" s="40" t="inlineStr">
        <is>
          <t>Cao</t>
        </is>
      </c>
      <c r="I11" s="43" t="inlineStr">
        <is>
          <t>1. User đã login
2. Token JWT hợp lệ</t>
        </is>
      </c>
      <c r="J11" s="43" t="inlineStr">
        <is>
          <t>1. Form tạo
2. Nhập deadline='2026-08-15' (60 ngày sau)
3. Submit</t>
        </is>
      </c>
      <c r="K11" s="43" t="inlineStr">
        <is>
          <t>deadline='2026-08-15'</t>
        </is>
      </c>
      <c r="L11" s="43" t="inlineStr">
        <is>
          <t>Detail show deadline=15/08/2026</t>
        </is>
      </c>
      <c r="M11" s="43" t="inlineStr">
        <is>
          <t>data.deadline=2026-08-15T00:00:00.000Z</t>
        </is>
      </c>
      <c r="N11" s="43" t="inlineStr">
        <is>
          <t>cases.deadline = user input (không bị auto-calc override)</t>
        </is>
      </c>
      <c r="O11" s="40" t="inlineStr">
        <is>
          <t>High</t>
        </is>
      </c>
      <c r="P11" s="43" t="inlineStr">
        <is>
          <t>Thời gian: 195ms</t>
        </is>
      </c>
      <c r="Q11" s="40" t="inlineStr">
        <is>
          <t>Không đạt</t>
        </is>
      </c>
      <c r="R11" s="40" t="inlineStr">
        <is>
          <t>BUG-085</t>
        </is>
      </c>
      <c r="S11" s="40" t="inlineStr">
        <is>
          <t>23/05/2026 19:06</t>
        </is>
      </c>
      <c r="T11" s="43" t="inlineStr">
        <is>
          <t>R1:Không đạt</t>
        </is>
      </c>
      <c r="U11" s="40" t="inlineStr"/>
      <c r="V11" s="43" t="inlineStr"/>
    </row>
    <row r="12" ht="80" customHeight="1">
      <c r="A12" s="40" t="inlineStr">
        <is>
          <t>TC-009</t>
        </is>
      </c>
      <c r="B12" s="41" t="inlineStr">
        <is>
          <t>GREEN</t>
        </is>
      </c>
      <c r="C12" s="42" t="inlineStr">
        <is>
          <t>P0</t>
        </is>
      </c>
      <c r="D12" s="43" t="inlineStr">
        <is>
          <t>Create</t>
        </is>
      </c>
      <c r="E12" s="43" t="inlineStr">
        <is>
          <t>Tạo Case với metadata custom (người báo tin)</t>
        </is>
      </c>
      <c r="F12" s="40" t="inlineStr">
        <is>
          <t>REQ-CASE-CREATE-009</t>
        </is>
      </c>
      <c r="G12" s="40" t="inlineStr">
        <is>
          <t>Use case testing</t>
        </is>
      </c>
      <c r="H12" s="40" t="inlineStr">
        <is>
          <t>Cao</t>
        </is>
      </c>
      <c r="I12" s="43" t="inlineStr">
        <is>
          <t>1. User đã login
2. Token JWT hợp lệ</t>
        </is>
      </c>
      <c r="J12" s="43" t="inlineStr">
        <is>
          <t>1. Tạo Case
2. Nhập metadata.nguoiBaoTin='Nguyễn Văn A', metadata.diaChi='12 Lê Lợi Q1'
3. Submit</t>
        </is>
      </c>
      <c r="K12" s="43" t="inlineStr">
        <is>
          <t>metadata={nguoiBaoTin:'Nguyễn Văn A', diaChi:'12 Lê Lợi Q1', soDienThoai:'0901234567'}</t>
        </is>
      </c>
      <c r="L12" s="43" t="inlineStr">
        <is>
          <t>Detail tab 'Thông tin báo tin' show nguoiBaoTin, diaChi</t>
        </is>
      </c>
      <c r="M12" s="43" t="inlineStr">
        <is>
          <t>data.metadata.nguoiBaoTin='Nguyễn Văn A'</t>
        </is>
      </c>
      <c r="N12" s="43" t="inlineStr">
        <is>
          <t>JSONB metadata saved</t>
        </is>
      </c>
      <c r="O12" s="40" t="inlineStr">
        <is>
          <t>High</t>
        </is>
      </c>
      <c r="P12" s="43" t="inlineStr">
        <is>
          <t>Thời gian: 171ms</t>
        </is>
      </c>
      <c r="Q12" s="40" t="inlineStr">
        <is>
          <t>Không đạt</t>
        </is>
      </c>
      <c r="R12" s="40" t="inlineStr">
        <is>
          <t>BUG-086</t>
        </is>
      </c>
      <c r="S12" s="40" t="inlineStr">
        <is>
          <t>23/05/2026 19:06</t>
        </is>
      </c>
      <c r="T12" s="43" t="inlineStr">
        <is>
          <t>R1:Không đạt</t>
        </is>
      </c>
      <c r="U12" s="40" t="inlineStr"/>
      <c r="V12" s="43" t="inlineStr"/>
    </row>
    <row r="13" ht="80" customHeight="1">
      <c r="A13" s="40" t="inlineStr">
        <is>
          <t>TC-010</t>
        </is>
      </c>
      <c r="B13" s="41" t="inlineStr">
        <is>
          <t>GREEN</t>
        </is>
      </c>
      <c r="C13" s="42" t="inlineStr">
        <is>
          <t>P0</t>
        </is>
      </c>
      <c r="D13" s="43" t="inlineStr">
        <is>
          <t>Create</t>
        </is>
      </c>
      <c r="E13" s="43" t="inlineStr">
        <is>
          <t>Ward officer auto-set assignedTeamId theo wardTeamId (silent override)</t>
        </is>
      </c>
      <c r="F13" s="40" t="inlineStr">
        <is>
          <t>REQ-CASE-CREATE-010</t>
        </is>
      </c>
      <c r="G13" s="40" t="inlineStr">
        <is>
          <t>Use case testing</t>
        </is>
      </c>
      <c r="H13" s="40" t="inlineStr">
        <is>
          <t>Cao</t>
        </is>
      </c>
      <c r="I13" s="43" t="inlineStr">
        <is>
          <t>Login wardOfficer1@pc02.local thuộc Team-WARD-01</t>
        </is>
      </c>
      <c r="J13" s="43" t="inlineStr">
        <is>
          <t>1. Form tạo
2. CỐ NHẬP assignedTeamId='Team-DIFFERENT-99' (team khác)
3. Submit</t>
        </is>
      </c>
      <c r="K13" s="43" t="inlineStr">
        <is>
          <t>dto.assignedTeamId='Team-DIFFERENT-99'</t>
        </is>
      </c>
      <c r="L13" s="43" t="inlineStr">
        <is>
          <t>Toast success (KHÔNG báo lỗi)</t>
        </is>
      </c>
      <c r="M13" s="43" t="inlineStr">
        <is>
          <t>POST 201, data.assignedTeamId='Team-WARD-01' (auto override)</t>
        </is>
      </c>
      <c r="N13" s="43" t="inlineStr">
        <is>
          <t>Server silent override theo dataScope.wardTeamId — UX safer per D-eng-fix M3</t>
        </is>
      </c>
      <c r="O13" s="40" t="inlineStr">
        <is>
          <t>High</t>
        </is>
      </c>
      <c r="P13" s="43" t="inlineStr">
        <is>
          <t>Thời gian: 131ms</t>
        </is>
      </c>
      <c r="Q13" s="40" t="inlineStr">
        <is>
          <t>Không đạt</t>
        </is>
      </c>
      <c r="R13" s="40" t="inlineStr">
        <is>
          <t>BUG-087</t>
        </is>
      </c>
      <c r="S13" s="40" t="inlineStr">
        <is>
          <t>23/05/2026 19:06</t>
        </is>
      </c>
      <c r="T13" s="43" t="inlineStr">
        <is>
          <t>R1:Không đạt</t>
        </is>
      </c>
      <c r="U13" s="40" t="inlineStr"/>
      <c r="V13" s="43" t="inlineStr"/>
    </row>
    <row r="14" ht="80" customHeight="1">
      <c r="A14" s="40" t="inlineStr">
        <is>
          <t>TC-011</t>
        </is>
      </c>
      <c r="B14" s="41" t="inlineStr">
        <is>
          <t>GREEN</t>
        </is>
      </c>
      <c r="C14" s="44" t="inlineStr">
        <is>
          <t>P1</t>
        </is>
      </c>
      <c r="D14" s="43" t="inlineStr">
        <is>
          <t>Create</t>
        </is>
      </c>
      <c r="E14" s="43" t="inlineStr">
        <is>
          <t>Tạo Case bỏ trống các field optional</t>
        </is>
      </c>
      <c r="F14" s="40" t="inlineStr">
        <is>
          <t>REQ-CASE-CREATE-011</t>
        </is>
      </c>
      <c r="G14" s="40" t="inlineStr">
        <is>
          <t>Use case testing</t>
        </is>
      </c>
      <c r="H14" s="40" t="inlineStr">
        <is>
          <t>TB</t>
        </is>
      </c>
      <c r="I14" s="43" t="inlineStr">
        <is>
          <t>1. User đã login
2. Token JWT hợp lệ</t>
        </is>
      </c>
      <c r="J14" s="43" t="inlineStr">
        <is>
          <t>1. Form tạo
2. CHỈ nhập name + caseProvenance
3. Submit</t>
        </is>
      </c>
      <c r="K14" s="43" t="inlineStr">
        <is>
          <t>name='Vụ tối thiểu', caseProvenance='DIRECT_DISCOVERY'</t>
        </is>
      </c>
      <c r="L14" s="43" t="inlineStr">
        <is>
          <t>Toast success, detail hiện các field optional là '-'</t>
        </is>
      </c>
      <c r="M14" s="43" t="inlineStr">
        <is>
          <t>201, crime=NULL, investigatorId=NULL, capDoToiPham=NULL, subjectsCount=0 (default)</t>
        </is>
      </c>
      <c r="N14" s="43" t="inlineStr">
        <is>
          <t>DB row với null optional fields</t>
        </is>
      </c>
      <c r="O14" s="40" t="inlineStr">
        <is>
          <t>Medium</t>
        </is>
      </c>
      <c r="P14" s="43" t="inlineStr">
        <is>
          <t>Đạt như expected. Thời gian: 826ms</t>
        </is>
      </c>
      <c r="Q14" s="40" t="inlineStr">
        <is>
          <t>Đạt</t>
        </is>
      </c>
      <c r="R14" s="40" t="inlineStr"/>
      <c r="S14" s="40" t="inlineStr">
        <is>
          <t>23/05/2026 19:06</t>
        </is>
      </c>
      <c r="T14" s="43" t="inlineStr">
        <is>
          <t>R1:Đạt</t>
        </is>
      </c>
      <c r="U14" s="40" t="inlineStr"/>
      <c r="V14" s="43" t="inlineStr"/>
    </row>
    <row r="15" ht="80" customHeight="1">
      <c r="A15" s="40" t="inlineStr">
        <is>
          <t>TC-012</t>
        </is>
      </c>
      <c r="B15" s="41" t="inlineStr">
        <is>
          <t>GREEN</t>
        </is>
      </c>
      <c r="C15" s="44" t="inlineStr">
        <is>
          <t>P1</t>
        </is>
      </c>
      <c r="D15" s="43" t="inlineStr">
        <is>
          <t>Create</t>
        </is>
      </c>
      <c r="E15" s="43" t="inlineStr">
        <is>
          <t>Tạo Case với investigatorId là user khác đang active</t>
        </is>
      </c>
      <c r="F15" s="40" t="inlineStr">
        <is>
          <t>REQ-CASE-CREATE-012</t>
        </is>
      </c>
      <c r="G15" s="40" t="inlineStr">
        <is>
          <t>Use case testing</t>
        </is>
      </c>
      <c r="H15" s="40" t="inlineStr">
        <is>
          <t>TB</t>
        </is>
      </c>
      <c r="I15" s="43" t="inlineStr">
        <is>
          <t>Có user dieuTra2@pc02.local đang active</t>
        </is>
      </c>
      <c r="J15" s="43" t="inlineStr">
        <is>
          <t>1. Tạo Case
2. Chọn investigator='Nguyễn ĐTV2' từ FK dropdown
3. Submit</t>
        </is>
      </c>
      <c r="K15" s="43" t="inlineStr">
        <is>
          <t>investigatorId='&lt;dieuTra2.id&gt;'</t>
        </is>
      </c>
      <c r="L15" s="43" t="inlineStr">
        <is>
          <t>Detail show investigator name = 'Nguyễn ĐTV2'</t>
        </is>
      </c>
      <c r="M15" s="43" t="inlineStr">
        <is>
          <t>data.investigatorId=&lt;dieuTra2.id&gt;</t>
        </is>
      </c>
      <c r="N15" s="43" t="inlineStr">
        <is>
          <t>cases.investigatorId set</t>
        </is>
      </c>
      <c r="O15" s="40" t="inlineStr">
        <is>
          <t>Medium</t>
        </is>
      </c>
      <c r="P15" s="43" t="inlineStr">
        <is>
          <t>Đạt như expected. Thời gian: 62ms</t>
        </is>
      </c>
      <c r="Q15" s="40" t="inlineStr">
        <is>
          <t>Đạt</t>
        </is>
      </c>
      <c r="R15" s="40" t="inlineStr"/>
      <c r="S15" s="40" t="inlineStr">
        <is>
          <t>23/05/2026 19:06</t>
        </is>
      </c>
      <c r="T15" s="43" t="inlineStr">
        <is>
          <t>R1:Đạt</t>
        </is>
      </c>
      <c r="U15" s="40" t="inlineStr"/>
      <c r="V15" s="43" t="inlineStr"/>
    </row>
    <row r="16" ht="80" customHeight="1">
      <c r="A16" s="40" t="inlineStr">
        <is>
          <t>TC-013</t>
        </is>
      </c>
      <c r="B16" s="41" t="inlineStr">
        <is>
          <t>GREEN</t>
        </is>
      </c>
      <c r="C16" s="44" t="inlineStr">
        <is>
          <t>P1</t>
        </is>
      </c>
      <c r="D16" s="43" t="inlineStr">
        <is>
          <t>Create</t>
        </is>
      </c>
      <c r="E16" s="43" t="inlineStr">
        <is>
          <t>Tạo Case với ngayKhoiTo lùi vài ngày trước hôm nay (đã khởi tố trước khi vào hệ thống)</t>
        </is>
      </c>
      <c r="F16" s="40" t="inlineStr">
        <is>
          <t>REQ-CASE-CREATE-013</t>
        </is>
      </c>
      <c r="G16" s="40" t="inlineStr">
        <is>
          <t>Use case testing</t>
        </is>
      </c>
      <c r="H16" s="40" t="inlineStr">
        <is>
          <t>TB</t>
        </is>
      </c>
      <c r="I16" s="43" t="inlineStr">
        <is>
          <t>1. User đã login
2. Token JWT hợp lệ</t>
        </is>
      </c>
      <c r="J16" s="43" t="inlineStr">
        <is>
          <t>1. Tạo Case
2. ngayKhoiTo='2026-05-15' (8 ngày trước)
3. Submit</t>
        </is>
      </c>
      <c r="K16" s="43" t="inlineStr">
        <is>
          <t>ngayKhoiTo='2026-05-15'</t>
        </is>
      </c>
      <c r="L16" s="43" t="inlineStr">
        <is>
          <t>Detail show ngày khởi tố 15/05/2026</t>
        </is>
      </c>
      <c r="M16" s="43" t="inlineStr">
        <is>
          <t>data.ngayKhoiTo='2026-05-15T00:00:00.000Z'</t>
        </is>
      </c>
      <c r="N16" s="43" t="inlineStr">
        <is>
          <t>Saved without 'future date' validation</t>
        </is>
      </c>
      <c r="O16" s="40" t="inlineStr">
        <is>
          <t>Medium</t>
        </is>
      </c>
      <c r="P16" s="43" t="inlineStr">
        <is>
          <t>Đạt như expected. Thời gian: 66ms</t>
        </is>
      </c>
      <c r="Q16" s="40" t="inlineStr">
        <is>
          <t>Đạt</t>
        </is>
      </c>
      <c r="R16" s="40" t="inlineStr"/>
      <c r="S16" s="40" t="inlineStr">
        <is>
          <t>23/05/2026 19:06</t>
        </is>
      </c>
      <c r="T16" s="43" t="inlineStr">
        <is>
          <t>R1:Đạt</t>
        </is>
      </c>
      <c r="U16" s="40" t="inlineStr"/>
      <c r="V16" s="43" t="inlineStr"/>
    </row>
    <row r="17" ht="80" customHeight="1">
      <c r="A17" s="40" t="inlineStr">
        <is>
          <t>TC-014</t>
        </is>
      </c>
      <c r="B17" s="41" t="inlineStr">
        <is>
          <t>GREEN</t>
        </is>
      </c>
      <c r="C17" s="44" t="inlineStr">
        <is>
          <t>P1</t>
        </is>
      </c>
      <c r="D17" s="43" t="inlineStr">
        <is>
          <t>Create</t>
        </is>
      </c>
      <c r="E17" s="43" t="inlineStr">
        <is>
          <t>Dispatcher tạo Case có thể chọn assignedTeamId bất kỳ</t>
        </is>
      </c>
      <c r="F17" s="40" t="inlineStr">
        <is>
          <t>REQ-CASE-CREATE-014</t>
        </is>
      </c>
      <c r="G17" s="40" t="inlineStr">
        <is>
          <t>Use case testing</t>
        </is>
      </c>
      <c r="H17" s="40" t="inlineStr">
        <is>
          <t>TB</t>
        </is>
      </c>
      <c r="I17" s="43" t="inlineStr">
        <is>
          <t>Login dispatcher@pc02.local (canDispatch=true)</t>
        </is>
      </c>
      <c r="J17" s="43" t="inlineStr">
        <is>
          <t>1. Tạo Case
2. assignedTeamId='Team-OTHER-WARD-05' (team khác phường)
3. Submit</t>
        </is>
      </c>
      <c r="K17" s="43" t="inlineStr">
        <is>
          <t>assignedTeamId='Team-OTHER-WARD-05'</t>
        </is>
      </c>
      <c r="L17" s="43" t="inlineStr">
        <is>
          <t>Toast success, detail show team đã chọn</t>
        </is>
      </c>
      <c r="M17" s="43" t="inlineStr">
        <is>
          <t>data.assignedTeamId='Team-OTHER-WARD-05' (KHÔNG bị override)</t>
        </is>
      </c>
      <c r="N17" s="43" t="inlineStr">
        <is>
          <t>Dispatcher bypass ward auto-override</t>
        </is>
      </c>
      <c r="O17" s="40" t="inlineStr">
        <is>
          <t>High</t>
        </is>
      </c>
      <c r="P17" s="43" t="inlineStr">
        <is>
          <t>Thời gian: 706ms</t>
        </is>
      </c>
      <c r="Q17" s="40" t="inlineStr">
        <is>
          <t>Không đạt</t>
        </is>
      </c>
      <c r="R17" s="40" t="inlineStr">
        <is>
          <t>BUG-088</t>
        </is>
      </c>
      <c r="S17" s="40" t="inlineStr">
        <is>
          <t>23/05/2026 19:06</t>
        </is>
      </c>
      <c r="T17" s="43" t="inlineStr">
        <is>
          <t>R1:Không đạt</t>
        </is>
      </c>
      <c r="U17" s="40" t="inlineStr"/>
      <c r="V17" s="43" t="inlineStr"/>
    </row>
    <row r="18" ht="80" customHeight="1">
      <c r="A18" s="40" t="inlineStr">
        <is>
          <t>TC-015</t>
        </is>
      </c>
      <c r="B18" s="41" t="inlineStr">
        <is>
          <t>GREEN</t>
        </is>
      </c>
      <c r="C18" s="44" t="inlineStr">
        <is>
          <t>P1</t>
        </is>
      </c>
      <c r="D18" s="43" t="inlineStr">
        <is>
          <t>Create</t>
        </is>
      </c>
      <c r="E18" s="43" t="inlineStr">
        <is>
          <t>Tạo Case ADMIN với toàn bộ field bao gồm field hiếm dùng</t>
        </is>
      </c>
      <c r="F18" s="40" t="inlineStr">
        <is>
          <t>REQ-CASE-CREATE-015</t>
        </is>
      </c>
      <c r="G18" s="40" t="inlineStr">
        <is>
          <t>Use case testing</t>
        </is>
      </c>
      <c r="H18" s="40" t="inlineStr">
        <is>
          <t>TB</t>
        </is>
      </c>
      <c r="I18" s="43" t="inlineStr">
        <is>
          <t>Login admin@pc02.local</t>
        </is>
      </c>
      <c r="J18" s="43" t="inlineStr">
        <is>
          <t>Tạo Case với laCongNgheCao=false, soLanGiaHan=0, daRaSoat=false (default), submit</t>
        </is>
      </c>
      <c r="K18" s="43" t="inlineStr">
        <is>
          <t>laCongNgheCao=false, soLanGiaHan=0</t>
        </is>
      </c>
      <c r="L18" s="43" t="inlineStr">
        <is>
          <t>Detail hiển thị 'Không phải án CNC'</t>
        </is>
      </c>
      <c r="M18" s="43" t="inlineStr">
        <is>
          <t>201, các field default applied</t>
        </is>
      </c>
      <c r="N18" s="43" t="inlineStr">
        <is>
          <t>Default values saved</t>
        </is>
      </c>
      <c r="O18" s="40" t="inlineStr">
        <is>
          <t>Medium</t>
        </is>
      </c>
      <c r="P18" s="43" t="inlineStr">
        <is>
          <t>Đạt như expected. Thời gian: 736ms</t>
        </is>
      </c>
      <c r="Q18" s="40" t="inlineStr">
        <is>
          <t>Đạt</t>
        </is>
      </c>
      <c r="R18" s="40" t="inlineStr"/>
      <c r="S18" s="40" t="inlineStr">
        <is>
          <t>23/05/2026 19:06</t>
        </is>
      </c>
      <c r="T18" s="43" t="inlineStr">
        <is>
          <t>R1:Đạt</t>
        </is>
      </c>
      <c r="U18" s="40" t="inlineStr"/>
      <c r="V18" s="43" t="inlineStr"/>
    </row>
    <row r="19" ht="80" customHeight="1">
      <c r="A19" s="40" t="inlineStr">
        <is>
          <t>TC-016</t>
        </is>
      </c>
      <c r="B19" s="41" t="inlineStr">
        <is>
          <t>GREEN</t>
        </is>
      </c>
      <c r="C19" s="44" t="inlineStr">
        <is>
          <t>P1</t>
        </is>
      </c>
      <c r="D19" s="43" t="inlineStr">
        <is>
          <t>Create</t>
        </is>
      </c>
      <c r="E19" s="43" t="inlineStr">
        <is>
          <t>POST trả response message tiếng Việt 'Tạo vụ án thành công'</t>
        </is>
      </c>
      <c r="F19" s="40" t="inlineStr">
        <is>
          <t>REQ-CASE-CREATE-016</t>
        </is>
      </c>
      <c r="G19" s="40" t="inlineStr">
        <is>
          <t>Use case testing</t>
        </is>
      </c>
      <c r="H19" s="40" t="inlineStr">
        <is>
          <t>TB</t>
        </is>
      </c>
      <c r="I19" s="43" t="inlineStr">
        <is>
          <t>1. User đã login
2. Token JWT hợp lệ</t>
        </is>
      </c>
      <c r="J19" s="43" t="inlineStr">
        <is>
          <t>1. POST /cases với DTO hợp lệ</t>
        </is>
      </c>
      <c r="K19" s="43" t="inlineStr">
        <is>
          <t>dto đầy đủ</t>
        </is>
      </c>
      <c r="L19" s="43" t="inlineStr">
        <is>
          <t>-</t>
        </is>
      </c>
      <c r="M19" s="43" t="inlineStr">
        <is>
          <t>Response: {success:true, data:{...}, message:'Tạo vụ án thành công'}</t>
        </is>
      </c>
      <c r="N19" s="43" t="inlineStr">
        <is>
          <t>-</t>
        </is>
      </c>
      <c r="O19" s="40" t="inlineStr">
        <is>
          <t>Low</t>
        </is>
      </c>
      <c r="P19" s="43" t="inlineStr">
        <is>
          <t>Đạt như expected. Thời gian: 59ms</t>
        </is>
      </c>
      <c r="Q19" s="40" t="inlineStr">
        <is>
          <t>Đạt</t>
        </is>
      </c>
      <c r="R19" s="40" t="inlineStr"/>
      <c r="S19" s="40" t="inlineStr">
        <is>
          <t>23/05/2026 19:06</t>
        </is>
      </c>
      <c r="T19" s="43" t="inlineStr">
        <is>
          <t>R1:Đạt</t>
        </is>
      </c>
      <c r="U19" s="40" t="inlineStr"/>
      <c r="V19" s="43" t="inlineStr">
        <is>
          <t>Verify response shape khớp với contract message field</t>
        </is>
      </c>
    </row>
    <row r="20" ht="80" customHeight="1">
      <c r="A20" s="40" t="inlineStr">
        <is>
          <t>TC-017</t>
        </is>
      </c>
      <c r="B20" s="45" t="inlineStr">
        <is>
          <t>RED</t>
        </is>
      </c>
      <c r="C20" s="42" t="inlineStr">
        <is>
          <t>P0</t>
        </is>
      </c>
      <c r="D20" s="43" t="inlineStr">
        <is>
          <t>Create-name</t>
        </is>
      </c>
      <c r="E20" s="43" t="inlineStr">
        <is>
          <t>Thiếu trường name (required) trả 400</t>
        </is>
      </c>
      <c r="F20" s="40" t="inlineStr">
        <is>
          <t>REQ-CASE-CREATE-NAME-017</t>
        </is>
      </c>
      <c r="G20" s="40" t="inlineStr">
        <is>
          <t>Use case testing</t>
        </is>
      </c>
      <c r="H20" s="40" t="inlineStr">
        <is>
          <t>Cao</t>
        </is>
      </c>
      <c r="I20" s="43" t="inlineStr">
        <is>
          <t>1. User đã login
2. Token JWT hợp lệ</t>
        </is>
      </c>
      <c r="J20" s="43" t="inlineStr">
        <is>
          <t>1. POST /cases với dto thiếu key name</t>
        </is>
      </c>
      <c r="K20" s="43" t="inlineStr">
        <is>
          <t>{caseProvenance:'DIRECT_DISCOVERY'}</t>
        </is>
      </c>
      <c r="L20" s="43" t="inlineStr">
        <is>
          <t>Form: hiện inline error 'Tên vụ án bắt buộc'</t>
        </is>
      </c>
      <c r="M20" s="43" t="inlineStr">
        <is>
          <t>400 BadRequest, error message includes 'name'</t>
        </is>
      </c>
      <c r="N20" s="43" t="inlineStr">
        <is>
          <t>Không tạo row</t>
        </is>
      </c>
      <c r="O20" s="40" t="inlineStr">
        <is>
          <t>Critical</t>
        </is>
      </c>
      <c r="P20" s="43" t="inlineStr">
        <is>
          <t>Đạt như expected. Thời gian: 32ms</t>
        </is>
      </c>
      <c r="Q20" s="40" t="inlineStr">
        <is>
          <t>Đạt</t>
        </is>
      </c>
      <c r="R20" s="40" t="inlineStr"/>
      <c r="S20" s="40" t="inlineStr">
        <is>
          <t>23/05/2026 19:06</t>
        </is>
      </c>
      <c r="T20" s="43" t="inlineStr">
        <is>
          <t>R1:Đạt</t>
        </is>
      </c>
      <c r="U20" s="40" t="inlineStr"/>
      <c r="V20" s="43" t="inlineStr"/>
    </row>
    <row r="21" ht="80" customHeight="1">
      <c r="A21" s="40" t="inlineStr">
        <is>
          <t>TC-018</t>
        </is>
      </c>
      <c r="B21" s="45" t="inlineStr">
        <is>
          <t>RED</t>
        </is>
      </c>
      <c r="C21" s="42" t="inlineStr">
        <is>
          <t>P0</t>
        </is>
      </c>
      <c r="D21" s="43" t="inlineStr">
        <is>
          <t>Create-name</t>
        </is>
      </c>
      <c r="E21" s="43" t="inlineStr">
        <is>
          <t>name là chuỗi rỗng '' trả 400 'Tên vụ án bắt buộc'</t>
        </is>
      </c>
      <c r="F21" s="40" t="inlineStr">
        <is>
          <t>REQ-CASE-CREATE-NAME-018</t>
        </is>
      </c>
      <c r="G21" s="40" t="inlineStr">
        <is>
          <t>Use case testing</t>
        </is>
      </c>
      <c r="H21" s="40" t="inlineStr">
        <is>
          <t>Cao</t>
        </is>
      </c>
      <c r="I21" s="43" t="inlineStr">
        <is>
          <t>1. User đã login
2. Token JWT hợp lệ</t>
        </is>
      </c>
      <c r="J21" s="43" t="inlineStr">
        <is>
          <t>POST /cases với name=''</t>
        </is>
      </c>
      <c r="K21" s="43" t="inlineStr">
        <is>
          <t>name=''</t>
        </is>
      </c>
      <c r="L21" s="43" t="inlineStr">
        <is>
          <t>Error 'Tên vụ án bắt buộc'</t>
        </is>
      </c>
      <c r="M21" s="43" t="inlineStr">
        <is>
          <t>400 message ='Tên vụ án bắt buộc' (sau Transform trim)</t>
        </is>
      </c>
      <c r="N21" s="43" t="inlineStr">
        <is>
          <t>-</t>
        </is>
      </c>
      <c r="O21" s="40" t="inlineStr">
        <is>
          <t>Critical</t>
        </is>
      </c>
      <c r="P21" s="43" t="inlineStr">
        <is>
          <t>Đạt như expected. Thời gian: 40ms</t>
        </is>
      </c>
      <c r="Q21" s="40" t="inlineStr">
        <is>
          <t>Đạt</t>
        </is>
      </c>
      <c r="R21" s="40" t="inlineStr"/>
      <c r="S21" s="40" t="inlineStr">
        <is>
          <t>23/05/2026 19:06</t>
        </is>
      </c>
      <c r="T21" s="43" t="inlineStr">
        <is>
          <t>R1:Đạt</t>
        </is>
      </c>
      <c r="U21" s="40" t="inlineStr"/>
      <c r="V21" s="43" t="inlineStr"/>
    </row>
    <row r="22" ht="80" customHeight="1">
      <c r="A22" s="40" t="inlineStr">
        <is>
          <t>TC-019</t>
        </is>
      </c>
      <c r="B22" s="45" t="inlineStr">
        <is>
          <t>RED</t>
        </is>
      </c>
      <c r="C22" s="42" t="inlineStr">
        <is>
          <t>P0</t>
        </is>
      </c>
      <c r="D22" s="43" t="inlineStr">
        <is>
          <t>Create-name</t>
        </is>
      </c>
      <c r="E22" s="43" t="inlineStr">
        <is>
          <t>name chỉ whitespace '   ' bị trim thành '' → 400</t>
        </is>
      </c>
      <c r="F22" s="40" t="inlineStr">
        <is>
          <t>REQ-CASE-CREATE-NAME-019</t>
        </is>
      </c>
      <c r="G22" s="40" t="inlineStr">
        <is>
          <t>Use case testing</t>
        </is>
      </c>
      <c r="H22" s="40" t="inlineStr">
        <is>
          <t>Cao</t>
        </is>
      </c>
      <c r="I22" s="43" t="inlineStr">
        <is>
          <t>1. User đã login
2. Token JWT hợp lệ</t>
        </is>
      </c>
      <c r="J22" s="43" t="inlineStr">
        <is>
          <t>POST với name='     '</t>
        </is>
      </c>
      <c r="K22" s="43" t="inlineStr">
        <is>
          <t>name='     ' (5 spaces)</t>
        </is>
      </c>
      <c r="L22" s="43" t="inlineStr">
        <is>
          <t>Error 'Tên vụ án bắt buộc'</t>
        </is>
      </c>
      <c r="M22" s="43" t="inlineStr">
        <is>
          <t>400 (Transform trim chạy trước IsNotEmpty)</t>
        </is>
      </c>
      <c r="N22" s="43" t="inlineStr">
        <is>
          <t>-</t>
        </is>
      </c>
      <c r="O22" s="40" t="inlineStr">
        <is>
          <t>Critical</t>
        </is>
      </c>
      <c r="P22" s="43" t="inlineStr">
        <is>
          <t>Đạt như expected. Thời gian: 38ms</t>
        </is>
      </c>
      <c r="Q22" s="40" t="inlineStr">
        <is>
          <t>Đạt</t>
        </is>
      </c>
      <c r="R22" s="40" t="inlineStr"/>
      <c r="S22" s="40" t="inlineStr">
        <is>
          <t>23/05/2026 19:06</t>
        </is>
      </c>
      <c r="T22" s="43" t="inlineStr">
        <is>
          <t>R1:Đạt</t>
        </is>
      </c>
      <c r="U22" s="40" t="inlineStr"/>
      <c r="V22" s="43" t="inlineStr">
        <is>
          <t>UAT 2026-05-23 BUG-001 đã fix</t>
        </is>
      </c>
    </row>
    <row r="23" ht="80" customHeight="1">
      <c r="A23" s="40" t="inlineStr">
        <is>
          <t>TC-020</t>
        </is>
      </c>
      <c r="B23" s="45" t="inlineStr">
        <is>
          <t>RED</t>
        </is>
      </c>
      <c r="C23" s="42" t="inlineStr">
        <is>
          <t>P0</t>
        </is>
      </c>
      <c r="D23" s="43" t="inlineStr">
        <is>
          <t>Create-name</t>
        </is>
      </c>
      <c r="E23" s="43" t="inlineStr">
        <is>
          <t>name là null → 400</t>
        </is>
      </c>
      <c r="F23" s="40" t="inlineStr">
        <is>
          <t>REQ-CASE-CREATE-NAME-020</t>
        </is>
      </c>
      <c r="G23" s="40" t="inlineStr">
        <is>
          <t>Use case testing</t>
        </is>
      </c>
      <c r="H23" s="40" t="inlineStr">
        <is>
          <t>Cao</t>
        </is>
      </c>
      <c r="I23" s="43" t="inlineStr">
        <is>
          <t>1. User đã login
2. Token JWT hợp lệ</t>
        </is>
      </c>
      <c r="J23" s="43" t="inlineStr">
        <is>
          <t>POST với name=null</t>
        </is>
      </c>
      <c r="K23" s="43" t="inlineStr">
        <is>
          <t>name=null</t>
        </is>
      </c>
      <c r="L23" s="43" t="inlineStr">
        <is>
          <t>Error</t>
        </is>
      </c>
      <c r="M23" s="43" t="inlineStr">
        <is>
          <t>400</t>
        </is>
      </c>
      <c r="N23" s="43" t="inlineStr">
        <is>
          <t>-</t>
        </is>
      </c>
      <c r="O23" s="40" t="inlineStr">
        <is>
          <t>Critical</t>
        </is>
      </c>
      <c r="P23" s="43" t="inlineStr">
        <is>
          <t>Đạt như expected. Thời gian: 38ms</t>
        </is>
      </c>
      <c r="Q23" s="40" t="inlineStr">
        <is>
          <t>Đạt</t>
        </is>
      </c>
      <c r="R23" s="40" t="inlineStr"/>
      <c r="S23" s="40" t="inlineStr">
        <is>
          <t>23/05/2026 19:06</t>
        </is>
      </c>
      <c r="T23" s="43" t="inlineStr">
        <is>
          <t>R1:Đạt</t>
        </is>
      </c>
      <c r="U23" s="40" t="inlineStr"/>
      <c r="V23" s="43" t="inlineStr"/>
    </row>
    <row r="24" ht="80" customHeight="1">
      <c r="A24" s="40" t="inlineStr">
        <is>
          <t>TC-021</t>
        </is>
      </c>
      <c r="B24" s="45" t="inlineStr">
        <is>
          <t>RED</t>
        </is>
      </c>
      <c r="C24" s="42" t="inlineStr">
        <is>
          <t>P0</t>
        </is>
      </c>
      <c r="D24" s="43" t="inlineStr">
        <is>
          <t>Create-name</t>
        </is>
      </c>
      <c r="E24" s="43" t="inlineStr">
        <is>
          <t>name là số 12345 không phải string → 400 IsString</t>
        </is>
      </c>
      <c r="F24" s="40" t="inlineStr">
        <is>
          <t>REQ-CASE-CREATE-NAME-021</t>
        </is>
      </c>
      <c r="G24" s="40" t="inlineStr">
        <is>
          <t>Use case testing</t>
        </is>
      </c>
      <c r="H24" s="40" t="inlineStr">
        <is>
          <t>Cao</t>
        </is>
      </c>
      <c r="I24" s="43" t="inlineStr">
        <is>
          <t>1. User đã login
2. Token JWT hợp lệ</t>
        </is>
      </c>
      <c r="J24" s="43" t="inlineStr">
        <is>
          <t>POST name=12345 (number)</t>
        </is>
      </c>
      <c r="K24" s="43" t="inlineStr">
        <is>
          <t>name=12345</t>
        </is>
      </c>
      <c r="L24" s="43" t="inlineStr">
        <is>
          <t>-</t>
        </is>
      </c>
      <c r="M24" s="43" t="inlineStr">
        <is>
          <t>400 IsString failed</t>
        </is>
      </c>
      <c r="N24" s="43" t="inlineStr">
        <is>
          <t>-</t>
        </is>
      </c>
      <c r="O24" s="40" t="inlineStr">
        <is>
          <t>High</t>
        </is>
      </c>
      <c r="P24" s="43" t="inlineStr">
        <is>
          <t>Đạt như expected. Thời gian: 46ms</t>
        </is>
      </c>
      <c r="Q24" s="40" t="inlineStr">
        <is>
          <t>Đạt</t>
        </is>
      </c>
      <c r="R24" s="40" t="inlineStr"/>
      <c r="S24" s="40" t="inlineStr">
        <is>
          <t>23/05/2026 19:06</t>
        </is>
      </c>
      <c r="T24" s="43" t="inlineStr">
        <is>
          <t>R1:Đạt</t>
        </is>
      </c>
      <c r="U24" s="40" t="inlineStr"/>
      <c r="V24" s="43" t="inlineStr"/>
    </row>
    <row r="25" ht="80" customHeight="1">
      <c r="A25" s="40" t="inlineStr">
        <is>
          <t>TC-022</t>
        </is>
      </c>
      <c r="B25" s="45" t="inlineStr">
        <is>
          <t>RED</t>
        </is>
      </c>
      <c r="C25" s="42" t="inlineStr">
        <is>
          <t>P0</t>
        </is>
      </c>
      <c r="D25" s="43" t="inlineStr">
        <is>
          <t>Create-name</t>
        </is>
      </c>
      <c r="E25" s="43" t="inlineStr">
        <is>
          <t>name vượt 500 ký tự (501 chars) → 400 MaxLength</t>
        </is>
      </c>
      <c r="F25" s="40" t="inlineStr">
        <is>
          <t>REQ-CASE-CREATE-NAME-022</t>
        </is>
      </c>
      <c r="G25" s="40" t="inlineStr">
        <is>
          <t>Use case testing</t>
        </is>
      </c>
      <c r="H25" s="40" t="inlineStr">
        <is>
          <t>Cao</t>
        </is>
      </c>
      <c r="I25" s="43" t="inlineStr">
        <is>
          <t>1. User đã login
2. Token JWT hợp lệ</t>
        </is>
      </c>
      <c r="J25" s="43" t="inlineStr">
        <is>
          <t>POST với name='A' lặp 501 lần</t>
        </is>
      </c>
      <c r="K25" s="43" t="inlineStr">
        <is>
          <t>name='A'.repeat(501)</t>
        </is>
      </c>
      <c r="L25" s="43" t="inlineStr">
        <is>
          <t>Error 'Tên không quá 500 ký tự'</t>
        </is>
      </c>
      <c r="M25" s="43" t="inlineStr">
        <is>
          <t>400 MaxLength(500)</t>
        </is>
      </c>
      <c r="N25" s="43" t="inlineStr">
        <is>
          <t>-</t>
        </is>
      </c>
      <c r="O25" s="40" t="inlineStr">
        <is>
          <t>High</t>
        </is>
      </c>
      <c r="P25" s="43" t="inlineStr">
        <is>
          <t>Đạt như expected. Thời gian: 36ms</t>
        </is>
      </c>
      <c r="Q25" s="40" t="inlineStr">
        <is>
          <t>Đạt</t>
        </is>
      </c>
      <c r="R25" s="40" t="inlineStr"/>
      <c r="S25" s="40" t="inlineStr">
        <is>
          <t>23/05/2026 19:06</t>
        </is>
      </c>
      <c r="T25" s="43" t="inlineStr">
        <is>
          <t>R1:Đạt</t>
        </is>
      </c>
      <c r="U25" s="40" t="inlineStr"/>
      <c r="V25" s="43" t="inlineStr"/>
    </row>
    <row r="26" ht="80" customHeight="1">
      <c r="A26" s="40" t="inlineStr">
        <is>
          <t>TC-023</t>
        </is>
      </c>
      <c r="B26" s="45" t="inlineStr">
        <is>
          <t>RED</t>
        </is>
      </c>
      <c r="C26" s="44" t="inlineStr">
        <is>
          <t>P1</t>
        </is>
      </c>
      <c r="D26" s="43" t="inlineStr">
        <is>
          <t>Create-name</t>
        </is>
      </c>
      <c r="E26" s="43" t="inlineStr">
        <is>
          <t>name là object JSON → 400 IsString</t>
        </is>
      </c>
      <c r="F26" s="40" t="inlineStr">
        <is>
          <t>REQ-CASE-CREATE-NAME-023</t>
        </is>
      </c>
      <c r="G26" s="40" t="inlineStr">
        <is>
          <t>Use case testing</t>
        </is>
      </c>
      <c r="H26" s="40" t="inlineStr">
        <is>
          <t>TB</t>
        </is>
      </c>
      <c r="I26" s="43" t="inlineStr">
        <is>
          <t>1. User đã login
2. Token JWT hợp lệ</t>
        </is>
      </c>
      <c r="J26" s="43" t="inlineStr">
        <is>
          <t>POST name={text:'abc'}</t>
        </is>
      </c>
      <c r="K26" s="43" t="inlineStr">
        <is>
          <t>name={text:'abc'}</t>
        </is>
      </c>
      <c r="L26" s="43" t="inlineStr">
        <is>
          <t>-</t>
        </is>
      </c>
      <c r="M26" s="43" t="inlineStr">
        <is>
          <t>400</t>
        </is>
      </c>
      <c r="N26" s="43" t="inlineStr">
        <is>
          <t>-</t>
        </is>
      </c>
      <c r="O26" s="40" t="inlineStr">
        <is>
          <t>Medium</t>
        </is>
      </c>
      <c r="P26" s="43" t="inlineStr">
        <is>
          <t>Đạt như expected. Thời gian: 45ms</t>
        </is>
      </c>
      <c r="Q26" s="40" t="inlineStr">
        <is>
          <t>Đạt</t>
        </is>
      </c>
      <c r="R26" s="40" t="inlineStr"/>
      <c r="S26" s="40" t="inlineStr">
        <is>
          <t>23/05/2026 19:06</t>
        </is>
      </c>
      <c r="T26" s="43" t="inlineStr">
        <is>
          <t>R1:Đạt</t>
        </is>
      </c>
      <c r="U26" s="40" t="inlineStr"/>
      <c r="V26" s="43" t="inlineStr"/>
    </row>
    <row r="27" ht="80" customHeight="1">
      <c r="A27" s="40" t="inlineStr">
        <is>
          <t>TC-024</t>
        </is>
      </c>
      <c r="B27" s="45" t="inlineStr">
        <is>
          <t>RED</t>
        </is>
      </c>
      <c r="C27" s="44" t="inlineStr">
        <is>
          <t>P1</t>
        </is>
      </c>
      <c r="D27" s="43" t="inlineStr">
        <is>
          <t>Create-name</t>
        </is>
      </c>
      <c r="E27" s="43" t="inlineStr">
        <is>
          <t>name là array → 400 IsString</t>
        </is>
      </c>
      <c r="F27" s="40" t="inlineStr">
        <is>
          <t>REQ-CASE-CREATE-NAME-024</t>
        </is>
      </c>
      <c r="G27" s="40" t="inlineStr">
        <is>
          <t>Use case testing</t>
        </is>
      </c>
      <c r="H27" s="40" t="inlineStr">
        <is>
          <t>TB</t>
        </is>
      </c>
      <c r="I27" s="43" t="inlineStr">
        <is>
          <t>1. User đã login
2. Token JWT hợp lệ</t>
        </is>
      </c>
      <c r="J27" s="43" t="inlineStr">
        <is>
          <t>POST name=['abc']</t>
        </is>
      </c>
      <c r="K27" s="43" t="inlineStr">
        <is>
          <t>name=['abc']</t>
        </is>
      </c>
      <c r="L27" s="43" t="inlineStr">
        <is>
          <t>-</t>
        </is>
      </c>
      <c r="M27" s="43" t="inlineStr">
        <is>
          <t>400</t>
        </is>
      </c>
      <c r="N27" s="43" t="inlineStr">
        <is>
          <t>-</t>
        </is>
      </c>
      <c r="O27" s="40" t="inlineStr">
        <is>
          <t>Medium</t>
        </is>
      </c>
      <c r="P27" s="43" t="inlineStr">
        <is>
          <t>Đạt như expected. Thời gian: 46ms</t>
        </is>
      </c>
      <c r="Q27" s="40" t="inlineStr">
        <is>
          <t>Đạt</t>
        </is>
      </c>
      <c r="R27" s="40" t="inlineStr"/>
      <c r="S27" s="40" t="inlineStr">
        <is>
          <t>23/05/2026 19:06</t>
        </is>
      </c>
      <c r="T27" s="43" t="inlineStr">
        <is>
          <t>R1:Đạt</t>
        </is>
      </c>
      <c r="U27" s="40" t="inlineStr"/>
      <c r="V27" s="43" t="inlineStr"/>
    </row>
    <row r="28" ht="80" customHeight="1">
      <c r="A28" s="40" t="inlineStr">
        <is>
          <t>TC-025</t>
        </is>
      </c>
      <c r="B28" s="45" t="inlineStr">
        <is>
          <t>RED</t>
        </is>
      </c>
      <c r="C28" s="42" t="inlineStr">
        <is>
          <t>P0</t>
        </is>
      </c>
      <c r="D28" s="43" t="inlineStr">
        <is>
          <t>Create-prov</t>
        </is>
      </c>
      <c r="E28" s="43" t="inlineStr">
        <is>
          <t>Thiếu caseProvenance → 400</t>
        </is>
      </c>
      <c r="F28" s="40" t="inlineStr">
        <is>
          <t>REQ-CASE-CREATE-PROV-025</t>
        </is>
      </c>
      <c r="G28" s="40" t="inlineStr">
        <is>
          <t>Use case testing</t>
        </is>
      </c>
      <c r="H28" s="40" t="inlineStr">
        <is>
          <t>Cao</t>
        </is>
      </c>
      <c r="I28" s="43" t="inlineStr">
        <is>
          <t>1. User đã login
2. Token JWT hợp lệ</t>
        </is>
      </c>
      <c r="J28" s="43" t="inlineStr">
        <is>
          <t>POST không có caseProvenance</t>
        </is>
      </c>
      <c r="K28" s="43" t="inlineStr">
        <is>
          <t>{name:'X'}</t>
        </is>
      </c>
      <c r="L28" s="43" t="inlineStr">
        <is>
          <t>Inline error 'caseProvenance bắt buộc'</t>
        </is>
      </c>
      <c r="M28" s="43" t="inlineStr">
        <is>
          <t>400 IsEnum message includes 'BLTTHS Đ.143'</t>
        </is>
      </c>
      <c r="N28" s="43" t="inlineStr">
        <is>
          <t>-</t>
        </is>
      </c>
      <c r="O28" s="40" t="inlineStr">
        <is>
          <t>Critical</t>
        </is>
      </c>
      <c r="P28" s="43" t="inlineStr">
        <is>
          <t>Đạt như expected. Thời gian: 61ms</t>
        </is>
      </c>
      <c r="Q28" s="40" t="inlineStr">
        <is>
          <t>Đạt</t>
        </is>
      </c>
      <c r="R28" s="40" t="inlineStr"/>
      <c r="S28" s="40" t="inlineStr">
        <is>
          <t>23/05/2026 19:06</t>
        </is>
      </c>
      <c r="T28" s="43" t="inlineStr">
        <is>
          <t>R1:Đạt</t>
        </is>
      </c>
      <c r="U28" s="40" t="inlineStr"/>
      <c r="V28" s="43" t="inlineStr"/>
    </row>
    <row r="29" ht="80" customHeight="1">
      <c r="A29" s="40" t="inlineStr">
        <is>
          <t>TC-026</t>
        </is>
      </c>
      <c r="B29" s="45" t="inlineStr">
        <is>
          <t>RED</t>
        </is>
      </c>
      <c r="C29" s="42" t="inlineStr">
        <is>
          <t>P0</t>
        </is>
      </c>
      <c r="D29" s="43" t="inlineStr">
        <is>
          <t>Create-prov</t>
        </is>
      </c>
      <c r="E29" s="43" t="inlineStr">
        <is>
          <t>caseProvenance không phải enum value → 400</t>
        </is>
      </c>
      <c r="F29" s="40" t="inlineStr">
        <is>
          <t>REQ-CASE-CREATE-PROV-026</t>
        </is>
      </c>
      <c r="G29" s="40" t="inlineStr">
        <is>
          <t>Use case testing</t>
        </is>
      </c>
      <c r="H29" s="40" t="inlineStr">
        <is>
          <t>Cao</t>
        </is>
      </c>
      <c r="I29" s="43" t="inlineStr">
        <is>
          <t>1. User đã login
2. Token JWT hợp lệ</t>
        </is>
      </c>
      <c r="J29" s="43" t="inlineStr">
        <is>
          <t>POST caseProvenance='INVALID_VALUE'</t>
        </is>
      </c>
      <c r="K29" s="43" t="inlineStr">
        <is>
          <t>caseProvenance='INVALID_VALUE'</t>
        </is>
      </c>
      <c r="L29" s="43" t="inlineStr">
        <is>
          <t>-</t>
        </is>
      </c>
      <c r="M29" s="43" t="inlineStr">
        <is>
          <t>400 IsEnum violation</t>
        </is>
      </c>
      <c r="N29" s="43" t="inlineStr">
        <is>
          <t>-</t>
        </is>
      </c>
      <c r="O29" s="40" t="inlineStr">
        <is>
          <t>Critical</t>
        </is>
      </c>
      <c r="P29" s="43" t="inlineStr">
        <is>
          <t>Đạt như expected. Thời gian: 46ms</t>
        </is>
      </c>
      <c r="Q29" s="40" t="inlineStr">
        <is>
          <t>Đạt</t>
        </is>
      </c>
      <c r="R29" s="40" t="inlineStr"/>
      <c r="S29" s="40" t="inlineStr">
        <is>
          <t>23/05/2026 19:06</t>
        </is>
      </c>
      <c r="T29" s="43" t="inlineStr">
        <is>
          <t>R1:Đạt</t>
        </is>
      </c>
      <c r="U29" s="40" t="inlineStr"/>
      <c r="V29" s="43" t="inlineStr"/>
    </row>
    <row r="30" ht="80" customHeight="1">
      <c r="A30" s="40" t="inlineStr">
        <is>
          <t>TC-027</t>
        </is>
      </c>
      <c r="B30" s="45" t="inlineStr">
        <is>
          <t>RED</t>
        </is>
      </c>
      <c r="C30" s="42" t="inlineStr">
        <is>
          <t>P0</t>
        </is>
      </c>
      <c r="D30" s="43" t="inlineStr">
        <is>
          <t>Create-prov</t>
        </is>
      </c>
      <c r="E30" s="43" t="inlineStr">
        <is>
          <t>caseProvenance là tiếng Việt (legacy payload) → 400</t>
        </is>
      </c>
      <c r="F30" s="40" t="inlineStr">
        <is>
          <t>REQ-CASE-CREATE-PROV-027</t>
        </is>
      </c>
      <c r="G30" s="40" t="inlineStr">
        <is>
          <t>Use case testing</t>
        </is>
      </c>
      <c r="H30" s="40" t="inlineStr">
        <is>
          <t>Cao</t>
        </is>
      </c>
      <c r="I30" s="43" t="inlineStr">
        <is>
          <t>1. User đã login
2. Token JWT hợp lệ</t>
        </is>
      </c>
      <c r="J30" s="43" t="inlineStr">
        <is>
          <t>POST caseProvenance='Phát hiện trực tiếp'</t>
        </is>
      </c>
      <c r="K30" s="43" t="inlineStr">
        <is>
          <t>caseProvenance='Phát hiện trực tiếp'</t>
        </is>
      </c>
      <c r="L30" s="43" t="inlineStr">
        <is>
          <t>-</t>
        </is>
      </c>
      <c r="M30" s="43" t="inlineStr">
        <is>
          <t>400 — v0.37.2.4 BLTTHS Đ.143 — phải dùng enum value tiếng Anh</t>
        </is>
      </c>
      <c r="N30" s="43" t="inlineStr">
        <is>
          <t>-</t>
        </is>
      </c>
      <c r="O30" s="40" t="inlineStr">
        <is>
          <t>Critical</t>
        </is>
      </c>
      <c r="P30" s="43" t="inlineStr">
        <is>
          <t>Đạt như expected. Thời gian: 56ms</t>
        </is>
      </c>
      <c r="Q30" s="40" t="inlineStr">
        <is>
          <t>Đạt</t>
        </is>
      </c>
      <c r="R30" s="40" t="inlineStr"/>
      <c r="S30" s="40" t="inlineStr">
        <is>
          <t>23/05/2026 19:06</t>
        </is>
      </c>
      <c r="T30" s="43" t="inlineStr">
        <is>
          <t>R1:Đạt</t>
        </is>
      </c>
      <c r="U30" s="40" t="inlineStr"/>
      <c r="V30" s="43" t="inlineStr">
        <is>
          <t>Root cause v0.37.2.4 P0 hot-fix</t>
        </is>
      </c>
    </row>
    <row r="31" ht="80" customHeight="1">
      <c r="A31" s="40" t="inlineStr">
        <is>
          <t>TC-028</t>
        </is>
      </c>
      <c r="B31" s="45" t="inlineStr">
        <is>
          <t>RED</t>
        </is>
      </c>
      <c r="C31" s="42" t="inlineStr">
        <is>
          <t>P0</t>
        </is>
      </c>
      <c r="D31" s="43" t="inlineStr">
        <is>
          <t>Create-prov</t>
        </is>
      </c>
      <c r="E31" s="43" t="inlineStr">
        <is>
          <t>FROM_PETITION nhưng thiếu linkedPetitionId → 400</t>
        </is>
      </c>
      <c r="F31" s="40" t="inlineStr">
        <is>
          <t>REQ-CASE-CREATE-PROV-028</t>
        </is>
      </c>
      <c r="G31" s="40" t="inlineStr">
        <is>
          <t>Use case testing</t>
        </is>
      </c>
      <c r="H31" s="40" t="inlineStr">
        <is>
          <t>Cao</t>
        </is>
      </c>
      <c r="I31" s="43" t="inlineStr">
        <is>
          <t>1. User đã login
2. Token JWT hợp lệ</t>
        </is>
      </c>
      <c r="J31" s="43" t="inlineStr">
        <is>
          <t>POST caseProvenance=FROM_PETITION, không có linkedPetitionId</t>
        </is>
      </c>
      <c r="K31" s="43" t="inlineStr">
        <is>
          <t>caseProvenance='FROM_PETITION'</t>
        </is>
      </c>
      <c r="L31" s="43" t="inlineStr">
        <is>
          <t>Error 'linkedPetitionId required when caseProvenance is FROM_PETITION'</t>
        </is>
      </c>
      <c r="M31" s="43" t="inlineStr">
        <is>
          <t>400 ValidateIf failed</t>
        </is>
      </c>
      <c r="N31" s="43" t="inlineStr">
        <is>
          <t>-</t>
        </is>
      </c>
      <c r="O31" s="40" t="inlineStr">
        <is>
          <t>Critical</t>
        </is>
      </c>
      <c r="P31" s="43" t="inlineStr">
        <is>
          <t>Đạt như expected. Thời gian: 61ms</t>
        </is>
      </c>
      <c r="Q31" s="40" t="inlineStr">
        <is>
          <t>Đạt</t>
        </is>
      </c>
      <c r="R31" s="40" t="inlineStr"/>
      <c r="S31" s="40" t="inlineStr">
        <is>
          <t>23/05/2026 19:06</t>
        </is>
      </c>
      <c r="T31" s="43" t="inlineStr">
        <is>
          <t>R1:Đạt</t>
        </is>
      </c>
      <c r="U31" s="40" t="inlineStr"/>
      <c r="V31" s="43" t="inlineStr"/>
    </row>
    <row r="32" ht="80" customHeight="1">
      <c r="A32" s="40" t="inlineStr">
        <is>
          <t>TC-029</t>
        </is>
      </c>
      <c r="B32" s="45" t="inlineStr">
        <is>
          <t>RED</t>
        </is>
      </c>
      <c r="C32" s="42" t="inlineStr">
        <is>
          <t>P0</t>
        </is>
      </c>
      <c r="D32" s="43" t="inlineStr">
        <is>
          <t>Create-prov</t>
        </is>
      </c>
      <c r="E32" s="43" t="inlineStr">
        <is>
          <t>FROM_INCIDENT thiếu linkedIncidentId → 400</t>
        </is>
      </c>
      <c r="F32" s="40" t="inlineStr">
        <is>
          <t>REQ-CASE-CREATE-PROV-029</t>
        </is>
      </c>
      <c r="G32" s="40" t="inlineStr">
        <is>
          <t>Use case testing</t>
        </is>
      </c>
      <c r="H32" s="40" t="inlineStr">
        <is>
          <t>Cao</t>
        </is>
      </c>
      <c r="I32" s="43" t="inlineStr">
        <is>
          <t>1. User đã login
2. Token JWT hợp lệ</t>
        </is>
      </c>
      <c r="J32" s="43" t="inlineStr">
        <is>
          <t>POST caseProvenance=FROM_INCIDENT, không linkedIncidentId</t>
        </is>
      </c>
      <c r="K32" s="43" t="inlineStr">
        <is>
          <t>caseProvenance='FROM_INCIDENT'</t>
        </is>
      </c>
      <c r="L32" s="43" t="inlineStr">
        <is>
          <t>Error</t>
        </is>
      </c>
      <c r="M32" s="43" t="inlineStr">
        <is>
          <t>400</t>
        </is>
      </c>
      <c r="N32" s="43" t="inlineStr">
        <is>
          <t>-</t>
        </is>
      </c>
      <c r="O32" s="40" t="inlineStr">
        <is>
          <t>Critical</t>
        </is>
      </c>
      <c r="P32" s="43" t="inlineStr">
        <is>
          <t>Đạt như expected. Thời gian: 44ms</t>
        </is>
      </c>
      <c r="Q32" s="40" t="inlineStr">
        <is>
          <t>Đạt</t>
        </is>
      </c>
      <c r="R32" s="40" t="inlineStr"/>
      <c r="S32" s="40" t="inlineStr">
        <is>
          <t>23/05/2026 19:06</t>
        </is>
      </c>
      <c r="T32" s="43" t="inlineStr">
        <is>
          <t>R1:Đạt</t>
        </is>
      </c>
      <c r="U32" s="40" t="inlineStr"/>
      <c r="V32" s="43" t="inlineStr"/>
    </row>
    <row r="33" ht="80" customHeight="1">
      <c r="A33" s="40" t="inlineStr">
        <is>
          <t>TC-030</t>
        </is>
      </c>
      <c r="B33" s="45" t="inlineStr">
        <is>
          <t>RED</t>
        </is>
      </c>
      <c r="C33" s="42" t="inlineStr">
        <is>
          <t>P0</t>
        </is>
      </c>
      <c r="D33" s="43" t="inlineStr">
        <is>
          <t>Create-prov</t>
        </is>
      </c>
      <c r="E33" s="43" t="inlineStr">
        <is>
          <t>FROM_PETITION thiếu expectedPetitionUpdatedAt → 400 IsISO8601</t>
        </is>
      </c>
      <c r="F33" s="40" t="inlineStr">
        <is>
          <t>REQ-CASE-CREATE-PROV-030</t>
        </is>
      </c>
      <c r="G33" s="40" t="inlineStr">
        <is>
          <t>Use case testing</t>
        </is>
      </c>
      <c r="H33" s="40" t="inlineStr">
        <is>
          <t>Cao</t>
        </is>
      </c>
      <c r="I33" s="43" t="inlineStr">
        <is>
          <t>1. User đã login
2. Token JWT hợp lệ</t>
        </is>
      </c>
      <c r="J33" s="43" t="inlineStr">
        <is>
          <t>POST có linkedPetitionId nhưng không expectedPetitionUpdatedAt</t>
        </is>
      </c>
      <c r="K33" s="43" t="inlineStr">
        <is>
          <t>caseProvenance=FROM_PETITION, linkedPetitionId='PET-001'</t>
        </is>
      </c>
      <c r="L33" s="43" t="inlineStr">
        <is>
          <t>-</t>
        </is>
      </c>
      <c r="M33" s="43" t="inlineStr">
        <is>
          <t>400</t>
        </is>
      </c>
      <c r="N33" s="43" t="inlineStr">
        <is>
          <t>-</t>
        </is>
      </c>
      <c r="O33" s="40" t="inlineStr">
        <is>
          <t>Critical</t>
        </is>
      </c>
      <c r="P33" s="43" t="inlineStr">
        <is>
          <t>Đạt như expected. Thời gian: 46ms</t>
        </is>
      </c>
      <c r="Q33" s="40" t="inlineStr">
        <is>
          <t>Đạt</t>
        </is>
      </c>
      <c r="R33" s="40" t="inlineStr"/>
      <c r="S33" s="40" t="inlineStr">
        <is>
          <t>23/05/2026 19:06</t>
        </is>
      </c>
      <c r="T33" s="43" t="inlineStr">
        <is>
          <t>R1:Đạt</t>
        </is>
      </c>
      <c r="U33" s="40" t="inlineStr"/>
      <c r="V33" s="43" t="inlineStr"/>
    </row>
    <row r="34" ht="80" customHeight="1">
      <c r="A34" s="40" t="inlineStr">
        <is>
          <t>TC-031</t>
        </is>
      </c>
      <c r="B34" s="45" t="inlineStr">
        <is>
          <t>RED</t>
        </is>
      </c>
      <c r="C34" s="42" t="inlineStr">
        <is>
          <t>P0</t>
        </is>
      </c>
      <c r="D34" s="43" t="inlineStr">
        <is>
          <t>Create-prov</t>
        </is>
      </c>
      <c r="E34" s="43" t="inlineStr">
        <is>
          <t>FROM_PETITION với expectedPetitionUpdatedAt cũ hơn current → 409 Conflict</t>
        </is>
      </c>
      <c r="F34" s="40" t="inlineStr">
        <is>
          <t>REQ-CASE-CREATE-PROV-031</t>
        </is>
      </c>
      <c r="G34" s="40" t="inlineStr">
        <is>
          <t>Use case testing</t>
        </is>
      </c>
      <c r="H34" s="40" t="inlineStr">
        <is>
          <t>Cao</t>
        </is>
      </c>
      <c r="I34" s="43" t="inlineStr">
        <is>
          <t>Petition PET-001 updatedAt='2026-05-22T15:00:00.000Z' (đã được update bởi user khác)</t>
        </is>
      </c>
      <c r="J34" s="43" t="inlineStr">
        <is>
          <t>POST với expectedPetitionUpdatedAt='2026-05-20T10:00:00.000Z'</t>
        </is>
      </c>
      <c r="K34" s="43" t="inlineStr">
        <is>
          <t>expectedPetitionUpdatedAt='2026-05-20T10:00:00.000Z'</t>
        </is>
      </c>
      <c r="L34" s="43" t="inlineStr">
        <is>
          <t>Toast 'Đơn thư đã được chỉnh sửa hoặc link bởi người dùng khác'</t>
        </is>
      </c>
      <c r="M34" s="43" t="inlineStr">
        <is>
          <t>409 ConflictException</t>
        </is>
      </c>
      <c r="N34" s="43" t="inlineStr">
        <is>
          <t>Case KHÔNG tạo, Petition KHÔNG update</t>
        </is>
      </c>
      <c r="O34" s="40" t="inlineStr">
        <is>
          <t>High</t>
        </is>
      </c>
      <c r="P34" s="43" t="inlineStr">
        <is>
          <t>Thời gian: 99ms</t>
        </is>
      </c>
      <c r="Q34" s="40" t="inlineStr">
        <is>
          <t>Không đạt</t>
        </is>
      </c>
      <c r="R34" s="40" t="inlineStr">
        <is>
          <t>BUG-057</t>
        </is>
      </c>
      <c r="S34" s="40" t="inlineStr">
        <is>
          <t>23/05/2026 19:06</t>
        </is>
      </c>
      <c r="T34" s="43" t="inlineStr">
        <is>
          <t>R1:Không đạt</t>
        </is>
      </c>
      <c r="U34" s="40" t="inlineStr"/>
      <c r="V34" s="43" t="inlineStr"/>
    </row>
    <row r="35" ht="80" customHeight="1">
      <c r="A35" s="40" t="inlineStr">
        <is>
          <t>TC-032</t>
        </is>
      </c>
      <c r="B35" s="45" t="inlineStr">
        <is>
          <t>RED</t>
        </is>
      </c>
      <c r="C35" s="42" t="inlineStr">
        <is>
          <t>P0</t>
        </is>
      </c>
      <c r="D35" s="43" t="inlineStr">
        <is>
          <t>Create-prov</t>
        </is>
      </c>
      <c r="E35" s="43" t="inlineStr">
        <is>
          <t>FROM_PETITION với linkedPetitionId KHÔNG tồn tại → 404</t>
        </is>
      </c>
      <c r="F35" s="40" t="inlineStr">
        <is>
          <t>REQ-CASE-CREATE-PROV-032</t>
        </is>
      </c>
      <c r="G35" s="40" t="inlineStr">
        <is>
          <t>Use case testing</t>
        </is>
      </c>
      <c r="H35" s="40" t="inlineStr">
        <is>
          <t>Cao</t>
        </is>
      </c>
      <c r="I35" s="43" t="inlineStr">
        <is>
          <t>1. User đã login
2. Token JWT hợp lệ</t>
        </is>
      </c>
      <c r="J35" s="43" t="inlineStr">
        <is>
          <t>POST linkedPetitionId='PET-NOT-EXIST-999'</t>
        </is>
      </c>
      <c r="K35" s="43" t="inlineStr">
        <is>
          <t>linkedPetitionId='PET-NOT-EXIST-999', expectedPetitionUpdatedAt='2026-05-20T10:00:00.000Z'</t>
        </is>
      </c>
      <c r="L35" s="43" t="inlineStr">
        <is>
          <t>Toast 'Đơn thư không tồn tại hoặc không nằm trong phạm vi của bạn'</t>
        </is>
      </c>
      <c r="M35" s="43" t="inlineStr">
        <is>
          <t>404 NotFoundException — no enumeration leak</t>
        </is>
      </c>
      <c r="N35" s="43" t="inlineStr">
        <is>
          <t>-</t>
        </is>
      </c>
      <c r="O35" s="40" t="inlineStr">
        <is>
          <t>High</t>
        </is>
      </c>
      <c r="P35" s="43" t="inlineStr">
        <is>
          <t>Thời gian: 133ms</t>
        </is>
      </c>
      <c r="Q35" s="40" t="inlineStr">
        <is>
          <t>Không đạt</t>
        </is>
      </c>
      <c r="R35" s="40" t="inlineStr">
        <is>
          <t>BUG-058</t>
        </is>
      </c>
      <c r="S35" s="40" t="inlineStr">
        <is>
          <t>23/05/2026 19:06</t>
        </is>
      </c>
      <c r="T35" s="43" t="inlineStr">
        <is>
          <t>R1:Không đạt</t>
        </is>
      </c>
      <c r="U35" s="40" t="inlineStr"/>
      <c r="V35" s="43" t="inlineStr">
        <is>
          <t>IDOR-safe: not-found vs out-of-scope cùng response</t>
        </is>
      </c>
    </row>
    <row r="36" ht="80" customHeight="1">
      <c r="A36" s="40" t="inlineStr">
        <is>
          <t>TC-033</t>
        </is>
      </c>
      <c r="B36" s="45" t="inlineStr">
        <is>
          <t>RED</t>
        </is>
      </c>
      <c r="C36" s="42" t="inlineStr">
        <is>
          <t>P0</t>
        </is>
      </c>
      <c r="D36" s="43" t="inlineStr">
        <is>
          <t>Create-prov</t>
        </is>
      </c>
      <c r="E36" s="43" t="inlineStr">
        <is>
          <t>FROM_PETITION với Petition của user KHÁC scope → 404 (không lộ tồn tại)</t>
        </is>
      </c>
      <c r="F36" s="40" t="inlineStr">
        <is>
          <t>REQ-CASE-CREATE-PROV-033</t>
        </is>
      </c>
      <c r="G36" s="40" t="inlineStr">
        <is>
          <t>Use case testing</t>
        </is>
      </c>
      <c r="H36" s="40" t="inlineStr">
        <is>
          <t>Cao</t>
        </is>
      </c>
      <c r="I36" s="43" t="inlineStr">
        <is>
          <t>Login wardOfficer-Q1, Petition PET-A99 thuộc Team-Q3</t>
        </is>
      </c>
      <c r="J36" s="43" t="inlineStr">
        <is>
          <t>POST FROM_PETITION linkedPetitionId='PET-A99'</t>
        </is>
      </c>
      <c r="K36" s="43" t="inlineStr">
        <is>
          <t>linkedPetitionId='PET-A99'</t>
        </is>
      </c>
      <c r="L36" s="43" t="inlineStr">
        <is>
          <t>Toast 'Đơn thư không tồn tại hoặc không nằm trong phạm vi của bạn'</t>
        </is>
      </c>
      <c r="M36" s="43" t="inlineStr">
        <is>
          <t>404 (không 403)</t>
        </is>
      </c>
      <c r="N36" s="43" t="inlineStr">
        <is>
          <t>IDOR-safe enumeration prevention</t>
        </is>
      </c>
      <c r="O36" s="40" t="inlineStr">
        <is>
          <t>Critical</t>
        </is>
      </c>
      <c r="P36" s="43" t="inlineStr">
        <is>
          <t>Thời gian: 113ms</t>
        </is>
      </c>
      <c r="Q36" s="40" t="inlineStr">
        <is>
          <t>Không đạt</t>
        </is>
      </c>
      <c r="R36" s="40" t="inlineStr">
        <is>
          <t>BUG-059</t>
        </is>
      </c>
      <c r="S36" s="40" t="inlineStr">
        <is>
          <t>23/05/2026 19:06</t>
        </is>
      </c>
      <c r="T36" s="43" t="inlineStr">
        <is>
          <t>R1:Không đạt</t>
        </is>
      </c>
      <c r="U36" s="40" t="inlineStr"/>
      <c r="V36" s="43" t="inlineStr"/>
    </row>
    <row r="37" ht="80" customHeight="1">
      <c r="A37" s="40" t="inlineStr">
        <is>
          <t>TC-034</t>
        </is>
      </c>
      <c r="B37" s="45" t="inlineStr">
        <is>
          <t>RED</t>
        </is>
      </c>
      <c r="C37" s="42" t="inlineStr">
        <is>
          <t>P0</t>
        </is>
      </c>
      <c r="D37" s="43" t="inlineStr">
        <is>
          <t>Create-prov</t>
        </is>
      </c>
      <c r="E37" s="43" t="inlineStr">
        <is>
          <t>FROM_PETITION với Petition đã có linkedCaseId (đã khởi tố trước) → 404</t>
        </is>
      </c>
      <c r="F37" s="40" t="inlineStr">
        <is>
          <t>REQ-CASE-CREATE-PROV-034</t>
        </is>
      </c>
      <c r="G37" s="40" t="inlineStr">
        <is>
          <t>Use case testing</t>
        </is>
      </c>
      <c r="H37" s="40" t="inlineStr">
        <is>
          <t>Cao</t>
        </is>
      </c>
      <c r="I37" s="43" t="inlineStr">
        <is>
          <t>PET-002 đã có linkedCaseId='CASE-OLD'</t>
        </is>
      </c>
      <c r="J37" s="43" t="inlineStr">
        <is>
          <t>POST FROM_PETITION với linkedPetitionId='PET-002'</t>
        </is>
      </c>
      <c r="K37" s="43" t="inlineStr">
        <is>
          <t>linkedPetitionId='PET-002'</t>
        </is>
      </c>
      <c r="L37" s="43" t="inlineStr">
        <is>
          <t>Toast 'Đơn thư đã được khởi tố rồi'</t>
        </is>
      </c>
      <c r="M37" s="43" t="inlineStr">
        <is>
          <t>404 (filter linkedCaseId:null trong findFirst)</t>
        </is>
      </c>
      <c r="N37" s="43" t="inlineStr">
        <is>
          <t>Không double-create</t>
        </is>
      </c>
      <c r="O37" s="40" t="inlineStr">
        <is>
          <t>Critical</t>
        </is>
      </c>
      <c r="P37" s="43" t="inlineStr">
        <is>
          <t>Thời gian: 130ms</t>
        </is>
      </c>
      <c r="Q37" s="40" t="inlineStr">
        <is>
          <t>Không đạt</t>
        </is>
      </c>
      <c r="R37" s="40" t="inlineStr">
        <is>
          <t>BUG-060</t>
        </is>
      </c>
      <c r="S37" s="40" t="inlineStr">
        <is>
          <t>23/05/2026 19:06</t>
        </is>
      </c>
      <c r="T37" s="43" t="inlineStr">
        <is>
          <t>R1:Không đạt</t>
        </is>
      </c>
      <c r="U37" s="40" t="inlineStr"/>
      <c r="V37" s="43" t="inlineStr"/>
    </row>
    <row r="38" ht="80" customHeight="1">
      <c r="A38" s="40" t="inlineStr">
        <is>
          <t>TC-035</t>
        </is>
      </c>
      <c r="B38" s="45" t="inlineStr">
        <is>
          <t>RED</t>
        </is>
      </c>
      <c r="C38" s="42" t="inlineStr">
        <is>
          <t>P0</t>
        </is>
      </c>
      <c r="D38" s="43" t="inlineStr">
        <is>
          <t>Create-prov</t>
        </is>
      </c>
      <c r="E38" s="43" t="inlineStr">
        <is>
          <t>FROM_PETITION với deletedAt != null → 404</t>
        </is>
      </c>
      <c r="F38" s="40" t="inlineStr">
        <is>
          <t>REQ-CASE-CREATE-PROV-035</t>
        </is>
      </c>
      <c r="G38" s="40" t="inlineStr">
        <is>
          <t>Use case testing</t>
        </is>
      </c>
      <c r="H38" s="40" t="inlineStr">
        <is>
          <t>Cao</t>
        </is>
      </c>
      <c r="I38" s="43" t="inlineStr">
        <is>
          <t>PET-003 đã soft-deleted</t>
        </is>
      </c>
      <c r="J38" s="43" t="inlineStr">
        <is>
          <t>POST FROM_PETITION linkedPetitionId='PET-003'</t>
        </is>
      </c>
      <c r="K38" s="43" t="inlineStr">
        <is>
          <t>linkedPetitionId='PET-003'</t>
        </is>
      </c>
      <c r="L38" s="43" t="inlineStr">
        <is>
          <t>-</t>
        </is>
      </c>
      <c r="M38" s="43" t="inlineStr">
        <is>
          <t>404</t>
        </is>
      </c>
      <c r="N38" s="43" t="inlineStr">
        <is>
          <t>-</t>
        </is>
      </c>
      <c r="O38" s="40" t="inlineStr">
        <is>
          <t>High</t>
        </is>
      </c>
      <c r="P38" s="43" t="inlineStr">
        <is>
          <t>Thời gian: 118ms</t>
        </is>
      </c>
      <c r="Q38" s="40" t="inlineStr">
        <is>
          <t>Không đạt</t>
        </is>
      </c>
      <c r="R38" s="40" t="inlineStr">
        <is>
          <t>BUG-061</t>
        </is>
      </c>
      <c r="S38" s="40" t="inlineStr">
        <is>
          <t>23/05/2026 19:06</t>
        </is>
      </c>
      <c r="T38" s="43" t="inlineStr">
        <is>
          <t>R1:Không đạt</t>
        </is>
      </c>
      <c r="U38" s="40" t="inlineStr"/>
      <c r="V38" s="43" t="inlineStr"/>
    </row>
    <row r="39" ht="80" customHeight="1">
      <c r="A39" s="40" t="inlineStr">
        <is>
          <t>TC-036</t>
        </is>
      </c>
      <c r="B39" s="45" t="inlineStr">
        <is>
          <t>RED</t>
        </is>
      </c>
      <c r="C39" s="44" t="inlineStr">
        <is>
          <t>P1</t>
        </is>
      </c>
      <c r="D39" s="43" t="inlineStr">
        <is>
          <t>Create-prov</t>
        </is>
      </c>
      <c r="E39" s="43" t="inlineStr">
        <is>
          <t>expectedPetitionUpdatedAt sai format (không ISO 8601) → 400</t>
        </is>
      </c>
      <c r="F39" s="40" t="inlineStr">
        <is>
          <t>REQ-CASE-CREATE-PROV-036</t>
        </is>
      </c>
      <c r="G39" s="40" t="inlineStr">
        <is>
          <t>Use case testing</t>
        </is>
      </c>
      <c r="H39" s="40" t="inlineStr">
        <is>
          <t>TB</t>
        </is>
      </c>
      <c r="I39" s="43" t="inlineStr">
        <is>
          <t>1. User đã login
2. Token JWT hợp lệ</t>
        </is>
      </c>
      <c r="J39" s="43" t="inlineStr">
        <is>
          <t>POST expectedPetitionUpdatedAt='20/05/2026'</t>
        </is>
      </c>
      <c r="K39" s="43" t="inlineStr">
        <is>
          <t>expectedPetitionUpdatedAt='20/05/2026'</t>
        </is>
      </c>
      <c r="L39" s="43" t="inlineStr">
        <is>
          <t>-</t>
        </is>
      </c>
      <c r="M39" s="43" t="inlineStr">
        <is>
          <t>400 IsISO8601 failed</t>
        </is>
      </c>
      <c r="N39" s="43" t="inlineStr">
        <is>
          <t>-</t>
        </is>
      </c>
      <c r="O39" s="40" t="inlineStr">
        <is>
          <t>Medium</t>
        </is>
      </c>
      <c r="P39" s="43" t="inlineStr">
        <is>
          <t>Thời gian: 126ms</t>
        </is>
      </c>
      <c r="Q39" s="40" t="inlineStr">
        <is>
          <t>Không đạt</t>
        </is>
      </c>
      <c r="R39" s="40" t="inlineStr">
        <is>
          <t>BUG-062</t>
        </is>
      </c>
      <c r="S39" s="40" t="inlineStr">
        <is>
          <t>23/05/2026 19:06</t>
        </is>
      </c>
      <c r="T39" s="43" t="inlineStr">
        <is>
          <t>R1:Không đạt</t>
        </is>
      </c>
      <c r="U39" s="40" t="inlineStr"/>
      <c r="V39" s="43" t="inlineStr"/>
    </row>
    <row r="40" ht="80" customHeight="1">
      <c r="A40" s="40" t="inlineStr">
        <is>
          <t>TC-037</t>
        </is>
      </c>
      <c r="B40" s="45" t="inlineStr">
        <is>
          <t>RED</t>
        </is>
      </c>
      <c r="C40" s="42" t="inlineStr">
        <is>
          <t>P0</t>
        </is>
      </c>
      <c r="D40" s="43" t="inlineStr">
        <is>
          <t>Create-inv</t>
        </is>
      </c>
      <c r="E40" s="43" t="inlineStr">
        <is>
          <t>investigatorId không tồn tại trong users table → 400</t>
        </is>
      </c>
      <c r="F40" s="40" t="inlineStr">
        <is>
          <t>REQ-CASE-CREATE-INV-037</t>
        </is>
      </c>
      <c r="G40" s="40" t="inlineStr">
        <is>
          <t>Use case testing</t>
        </is>
      </c>
      <c r="H40" s="40" t="inlineStr">
        <is>
          <t>Cao</t>
        </is>
      </c>
      <c r="I40" s="43" t="inlineStr">
        <is>
          <t>1. User đã login
2. Token JWT hợp lệ</t>
        </is>
      </c>
      <c r="J40" s="43" t="inlineStr">
        <is>
          <t>POST investigatorId='NON_EXIST_USER_XXX'</t>
        </is>
      </c>
      <c r="K40" s="43" t="inlineStr">
        <is>
          <t>investigatorId='NON_EXIST_USER_XXX'</t>
        </is>
      </c>
      <c r="L40" s="43" t="inlineStr">
        <is>
          <t>Toast 'Điều tra viên không tồn tại'</t>
        </is>
      </c>
      <c r="M40" s="43" t="inlineStr">
        <is>
          <t>400 BadRequestException msg=Điều tra viên không tồn tại</t>
        </is>
      </c>
      <c r="N40" s="43" t="inlineStr">
        <is>
          <t>-</t>
        </is>
      </c>
      <c r="O40" s="40" t="inlineStr">
        <is>
          <t>High</t>
        </is>
      </c>
      <c r="P40" s="43" t="inlineStr">
        <is>
          <t>Đạt như expected. Thời gian: 51ms</t>
        </is>
      </c>
      <c r="Q40" s="40" t="inlineStr">
        <is>
          <t>Đạt</t>
        </is>
      </c>
      <c r="R40" s="40" t="inlineStr"/>
      <c r="S40" s="40" t="inlineStr">
        <is>
          <t>23/05/2026 19:06</t>
        </is>
      </c>
      <c r="T40" s="43" t="inlineStr">
        <is>
          <t>R1:Đạt</t>
        </is>
      </c>
      <c r="U40" s="40" t="inlineStr"/>
      <c r="V40" s="43" t="inlineStr"/>
    </row>
    <row r="41" ht="80" customHeight="1">
      <c r="A41" s="40" t="inlineStr">
        <is>
          <t>TC-038</t>
        </is>
      </c>
      <c r="B41" s="45" t="inlineStr">
        <is>
          <t>RED</t>
        </is>
      </c>
      <c r="C41" s="44" t="inlineStr">
        <is>
          <t>P1</t>
        </is>
      </c>
      <c r="D41" s="43" t="inlineStr">
        <is>
          <t>Create-capDo</t>
        </is>
      </c>
      <c r="E41" s="43" t="inlineStr">
        <is>
          <t>capDoToiPham là invalid enum 'INVALID' → 400 với message tiếng Việt</t>
        </is>
      </c>
      <c r="F41" s="40" t="inlineStr">
        <is>
          <t>REQ-CASE-CREATE-CAPDO-038</t>
        </is>
      </c>
      <c r="G41" s="40" t="inlineStr">
        <is>
          <t>Use case testing</t>
        </is>
      </c>
      <c r="H41" s="40" t="inlineStr">
        <is>
          <t>TB</t>
        </is>
      </c>
      <c r="I41" s="43" t="inlineStr">
        <is>
          <t>1. User đã login
2. Token JWT hợp lệ</t>
        </is>
      </c>
      <c r="J41" s="43" t="inlineStr">
        <is>
          <t>POST capDoToiPham='INVALID'</t>
        </is>
      </c>
      <c r="K41" s="43" t="inlineStr">
        <is>
          <t>capDoToiPham='INVALID'</t>
        </is>
      </c>
      <c r="L41" s="43" t="inlineStr">
        <is>
          <t>-</t>
        </is>
      </c>
      <c r="M41" s="43" t="inlineStr">
        <is>
          <t>400 'capDoToiPham phải là IT_NGHIEM_TRONG, NGHIEM_TRONG, RAT_NGHIEM_TRONG hoặc DAC_BIET_NGHIEM_TRONG'</t>
        </is>
      </c>
      <c r="N41" s="43" t="inlineStr">
        <is>
          <t>-</t>
        </is>
      </c>
      <c r="O41" s="40" t="inlineStr">
        <is>
          <t>Medium</t>
        </is>
      </c>
      <c r="P41" s="43" t="inlineStr">
        <is>
          <t>Đạt như expected. Thời gian: 52ms</t>
        </is>
      </c>
      <c r="Q41" s="40" t="inlineStr">
        <is>
          <t>Đạt</t>
        </is>
      </c>
      <c r="R41" s="40" t="inlineStr"/>
      <c r="S41" s="40" t="inlineStr">
        <is>
          <t>23/05/2026 19:06</t>
        </is>
      </c>
      <c r="T41" s="43" t="inlineStr">
        <is>
          <t>R1:Đạt</t>
        </is>
      </c>
      <c r="U41" s="40" t="inlineStr"/>
      <c r="V41" s="43" t="inlineStr"/>
    </row>
    <row r="42" ht="80" customHeight="1">
      <c r="A42" s="40" t="inlineStr">
        <is>
          <t>TC-039</t>
        </is>
      </c>
      <c r="B42" s="45" t="inlineStr">
        <is>
          <t>RED</t>
        </is>
      </c>
      <c r="C42" s="44" t="inlineStr">
        <is>
          <t>P1</t>
        </is>
      </c>
      <c r="D42" s="43" t="inlineStr">
        <is>
          <t>Create-subC</t>
        </is>
      </c>
      <c r="E42" s="43" t="inlineStr">
        <is>
          <t>subjectsCount = -1 → 400 @Min(0)</t>
        </is>
      </c>
      <c r="F42" s="40" t="inlineStr">
        <is>
          <t>REQ-CASE-CREATE-SUBC-039</t>
        </is>
      </c>
      <c r="G42" s="40" t="inlineStr">
        <is>
          <t>Use case testing</t>
        </is>
      </c>
      <c r="H42" s="40" t="inlineStr">
        <is>
          <t>TB</t>
        </is>
      </c>
      <c r="I42" s="43" t="inlineStr">
        <is>
          <t>1. User đã login
2. Token JWT hợp lệ</t>
        </is>
      </c>
      <c r="J42" s="43" t="inlineStr">
        <is>
          <t>POST subjectsCount=-1</t>
        </is>
      </c>
      <c r="K42" s="43" t="inlineStr">
        <is>
          <t>subjectsCount=-1</t>
        </is>
      </c>
      <c r="L42" s="43" t="inlineStr">
        <is>
          <t>Error 'Phải ≥ 0'</t>
        </is>
      </c>
      <c r="M42" s="43" t="inlineStr">
        <is>
          <t>400 @Min(0)</t>
        </is>
      </c>
      <c r="N42" s="43" t="inlineStr">
        <is>
          <t>-</t>
        </is>
      </c>
      <c r="O42" s="40" t="inlineStr">
        <is>
          <t>Medium</t>
        </is>
      </c>
      <c r="P42" s="43" t="inlineStr">
        <is>
          <t>Thời gian: 120ms</t>
        </is>
      </c>
      <c r="Q42" s="40" t="inlineStr">
        <is>
          <t>Không đạt</t>
        </is>
      </c>
      <c r="R42" s="40" t="inlineStr">
        <is>
          <t>BUG-069</t>
        </is>
      </c>
      <c r="S42" s="40" t="inlineStr">
        <is>
          <t>23/05/2026 19:06</t>
        </is>
      </c>
      <c r="T42" s="43" t="inlineStr">
        <is>
          <t>R1:Không đạt</t>
        </is>
      </c>
      <c r="U42" s="40" t="inlineStr"/>
      <c r="V42" s="43" t="inlineStr"/>
    </row>
    <row r="43" ht="80" customHeight="1">
      <c r="A43" s="40" t="inlineStr">
        <is>
          <t>TC-040</t>
        </is>
      </c>
      <c r="B43" s="45" t="inlineStr">
        <is>
          <t>RED</t>
        </is>
      </c>
      <c r="C43" s="44" t="inlineStr">
        <is>
          <t>P1</t>
        </is>
      </c>
      <c r="D43" s="43" t="inlineStr">
        <is>
          <t>Create-subC</t>
        </is>
      </c>
      <c r="E43" s="43" t="inlineStr">
        <is>
          <t>subjectsCount = 1.5 (float) → 400 IsInt</t>
        </is>
      </c>
      <c r="F43" s="40" t="inlineStr">
        <is>
          <t>REQ-CASE-CREATE-SUBC-040</t>
        </is>
      </c>
      <c r="G43" s="40" t="inlineStr">
        <is>
          <t>Use case testing</t>
        </is>
      </c>
      <c r="H43" s="40" t="inlineStr">
        <is>
          <t>TB</t>
        </is>
      </c>
      <c r="I43" s="43" t="inlineStr">
        <is>
          <t>1. User đã login
2. Token JWT hợp lệ</t>
        </is>
      </c>
      <c r="J43" s="43" t="inlineStr">
        <is>
          <t>POST subjectsCount=1.5</t>
        </is>
      </c>
      <c r="K43" s="43" t="inlineStr">
        <is>
          <t>subjectsCount=1.5</t>
        </is>
      </c>
      <c r="L43" s="43" t="inlineStr">
        <is>
          <t>-</t>
        </is>
      </c>
      <c r="M43" s="43" t="inlineStr">
        <is>
          <t>400 IsInt</t>
        </is>
      </c>
      <c r="N43" s="43" t="inlineStr">
        <is>
          <t>-</t>
        </is>
      </c>
      <c r="O43" s="40" t="inlineStr">
        <is>
          <t>Medium</t>
        </is>
      </c>
      <c r="P43" s="43" t="inlineStr">
        <is>
          <t>Thời gian: 128ms</t>
        </is>
      </c>
      <c r="Q43" s="40" t="inlineStr">
        <is>
          <t>Không đạt</t>
        </is>
      </c>
      <c r="R43" s="40" t="inlineStr">
        <is>
          <t>BUG-070</t>
        </is>
      </c>
      <c r="S43" s="40" t="inlineStr">
        <is>
          <t>23/05/2026 19:06</t>
        </is>
      </c>
      <c r="T43" s="43" t="inlineStr">
        <is>
          <t>R1:Không đạt</t>
        </is>
      </c>
      <c r="U43" s="40" t="inlineStr"/>
      <c r="V43" s="43" t="inlineStr"/>
    </row>
    <row r="44" ht="80" customHeight="1">
      <c r="A44" s="40" t="inlineStr">
        <is>
          <t>TC-041</t>
        </is>
      </c>
      <c r="B44" s="45" t="inlineStr">
        <is>
          <t>RED</t>
        </is>
      </c>
      <c r="C44" s="44" t="inlineStr">
        <is>
          <t>P1</t>
        </is>
      </c>
      <c r="D44" s="43" t="inlineStr">
        <is>
          <t>Create-subC</t>
        </is>
      </c>
      <c r="E44" s="43" t="inlineStr">
        <is>
          <t>subjectsCount = 'abc' string → 400 IsInt</t>
        </is>
      </c>
      <c r="F44" s="40" t="inlineStr">
        <is>
          <t>REQ-CASE-CREATE-SUBC-041</t>
        </is>
      </c>
      <c r="G44" s="40" t="inlineStr">
        <is>
          <t>Use case testing</t>
        </is>
      </c>
      <c r="H44" s="40" t="inlineStr">
        <is>
          <t>TB</t>
        </is>
      </c>
      <c r="I44" s="43" t="inlineStr">
        <is>
          <t>1. User đã login
2. Token JWT hợp lệ</t>
        </is>
      </c>
      <c r="J44" s="43" t="inlineStr">
        <is>
          <t>POST subjectsCount='abc'</t>
        </is>
      </c>
      <c r="K44" s="43" t="inlineStr">
        <is>
          <t>subjectsCount='abc'</t>
        </is>
      </c>
      <c r="L44" s="43" t="inlineStr">
        <is>
          <t>-</t>
        </is>
      </c>
      <c r="M44" s="43" t="inlineStr">
        <is>
          <t>400</t>
        </is>
      </c>
      <c r="N44" s="43" t="inlineStr">
        <is>
          <t>-</t>
        </is>
      </c>
      <c r="O44" s="40" t="inlineStr">
        <is>
          <t>Medium</t>
        </is>
      </c>
      <c r="P44" s="43" t="inlineStr">
        <is>
          <t>Thời gian: 125ms</t>
        </is>
      </c>
      <c r="Q44" s="40" t="inlineStr">
        <is>
          <t>Không đạt</t>
        </is>
      </c>
      <c r="R44" s="40" t="inlineStr">
        <is>
          <t>BUG-071</t>
        </is>
      </c>
      <c r="S44" s="40" t="inlineStr">
        <is>
          <t>23/05/2026 19:06</t>
        </is>
      </c>
      <c r="T44" s="43" t="inlineStr">
        <is>
          <t>R1:Không đạt</t>
        </is>
      </c>
      <c r="U44" s="40" t="inlineStr"/>
      <c r="V44" s="43" t="inlineStr"/>
    </row>
    <row r="45" ht="80" customHeight="1">
      <c r="A45" s="40" t="inlineStr">
        <is>
          <t>TC-042</t>
        </is>
      </c>
      <c r="B45" s="45" t="inlineStr">
        <is>
          <t>RED</t>
        </is>
      </c>
      <c r="C45" s="44" t="inlineStr">
        <is>
          <t>P1</t>
        </is>
      </c>
      <c r="D45" s="43" t="inlineStr">
        <is>
          <t>Create-crime</t>
        </is>
      </c>
      <c r="E45" s="43" t="inlineStr">
        <is>
          <t>crime &gt; 255 ký tự → 400 MaxLength</t>
        </is>
      </c>
      <c r="F45" s="40" t="inlineStr">
        <is>
          <t>REQ-CASE-CREATE-CRIME-042</t>
        </is>
      </c>
      <c r="G45" s="40" t="inlineStr">
        <is>
          <t>Use case testing</t>
        </is>
      </c>
      <c r="H45" s="40" t="inlineStr">
        <is>
          <t>TB</t>
        </is>
      </c>
      <c r="I45" s="43" t="inlineStr">
        <is>
          <t>1. User đã login
2. Token JWT hợp lệ</t>
        </is>
      </c>
      <c r="J45" s="43" t="inlineStr">
        <is>
          <t>POST crime với 256 chars</t>
        </is>
      </c>
      <c r="K45" s="43" t="inlineStr">
        <is>
          <t>crime='X'.repeat(256)</t>
        </is>
      </c>
      <c r="L45" s="43" t="inlineStr">
        <is>
          <t>Error 'không quá 255 ký tự'</t>
        </is>
      </c>
      <c r="M45" s="43" t="inlineStr">
        <is>
          <t>400</t>
        </is>
      </c>
      <c r="N45" s="43" t="inlineStr">
        <is>
          <t>-</t>
        </is>
      </c>
      <c r="O45" s="40" t="inlineStr">
        <is>
          <t>Medium</t>
        </is>
      </c>
      <c r="P45" s="43" t="inlineStr">
        <is>
          <t>Đạt như expected. Thời gian: 39ms</t>
        </is>
      </c>
      <c r="Q45" s="40" t="inlineStr">
        <is>
          <t>Đạt</t>
        </is>
      </c>
      <c r="R45" s="40" t="inlineStr"/>
      <c r="S45" s="40" t="inlineStr">
        <is>
          <t>23/05/2026 19:06</t>
        </is>
      </c>
      <c r="T45" s="43" t="inlineStr">
        <is>
          <t>R1:Đạt</t>
        </is>
      </c>
      <c r="U45" s="40" t="inlineStr"/>
      <c r="V45" s="43" t="inlineStr"/>
    </row>
    <row r="46" ht="80" customHeight="1">
      <c r="A46" s="40" t="inlineStr">
        <is>
          <t>TC-043</t>
        </is>
      </c>
      <c r="B46" s="45" t="inlineStr">
        <is>
          <t>RED</t>
        </is>
      </c>
      <c r="C46" s="44" t="inlineStr">
        <is>
          <t>P1</t>
        </is>
      </c>
      <c r="D46" s="43" t="inlineStr">
        <is>
          <t>Create-unit</t>
        </is>
      </c>
      <c r="E46" s="43" t="inlineStr">
        <is>
          <t>unit &gt; 255 ký tự → 400</t>
        </is>
      </c>
      <c r="F46" s="40" t="inlineStr">
        <is>
          <t>REQ-CASE-CREATE-UNIT-043</t>
        </is>
      </c>
      <c r="G46" s="40" t="inlineStr">
        <is>
          <t>Use case testing</t>
        </is>
      </c>
      <c r="H46" s="40" t="inlineStr">
        <is>
          <t>TB</t>
        </is>
      </c>
      <c r="I46" s="43" t="inlineStr">
        <is>
          <t>1. User đã login
2. Token JWT hợp lệ</t>
        </is>
      </c>
      <c r="J46" s="43" t="inlineStr">
        <is>
          <t>POST unit với 256 chars</t>
        </is>
      </c>
      <c r="K46" s="43" t="inlineStr">
        <is>
          <t>unit='X'.repeat(256)</t>
        </is>
      </c>
      <c r="L46" s="43" t="inlineStr">
        <is>
          <t>-</t>
        </is>
      </c>
      <c r="M46" s="43" t="inlineStr">
        <is>
          <t>400 MaxLength(255)</t>
        </is>
      </c>
      <c r="N46" s="43" t="inlineStr">
        <is>
          <t>-</t>
        </is>
      </c>
      <c r="O46" s="40" t="inlineStr">
        <is>
          <t>Medium</t>
        </is>
      </c>
      <c r="P46" s="43" t="inlineStr">
        <is>
          <t>Thời gian: 119ms</t>
        </is>
      </c>
      <c r="Q46" s="40" t="inlineStr">
        <is>
          <t>Không đạt</t>
        </is>
      </c>
      <c r="R46" s="40" t="inlineStr">
        <is>
          <t>BUG-076</t>
        </is>
      </c>
      <c r="S46" s="40" t="inlineStr">
        <is>
          <t>23/05/2026 19:06</t>
        </is>
      </c>
      <c r="T46" s="43" t="inlineStr">
        <is>
          <t>R1:Không đạt</t>
        </is>
      </c>
      <c r="U46" s="40" t="inlineStr"/>
      <c r="V46" s="43" t="inlineStr"/>
    </row>
    <row r="47" ht="80" customHeight="1">
      <c r="A47" s="40" t="inlineStr">
        <is>
          <t>TC-044</t>
        </is>
      </c>
      <c r="B47" s="45" t="inlineStr">
        <is>
          <t>RED</t>
        </is>
      </c>
      <c r="C47" s="42" t="inlineStr">
        <is>
          <t>P0</t>
        </is>
      </c>
      <c r="D47" s="43" t="inlineStr">
        <is>
          <t>Create-deadline</t>
        </is>
      </c>
      <c r="E47" s="43" t="inlineStr">
        <is>
          <t>deadline sai format 'không-phải-ngày' → 400 IsDateString</t>
        </is>
      </c>
      <c r="F47" s="40" t="inlineStr">
        <is>
          <t>REQ-CASE-CREATE-DEADLINE-044</t>
        </is>
      </c>
      <c r="G47" s="40" t="inlineStr">
        <is>
          <t>Use case testing</t>
        </is>
      </c>
      <c r="H47" s="40" t="inlineStr">
        <is>
          <t>Cao</t>
        </is>
      </c>
      <c r="I47" s="43" t="inlineStr">
        <is>
          <t>1. User đã login
2. Token JWT hợp lệ</t>
        </is>
      </c>
      <c r="J47" s="43" t="inlineStr">
        <is>
          <t>POST deadline='abc-xyz'</t>
        </is>
      </c>
      <c r="K47" s="43" t="inlineStr">
        <is>
          <t>deadline='abc-xyz'</t>
        </is>
      </c>
      <c r="L47" s="43" t="inlineStr">
        <is>
          <t>-</t>
        </is>
      </c>
      <c r="M47" s="43" t="inlineStr">
        <is>
          <t>400 IsDateString</t>
        </is>
      </c>
      <c r="N47" s="43" t="inlineStr">
        <is>
          <t>-</t>
        </is>
      </c>
      <c r="O47" s="40" t="inlineStr">
        <is>
          <t>High</t>
        </is>
      </c>
      <c r="P47" s="43" t="inlineStr">
        <is>
          <t>Đạt như expected. Thời gian: 51ms</t>
        </is>
      </c>
      <c r="Q47" s="40" t="inlineStr">
        <is>
          <t>Đạt</t>
        </is>
      </c>
      <c r="R47" s="40" t="inlineStr"/>
      <c r="S47" s="40" t="inlineStr">
        <is>
          <t>23/05/2026 19:06</t>
        </is>
      </c>
      <c r="T47" s="43" t="inlineStr">
        <is>
          <t>R1:Đạt</t>
        </is>
      </c>
      <c r="U47" s="40" t="inlineStr"/>
      <c r="V47" s="43" t="inlineStr"/>
    </row>
    <row r="48" ht="80" customHeight="1">
      <c r="A48" s="40" t="inlineStr">
        <is>
          <t>TC-045</t>
        </is>
      </c>
      <c r="B48" s="45" t="inlineStr">
        <is>
          <t>RED</t>
        </is>
      </c>
      <c r="C48" s="44" t="inlineStr">
        <is>
          <t>P1</t>
        </is>
      </c>
      <c r="D48" s="43" t="inlineStr">
        <is>
          <t>Create-deadline</t>
        </is>
      </c>
      <c r="E48" s="43" t="inlineStr">
        <is>
          <t>deadline format DD/MM/YYYY → 400 IsDateString chỉ accept ISO</t>
        </is>
      </c>
      <c r="F48" s="40" t="inlineStr">
        <is>
          <t>REQ-CASE-CREATE-DEADLINE-045</t>
        </is>
      </c>
      <c r="G48" s="40" t="inlineStr">
        <is>
          <t>Use case testing</t>
        </is>
      </c>
      <c r="H48" s="40" t="inlineStr">
        <is>
          <t>TB</t>
        </is>
      </c>
      <c r="I48" s="43" t="inlineStr">
        <is>
          <t>1. User đã login
2. Token JWT hợp lệ</t>
        </is>
      </c>
      <c r="J48" s="43" t="inlineStr">
        <is>
          <t>POST deadline='15/08/2026'</t>
        </is>
      </c>
      <c r="K48" s="43" t="inlineStr">
        <is>
          <t>deadline='15/08/2026'</t>
        </is>
      </c>
      <c r="L48" s="43" t="inlineStr">
        <is>
          <t>-</t>
        </is>
      </c>
      <c r="M48" s="43" t="inlineStr">
        <is>
          <t>400 IsDateString cần ISO 8601</t>
        </is>
      </c>
      <c r="N48" s="43" t="inlineStr">
        <is>
          <t>-</t>
        </is>
      </c>
      <c r="O48" s="40" t="inlineStr">
        <is>
          <t>Medium</t>
        </is>
      </c>
      <c r="P48" s="43" t="inlineStr">
        <is>
          <t>Đạt như expected. Thời gian: 48ms</t>
        </is>
      </c>
      <c r="Q48" s="40" t="inlineStr">
        <is>
          <t>Đạt</t>
        </is>
      </c>
      <c r="R48" s="40" t="inlineStr"/>
      <c r="S48" s="40" t="inlineStr">
        <is>
          <t>23/05/2026 19:06</t>
        </is>
      </c>
      <c r="T48" s="43" t="inlineStr">
        <is>
          <t>R1:Đạt</t>
        </is>
      </c>
      <c r="U48" s="40" t="inlineStr"/>
      <c r="V48" s="43" t="inlineStr">
        <is>
          <t>Frontend phải convert sang ISO trước POST</t>
        </is>
      </c>
    </row>
    <row r="49" ht="80" customHeight="1">
      <c r="A49" s="40" t="inlineStr">
        <is>
          <t>TC-046</t>
        </is>
      </c>
      <c r="B49" s="45" t="inlineStr">
        <is>
          <t>RED</t>
        </is>
      </c>
      <c r="C49" s="44" t="inlineStr">
        <is>
          <t>P1</t>
        </is>
      </c>
      <c r="D49" s="43" t="inlineStr">
        <is>
          <t>Create-ngayKT</t>
        </is>
      </c>
      <c r="E49" s="43" t="inlineStr">
        <is>
          <t>ngayKhoiTo='2026-13-45' (tháng 13, ngày 45) → 400</t>
        </is>
      </c>
      <c r="F49" s="40" t="inlineStr">
        <is>
          <t>REQ-CASE-CREATE-NGAYKT-046</t>
        </is>
      </c>
      <c r="G49" s="40" t="inlineStr">
        <is>
          <t>Use case testing</t>
        </is>
      </c>
      <c r="H49" s="40" t="inlineStr">
        <is>
          <t>TB</t>
        </is>
      </c>
      <c r="I49" s="43" t="inlineStr">
        <is>
          <t>1. User đã login
2. Token JWT hợp lệ</t>
        </is>
      </c>
      <c r="J49" s="43" t="inlineStr">
        <is>
          <t>POST ngayKhoiTo='2026-13-45'</t>
        </is>
      </c>
      <c r="K49" s="43" t="inlineStr">
        <is>
          <t>ngayKhoiTo='2026-13-45'</t>
        </is>
      </c>
      <c r="L49" s="43" t="inlineStr">
        <is>
          <t>-</t>
        </is>
      </c>
      <c r="M49" s="43" t="inlineStr">
        <is>
          <t>400 IsDateString</t>
        </is>
      </c>
      <c r="N49" s="43" t="inlineStr">
        <is>
          <t>-</t>
        </is>
      </c>
      <c r="O49" s="40" t="inlineStr">
        <is>
          <t>Medium</t>
        </is>
      </c>
      <c r="P49" s="43" t="inlineStr">
        <is>
          <t>Thời gian: 140ms</t>
        </is>
      </c>
      <c r="Q49" s="40" t="inlineStr">
        <is>
          <t>Không đạt</t>
        </is>
      </c>
      <c r="R49" s="40" t="inlineStr">
        <is>
          <t>BUG-056</t>
        </is>
      </c>
      <c r="S49" s="40" t="inlineStr">
        <is>
          <t>23/05/2026 19:06</t>
        </is>
      </c>
      <c r="T49" s="43" t="inlineStr">
        <is>
          <t>R1:Không đạt</t>
        </is>
      </c>
      <c r="U49" s="40" t="inlineStr"/>
      <c r="V49" s="43" t="inlineStr"/>
    </row>
    <row r="50" ht="80" customHeight="1">
      <c r="A50" s="40" t="inlineStr">
        <is>
          <t>TC-047</t>
        </is>
      </c>
      <c r="B50" s="45" t="inlineStr">
        <is>
          <t>RED</t>
        </is>
      </c>
      <c r="C50" s="44" t="inlineStr">
        <is>
          <t>P1</t>
        </is>
      </c>
      <c r="D50" s="43" t="inlineStr">
        <is>
          <t>Create-src</t>
        </is>
      </c>
      <c r="E50" s="43" t="inlineStr">
        <is>
          <t>sourceDocumentNote &gt; 1000 ký tự → 400</t>
        </is>
      </c>
      <c r="F50" s="40" t="inlineStr">
        <is>
          <t>REQ-CASE-CREATE-SRC-047</t>
        </is>
      </c>
      <c r="G50" s="40" t="inlineStr">
        <is>
          <t>Use case testing</t>
        </is>
      </c>
      <c r="H50" s="40" t="inlineStr">
        <is>
          <t>TB</t>
        </is>
      </c>
      <c r="I50" s="43" t="inlineStr">
        <is>
          <t>1. User đã login
2. Token JWT hợp lệ</t>
        </is>
      </c>
      <c r="J50" s="43" t="inlineStr">
        <is>
          <t>POST sourceDocumentNote='Y'.repeat(1001)</t>
        </is>
      </c>
      <c r="K50" s="43" t="inlineStr">
        <is>
          <t>sourceDocumentNote.length=1001</t>
        </is>
      </c>
      <c r="L50" s="43" t="inlineStr">
        <is>
          <t>Error 'không quá 1000 ký tự'</t>
        </is>
      </c>
      <c r="M50" s="43" t="inlineStr">
        <is>
          <t>400 MaxLength(1000)</t>
        </is>
      </c>
      <c r="N50" s="43" t="inlineStr">
        <is>
          <t>-</t>
        </is>
      </c>
      <c r="O50" s="40" t="inlineStr">
        <is>
          <t>Medium</t>
        </is>
      </c>
      <c r="P50" s="43" t="inlineStr">
        <is>
          <t>Thời gian: 153ms</t>
        </is>
      </c>
      <c r="Q50" s="40" t="inlineStr">
        <is>
          <t>Không đạt</t>
        </is>
      </c>
      <c r="R50" s="40" t="inlineStr">
        <is>
          <t>BUG-068</t>
        </is>
      </c>
      <c r="S50" s="40" t="inlineStr">
        <is>
          <t>23/05/2026 19:06</t>
        </is>
      </c>
      <c r="T50" s="43" t="inlineStr">
        <is>
          <t>R1:Không đạt</t>
        </is>
      </c>
      <c r="U50" s="40" t="inlineStr"/>
      <c r="V50" s="43" t="inlineStr"/>
    </row>
    <row r="51" ht="80" customHeight="1">
      <c r="A51" s="40" t="inlineStr">
        <is>
          <t>TC-048</t>
        </is>
      </c>
      <c r="B51" s="45" t="inlineStr">
        <is>
          <t>RED</t>
        </is>
      </c>
      <c r="C51" s="42" t="inlineStr">
        <is>
          <t>P0</t>
        </is>
      </c>
      <c r="D51" s="43" t="inlineStr">
        <is>
          <t>Create-prov</t>
        </is>
      </c>
      <c r="E51" s="43" t="inlineStr">
        <is>
          <t>caseProvenance=DIRECT_DISCOVERY nhưng vẫn truyền linkedPetitionId → field bị ignore</t>
        </is>
      </c>
      <c r="F51" s="40" t="inlineStr">
        <is>
          <t>REQ-CASE-CREATE-PROV-048</t>
        </is>
      </c>
      <c r="G51" s="40" t="inlineStr">
        <is>
          <t>Use case testing</t>
        </is>
      </c>
      <c r="H51" s="40" t="inlineStr">
        <is>
          <t>Cao</t>
        </is>
      </c>
      <c r="I51" s="43" t="inlineStr">
        <is>
          <t>1. User đã login
2. Token JWT hợp lệ</t>
        </is>
      </c>
      <c r="J51" s="43" t="inlineStr">
        <is>
          <t>POST DIRECT_DISCOVERY + linkedPetitionId='PET-001'</t>
        </is>
      </c>
      <c r="K51" s="43" t="inlineStr">
        <is>
          <t>caseProvenance='DIRECT_DISCOVERY', linkedPetitionId='PET-001'</t>
        </is>
      </c>
      <c r="L51" s="43" t="inlineStr">
        <is>
          <t>Tạo thành công</t>
        </is>
      </c>
      <c r="M51" s="43" t="inlineStr">
        <is>
          <t>201, data.linkedPetitionId=NULL (ignore)</t>
        </is>
      </c>
      <c r="N51" s="43" t="inlineStr">
        <is>
          <t>DTO bỏ qua linkedPetitionId nếu provenance không phải FROM_PETITION (ValidateIf)</t>
        </is>
      </c>
      <c r="O51" s="40" t="inlineStr">
        <is>
          <t>Medium</t>
        </is>
      </c>
      <c r="P51" s="43" t="inlineStr">
        <is>
          <t>Thời gian: 137ms</t>
        </is>
      </c>
      <c r="Q51" s="40" t="inlineStr">
        <is>
          <t>Không đạt</t>
        </is>
      </c>
      <c r="R51" s="40" t="inlineStr">
        <is>
          <t>BUG-063</t>
        </is>
      </c>
      <c r="S51" s="40" t="inlineStr">
        <is>
          <t>23/05/2026 19:06</t>
        </is>
      </c>
      <c r="T51" s="43" t="inlineStr">
        <is>
          <t>R1:Không đạt</t>
        </is>
      </c>
      <c r="U51" s="40" t="inlineStr"/>
      <c r="V51" s="43" t="inlineStr">
        <is>
          <t>Validation chỉ apply khi FROM_PETITION → DIRECT_DISCOVERY không validate field</t>
        </is>
      </c>
    </row>
    <row r="52" ht="80" customHeight="1">
      <c r="A52" s="40" t="inlineStr">
        <is>
          <t>TC-049</t>
        </is>
      </c>
      <c r="B52" s="45" t="inlineStr">
        <is>
          <t>RED</t>
        </is>
      </c>
      <c r="C52" s="44" t="inlineStr">
        <is>
          <t>P1</t>
        </is>
      </c>
      <c r="D52" s="43" t="inlineStr">
        <is>
          <t>Create-meta</t>
        </is>
      </c>
      <c r="E52" s="43" t="inlineStr">
        <is>
          <t>metadata là array thay vì object → 400 IsObject</t>
        </is>
      </c>
      <c r="F52" s="40" t="inlineStr">
        <is>
          <t>REQ-CASE-CREATE-META-049</t>
        </is>
      </c>
      <c r="G52" s="40" t="inlineStr">
        <is>
          <t>Use case testing</t>
        </is>
      </c>
      <c r="H52" s="40" t="inlineStr">
        <is>
          <t>TB</t>
        </is>
      </c>
      <c r="I52" s="43" t="inlineStr">
        <is>
          <t>1. User đã login
2. Token JWT hợp lệ</t>
        </is>
      </c>
      <c r="J52" s="43" t="inlineStr">
        <is>
          <t>POST metadata=[1,2,3]</t>
        </is>
      </c>
      <c r="K52" s="43" t="inlineStr">
        <is>
          <t>metadata=[1,2,3]</t>
        </is>
      </c>
      <c r="L52" s="43" t="inlineStr">
        <is>
          <t>-</t>
        </is>
      </c>
      <c r="M52" s="43" t="inlineStr">
        <is>
          <t>400 IsObject</t>
        </is>
      </c>
      <c r="N52" s="43" t="inlineStr">
        <is>
          <t>-</t>
        </is>
      </c>
      <c r="O52" s="40" t="inlineStr">
        <is>
          <t>Medium</t>
        </is>
      </c>
      <c r="P52" s="43" t="inlineStr">
        <is>
          <t>Đạt như expected. Thời gian: 56ms</t>
        </is>
      </c>
      <c r="Q52" s="40" t="inlineStr">
        <is>
          <t>Đạt</t>
        </is>
      </c>
      <c r="R52" s="40" t="inlineStr"/>
      <c r="S52" s="40" t="inlineStr">
        <is>
          <t>23/05/2026 19:06</t>
        </is>
      </c>
      <c r="T52" s="43" t="inlineStr">
        <is>
          <t>R1:Đạt</t>
        </is>
      </c>
      <c r="U52" s="40" t="inlineStr"/>
      <c r="V52" s="43" t="inlineStr"/>
    </row>
    <row r="53" ht="80" customHeight="1">
      <c r="A53" s="40" t="inlineStr">
        <is>
          <t>TC-050</t>
        </is>
      </c>
      <c r="B53" s="45" t="inlineStr">
        <is>
          <t>RED</t>
        </is>
      </c>
      <c r="C53" s="44" t="inlineStr">
        <is>
          <t>P1</t>
        </is>
      </c>
      <c r="D53" s="43" t="inlineStr">
        <is>
          <t>Create-meta</t>
        </is>
      </c>
      <c r="E53" s="43" t="inlineStr">
        <is>
          <t>metadata là string → 400 IsObject</t>
        </is>
      </c>
      <c r="F53" s="40" t="inlineStr">
        <is>
          <t>REQ-CASE-CREATE-META-050</t>
        </is>
      </c>
      <c r="G53" s="40" t="inlineStr">
        <is>
          <t>Use case testing</t>
        </is>
      </c>
      <c r="H53" s="40" t="inlineStr">
        <is>
          <t>TB</t>
        </is>
      </c>
      <c r="I53" s="43" t="inlineStr">
        <is>
          <t>1. User đã login
2. Token JWT hợp lệ</t>
        </is>
      </c>
      <c r="J53" s="43" t="inlineStr">
        <is>
          <t>POST metadata='abc'</t>
        </is>
      </c>
      <c r="K53" s="43" t="inlineStr">
        <is>
          <t>metadata='abc'</t>
        </is>
      </c>
      <c r="L53" s="43" t="inlineStr">
        <is>
          <t>-</t>
        </is>
      </c>
      <c r="M53" s="43" t="inlineStr">
        <is>
          <t>400</t>
        </is>
      </c>
      <c r="N53" s="43" t="inlineStr">
        <is>
          <t>-</t>
        </is>
      </c>
      <c r="O53" s="40" t="inlineStr">
        <is>
          <t>Medium</t>
        </is>
      </c>
      <c r="P53" s="43" t="inlineStr">
        <is>
          <t>Đạt như expected. Thời gian: 35ms</t>
        </is>
      </c>
      <c r="Q53" s="40" t="inlineStr">
        <is>
          <t>Đạt</t>
        </is>
      </c>
      <c r="R53" s="40" t="inlineStr"/>
      <c r="S53" s="40" t="inlineStr">
        <is>
          <t>23/05/2026 19:06</t>
        </is>
      </c>
      <c r="T53" s="43" t="inlineStr">
        <is>
          <t>R1:Đạt</t>
        </is>
      </c>
      <c r="U53" s="40" t="inlineStr"/>
      <c r="V53" s="43" t="inlineStr"/>
    </row>
    <row r="54" ht="80" customHeight="1">
      <c r="A54" s="40" t="inlineStr">
        <is>
          <t>TC-051</t>
        </is>
      </c>
      <c r="B54" s="45" t="inlineStr">
        <is>
          <t>RED</t>
        </is>
      </c>
      <c r="C54" s="44" t="inlineStr">
        <is>
          <t>P1</t>
        </is>
      </c>
      <c r="D54" s="43" t="inlineStr">
        <is>
          <t>Create-team</t>
        </is>
      </c>
      <c r="E54" s="43" t="inlineStr">
        <is>
          <t>assignedTeamId KHÔNG tồn tại trong teams (FK invalid) → ?</t>
        </is>
      </c>
      <c r="F54" s="40" t="inlineStr">
        <is>
          <t>REQ-CASE-CREATE-TEAM-051</t>
        </is>
      </c>
      <c r="G54" s="40" t="inlineStr">
        <is>
          <t>Use case testing</t>
        </is>
      </c>
      <c r="H54" s="40" t="inlineStr">
        <is>
          <t>TB</t>
        </is>
      </c>
      <c r="I54" s="43" t="inlineStr">
        <is>
          <t>1. User đã login
2. Token JWT hợp lệ</t>
        </is>
      </c>
      <c r="J54" s="43" t="inlineStr">
        <is>
          <t>POST assignedTeamId='TEAM_NOT_EXIST'</t>
        </is>
      </c>
      <c r="K54" s="43" t="inlineStr">
        <is>
          <t>assignedTeamId='TEAM_NOT_EXIST'</t>
        </is>
      </c>
      <c r="L54" s="43" t="inlineStr">
        <is>
          <t>Toast lỗi</t>
        </is>
      </c>
      <c r="M54" s="43" t="inlineStr">
        <is>
          <t>500 hoặc 400 do Prisma FK constraint violation</t>
        </is>
      </c>
      <c r="N54" s="43" t="inlineStr">
        <is>
          <t>Không tạo row</t>
        </is>
      </c>
      <c r="O54" s="40" t="inlineStr">
        <is>
          <t>Medium</t>
        </is>
      </c>
      <c r="P54" s="43" t="inlineStr">
        <is>
          <t>Thời gian: 115ms</t>
        </is>
      </c>
      <c r="Q54" s="40" t="inlineStr">
        <is>
          <t>Không đạt</t>
        </is>
      </c>
      <c r="R54" s="40" t="inlineStr">
        <is>
          <t>BUG-072</t>
        </is>
      </c>
      <c r="S54" s="40" t="inlineStr">
        <is>
          <t>23/05/2026 19:06</t>
        </is>
      </c>
      <c r="T54" s="43" t="inlineStr">
        <is>
          <t>R1:Không đạt</t>
        </is>
      </c>
      <c r="U54" s="40" t="inlineStr"/>
      <c r="V54" s="43" t="inlineStr">
        <is>
          <t>Backend nên catch P2003 trả 400 thân thiện</t>
        </is>
      </c>
    </row>
    <row r="55" ht="80" customHeight="1">
      <c r="A55" s="40" t="inlineStr">
        <is>
          <t>TC-052</t>
        </is>
      </c>
      <c r="B55" s="45" t="inlineStr">
        <is>
          <t>RED</t>
        </is>
      </c>
      <c r="C55" s="44" t="inlineStr">
        <is>
          <t>P1</t>
        </is>
      </c>
      <c r="D55" s="43" t="inlineStr">
        <is>
          <t>Create-wl</t>
        </is>
      </c>
      <c r="E55" s="43" t="inlineStr">
        <is>
          <t>POST kèm field lạ 'evilField=hack' với whitelist=true → 400</t>
        </is>
      </c>
      <c r="F55" s="40" t="inlineStr">
        <is>
          <t>REQ-CASE-CREATE-WL-052</t>
        </is>
      </c>
      <c r="G55" s="40" t="inlineStr">
        <is>
          <t>Use case testing</t>
        </is>
      </c>
      <c r="H55" s="40" t="inlineStr">
        <is>
          <t>TB</t>
        </is>
      </c>
      <c r="I55" s="43" t="inlineStr">
        <is>
          <t>1. User đã login
2. Token JWT hợp lệ</t>
        </is>
      </c>
      <c r="J55" s="43" t="inlineStr">
        <is>
          <t>POST {name:'X', caseProvenance:'DIRECT_DISCOVERY', evilField:'hack'}</t>
        </is>
      </c>
      <c r="K55" s="43" t="inlineStr">
        <is>
          <t>evilField='hack'</t>
        </is>
      </c>
      <c r="L55" s="43" t="inlineStr">
        <is>
          <t>-</t>
        </is>
      </c>
      <c r="M55" s="43" t="inlineStr">
        <is>
          <t>400 'property evilField should not exist'</t>
        </is>
      </c>
      <c r="N55" s="43" t="inlineStr">
        <is>
          <t>-</t>
        </is>
      </c>
      <c r="O55" s="40" t="inlineStr">
        <is>
          <t>Medium</t>
        </is>
      </c>
      <c r="P55" s="43" t="inlineStr">
        <is>
          <t>Thời gian: 134ms</t>
        </is>
      </c>
      <c r="Q55" s="40" t="inlineStr">
        <is>
          <t>Không đạt</t>
        </is>
      </c>
      <c r="R55" s="40" t="inlineStr">
        <is>
          <t>BUG-077</t>
        </is>
      </c>
      <c r="S55" s="40" t="inlineStr">
        <is>
          <t>23/05/2026 19:06</t>
        </is>
      </c>
      <c r="T55" s="43" t="inlineStr">
        <is>
          <t>R1:Không đạt</t>
        </is>
      </c>
      <c r="U55" s="40" t="inlineStr"/>
      <c r="V55" s="43" t="inlineStr">
        <is>
          <t>forbidNonWhitelisted: true</t>
        </is>
      </c>
    </row>
    <row r="56" ht="80" customHeight="1">
      <c r="A56" s="40" t="inlineStr">
        <is>
          <t>TC-053</t>
        </is>
      </c>
      <c r="B56" s="45" t="inlineStr">
        <is>
          <t>RED</t>
        </is>
      </c>
      <c r="C56" s="42" t="inlineStr">
        <is>
          <t>P0</t>
        </is>
      </c>
      <c r="D56" s="43" t="inlineStr">
        <is>
          <t>Create-perm</t>
        </is>
      </c>
      <c r="E56" s="43" t="inlineStr">
        <is>
          <t>User KHÔNG có permission write/Case (role VIEWER) → 403</t>
        </is>
      </c>
      <c r="F56" s="40" t="inlineStr">
        <is>
          <t>REQ-CASE-CREATE-PERM-053</t>
        </is>
      </c>
      <c r="G56" s="40" t="inlineStr">
        <is>
          <t>Use case testing</t>
        </is>
      </c>
      <c r="H56" s="40" t="inlineStr">
        <is>
          <t>Cao</t>
        </is>
      </c>
      <c r="I56" s="43" t="inlineStr">
        <is>
          <t>Login viewer@pc02.local role VIEWER</t>
        </is>
      </c>
      <c r="J56" s="43" t="inlineStr">
        <is>
          <t>POST /cases với DTO hợp lệ</t>
        </is>
      </c>
      <c r="K56" s="43" t="inlineStr">
        <is>
          <t>any valid</t>
        </is>
      </c>
      <c r="L56" s="43" t="inlineStr">
        <is>
          <t>Toast 'Bạn không có quyền'</t>
        </is>
      </c>
      <c r="M56" s="43" t="inlineStr">
        <is>
          <t>403 ForbiddenException PermissionsGuard</t>
        </is>
      </c>
      <c r="N56" s="43" t="inlineStr">
        <is>
          <t>-</t>
        </is>
      </c>
      <c r="O56" s="40" t="inlineStr">
        <is>
          <t>Critical</t>
        </is>
      </c>
      <c r="P56" s="43" t="inlineStr">
        <is>
          <t>Đạt như expected. Thời gian: 34ms</t>
        </is>
      </c>
      <c r="Q56" s="40" t="inlineStr">
        <is>
          <t>Đạt</t>
        </is>
      </c>
      <c r="R56" s="40" t="inlineStr"/>
      <c r="S56" s="40" t="inlineStr">
        <is>
          <t>23/05/2026 19:06</t>
        </is>
      </c>
      <c r="T56" s="43" t="inlineStr">
        <is>
          <t>R1:Đạt</t>
        </is>
      </c>
      <c r="U56" s="40" t="inlineStr"/>
      <c r="V56" s="43" t="inlineStr"/>
    </row>
    <row r="57" ht="80" customHeight="1">
      <c r="A57" s="40" t="inlineStr">
        <is>
          <t>TC-054</t>
        </is>
      </c>
      <c r="B57" s="45" t="inlineStr">
        <is>
          <t>RED</t>
        </is>
      </c>
      <c r="C57" s="42" t="inlineStr">
        <is>
          <t>P0</t>
        </is>
      </c>
      <c r="D57" s="43" t="inlineStr">
        <is>
          <t>Create-auth</t>
        </is>
      </c>
      <c r="E57" s="43" t="inlineStr">
        <is>
          <t>POST không có Authorization header → 401</t>
        </is>
      </c>
      <c r="F57" s="40" t="inlineStr">
        <is>
          <t>REQ-CASE-CREATE-AUTH-054</t>
        </is>
      </c>
      <c r="G57" s="40" t="inlineStr">
        <is>
          <t>Use case testing</t>
        </is>
      </c>
      <c r="H57" s="40" t="inlineStr">
        <is>
          <t>Cao</t>
        </is>
      </c>
      <c r="I57" s="43" t="inlineStr">
        <is>
          <t>-</t>
        </is>
      </c>
      <c r="J57" s="43" t="inlineStr">
        <is>
          <t>POST /cases không kèm JWT</t>
        </is>
      </c>
      <c r="K57" s="43" t="inlineStr">
        <is>
          <t>-</t>
        </is>
      </c>
      <c r="L57" s="43" t="inlineStr">
        <is>
          <t>Redirect login</t>
        </is>
      </c>
      <c r="M57" s="43" t="inlineStr">
        <is>
          <t>401 JwtAuthGuard rejected</t>
        </is>
      </c>
      <c r="N57" s="43" t="inlineStr">
        <is>
          <t>-</t>
        </is>
      </c>
      <c r="O57" s="40" t="inlineStr">
        <is>
          <t>Critical</t>
        </is>
      </c>
      <c r="P57" s="43" t="inlineStr">
        <is>
          <t>Đạt như expected. Thời gian: 26ms</t>
        </is>
      </c>
      <c r="Q57" s="40" t="inlineStr">
        <is>
          <t>Đạt</t>
        </is>
      </c>
      <c r="R57" s="40" t="inlineStr"/>
      <c r="S57" s="40" t="inlineStr">
        <is>
          <t>23/05/2026 19:06</t>
        </is>
      </c>
      <c r="T57" s="43" t="inlineStr">
        <is>
          <t>R1:Đạt</t>
        </is>
      </c>
      <c r="U57" s="40" t="inlineStr"/>
      <c r="V57" s="43" t="inlineStr"/>
    </row>
    <row r="58" ht="80" customHeight="1">
      <c r="A58" s="40" t="inlineStr">
        <is>
          <t>TC-055</t>
        </is>
      </c>
      <c r="B58" s="45" t="inlineStr">
        <is>
          <t>RED</t>
        </is>
      </c>
      <c r="C58" s="42" t="inlineStr">
        <is>
          <t>P0</t>
        </is>
      </c>
      <c r="D58" s="43" t="inlineStr">
        <is>
          <t>Create-auth</t>
        </is>
      </c>
      <c r="E58" s="43" t="inlineStr">
        <is>
          <t>POST JWT đã hết hạn → 401</t>
        </is>
      </c>
      <c r="F58" s="40" t="inlineStr">
        <is>
          <t>REQ-CASE-CREATE-AUTH-055</t>
        </is>
      </c>
      <c r="G58" s="40" t="inlineStr">
        <is>
          <t>Use case testing</t>
        </is>
      </c>
      <c r="H58" s="40" t="inlineStr">
        <is>
          <t>Cao</t>
        </is>
      </c>
      <c r="I58" s="43" t="inlineStr">
        <is>
          <t>JWT exp &lt; now()</t>
        </is>
      </c>
      <c r="J58" s="43" t="inlineStr">
        <is>
          <t>POST với JWT cũ</t>
        </is>
      </c>
      <c r="K58" s="43" t="inlineStr">
        <is>
          <t>-</t>
        </is>
      </c>
      <c r="L58" s="43" t="inlineStr">
        <is>
          <t>-</t>
        </is>
      </c>
      <c r="M58" s="43" t="inlineStr">
        <is>
          <t>401 token expired</t>
        </is>
      </c>
      <c r="N58" s="43" t="inlineStr">
        <is>
          <t>-</t>
        </is>
      </c>
      <c r="O58" s="40" t="inlineStr">
        <is>
          <t>Critical</t>
        </is>
      </c>
      <c r="P58" s="43" t="inlineStr">
        <is>
          <t>Thời gian: 76ms</t>
        </is>
      </c>
      <c r="Q58" s="40" t="inlineStr">
        <is>
          <t>Không đạt</t>
        </is>
      </c>
      <c r="R58" s="40" t="inlineStr">
        <is>
          <t>BUG-053</t>
        </is>
      </c>
      <c r="S58" s="40" t="inlineStr">
        <is>
          <t>23/05/2026 19:06</t>
        </is>
      </c>
      <c r="T58" s="43" t="inlineStr">
        <is>
          <t>R1:Không đạt</t>
        </is>
      </c>
      <c r="U58" s="40" t="inlineStr"/>
      <c r="V58" s="43" t="inlineStr"/>
    </row>
    <row r="59" ht="80" customHeight="1">
      <c r="A59" s="40" t="inlineStr">
        <is>
          <t>TC-056</t>
        </is>
      </c>
      <c r="B59" s="45" t="inlineStr">
        <is>
          <t>RED</t>
        </is>
      </c>
      <c r="C59" s="42" t="inlineStr">
        <is>
          <t>P0</t>
        </is>
      </c>
      <c r="D59" s="43" t="inlineStr">
        <is>
          <t>Create-auth</t>
        </is>
      </c>
      <c r="E59" s="43" t="inlineStr">
        <is>
          <t>POST JWT bị tamper signature → 401</t>
        </is>
      </c>
      <c r="F59" s="40" t="inlineStr">
        <is>
          <t>REQ-CASE-CREATE-AUTH-056</t>
        </is>
      </c>
      <c r="G59" s="40" t="inlineStr">
        <is>
          <t>Use case testing</t>
        </is>
      </c>
      <c r="H59" s="40" t="inlineStr">
        <is>
          <t>Cao</t>
        </is>
      </c>
      <c r="I59" s="43" t="inlineStr">
        <is>
          <t>JWT signature thay đổi</t>
        </is>
      </c>
      <c r="J59" s="43" t="inlineStr">
        <is>
          <t>POST với JWT.split('.')[2]='evil_sig'</t>
        </is>
      </c>
      <c r="K59" s="43" t="inlineStr">
        <is>
          <t>-</t>
        </is>
      </c>
      <c r="L59" s="43" t="inlineStr">
        <is>
          <t>-</t>
        </is>
      </c>
      <c r="M59" s="43" t="inlineStr">
        <is>
          <t>401 JWT invalid signature</t>
        </is>
      </c>
      <c r="N59" s="43" t="inlineStr">
        <is>
          <t>-</t>
        </is>
      </c>
      <c r="O59" s="40" t="inlineStr">
        <is>
          <t>Critical</t>
        </is>
      </c>
      <c r="P59" s="43" t="inlineStr">
        <is>
          <t>Thời gian: 838ms</t>
        </is>
      </c>
      <c r="Q59" s="40" t="inlineStr">
        <is>
          <t>Không đạt</t>
        </is>
      </c>
      <c r="R59" s="40" t="inlineStr">
        <is>
          <t>BUG-054</t>
        </is>
      </c>
      <c r="S59" s="40" t="inlineStr">
        <is>
          <t>23/05/2026 19:06</t>
        </is>
      </c>
      <c r="T59" s="43" t="inlineStr">
        <is>
          <t>R1:Không đạt</t>
        </is>
      </c>
      <c r="U59" s="40" t="inlineStr"/>
      <c r="V59" s="43" t="inlineStr"/>
    </row>
    <row r="60" ht="80" customHeight="1">
      <c r="A60" s="40" t="inlineStr">
        <is>
          <t>TC-057</t>
        </is>
      </c>
      <c r="B60" s="45" t="inlineStr">
        <is>
          <t>RED</t>
        </is>
      </c>
      <c r="C60" s="44" t="inlineStr">
        <is>
          <t>P1</t>
        </is>
      </c>
      <c r="D60" s="43" t="inlineStr">
        <is>
          <t>Create-type</t>
        </is>
      </c>
      <c r="E60" s="43" t="inlineStr">
        <is>
          <t>deadline là object → 400 IsDateString</t>
        </is>
      </c>
      <c r="F60" s="40" t="inlineStr">
        <is>
          <t>REQ-CASE-CREATE-TYPE-057</t>
        </is>
      </c>
      <c r="G60" s="40" t="inlineStr">
        <is>
          <t>Use case testing</t>
        </is>
      </c>
      <c r="H60" s="40" t="inlineStr">
        <is>
          <t>TB</t>
        </is>
      </c>
      <c r="I60" s="43" t="inlineStr">
        <is>
          <t>1. User đã login
2. Token JWT hợp lệ</t>
        </is>
      </c>
      <c r="J60" s="43" t="inlineStr">
        <is>
          <t>POST deadline={year:2026}</t>
        </is>
      </c>
      <c r="K60" s="43" t="inlineStr">
        <is>
          <t>deadline={year:2026}</t>
        </is>
      </c>
      <c r="L60" s="43" t="inlineStr">
        <is>
          <t>-</t>
        </is>
      </c>
      <c r="M60" s="43" t="inlineStr">
        <is>
          <t>400</t>
        </is>
      </c>
      <c r="N60" s="43" t="inlineStr">
        <is>
          <t>-</t>
        </is>
      </c>
      <c r="O60" s="40" t="inlineStr">
        <is>
          <t>Medium</t>
        </is>
      </c>
      <c r="P60" s="43" t="inlineStr">
        <is>
          <t>Thời gian: 193ms</t>
        </is>
      </c>
      <c r="Q60" s="40" t="inlineStr">
        <is>
          <t>Không đạt</t>
        </is>
      </c>
      <c r="R60" s="40" t="inlineStr">
        <is>
          <t>BUG-074</t>
        </is>
      </c>
      <c r="S60" s="40" t="inlineStr">
        <is>
          <t>23/05/2026 19:06</t>
        </is>
      </c>
      <c r="T60" s="43" t="inlineStr">
        <is>
          <t>R1:Không đạt</t>
        </is>
      </c>
      <c r="U60" s="40" t="inlineStr"/>
      <c r="V60" s="43" t="inlineStr"/>
    </row>
    <row r="61" ht="80" customHeight="1">
      <c r="A61" s="40" t="inlineStr">
        <is>
          <t>TC-058</t>
        </is>
      </c>
      <c r="B61" s="45" t="inlineStr">
        <is>
          <t>RED</t>
        </is>
      </c>
      <c r="C61" s="44" t="inlineStr">
        <is>
          <t>P1</t>
        </is>
      </c>
      <c r="D61" s="43" t="inlineStr">
        <is>
          <t>Create-type</t>
        </is>
      </c>
      <c r="E61" s="43" t="inlineStr">
        <is>
          <t>investigatorId là number 12345 → 400 IsString</t>
        </is>
      </c>
      <c r="F61" s="40" t="inlineStr">
        <is>
          <t>REQ-CASE-CREATE-TYPE-058</t>
        </is>
      </c>
      <c r="G61" s="40" t="inlineStr">
        <is>
          <t>Use case testing</t>
        </is>
      </c>
      <c r="H61" s="40" t="inlineStr">
        <is>
          <t>TB</t>
        </is>
      </c>
      <c r="I61" s="43" t="inlineStr">
        <is>
          <t>1. User đã login
2. Token JWT hợp lệ</t>
        </is>
      </c>
      <c r="J61" s="43" t="inlineStr">
        <is>
          <t>POST investigatorId=12345</t>
        </is>
      </c>
      <c r="K61" s="43" t="inlineStr">
        <is>
          <t>investigatorId=12345</t>
        </is>
      </c>
      <c r="L61" s="43" t="inlineStr">
        <is>
          <t>-</t>
        </is>
      </c>
      <c r="M61" s="43" t="inlineStr">
        <is>
          <t>400 IsString</t>
        </is>
      </c>
      <c r="N61" s="43" t="inlineStr">
        <is>
          <t>-</t>
        </is>
      </c>
      <c r="O61" s="40" t="inlineStr">
        <is>
          <t>Medium</t>
        </is>
      </c>
      <c r="P61" s="43" t="inlineStr">
        <is>
          <t>Thời gian: 125ms</t>
        </is>
      </c>
      <c r="Q61" s="40" t="inlineStr">
        <is>
          <t>Không đạt</t>
        </is>
      </c>
      <c r="R61" s="40" t="inlineStr">
        <is>
          <t>BUG-075</t>
        </is>
      </c>
      <c r="S61" s="40" t="inlineStr">
        <is>
          <t>23/05/2026 19:06</t>
        </is>
      </c>
      <c r="T61" s="43" t="inlineStr">
        <is>
          <t>R1:Không đạt</t>
        </is>
      </c>
      <c r="U61" s="40" t="inlineStr"/>
      <c r="V61" s="43" t="inlineStr"/>
    </row>
    <row r="62" ht="80" customHeight="1">
      <c r="A62" s="40" t="inlineStr">
        <is>
          <t>TC-059</t>
        </is>
      </c>
      <c r="B62" s="45" t="inlineStr">
        <is>
          <t>RED</t>
        </is>
      </c>
      <c r="C62" s="44" t="inlineStr">
        <is>
          <t>P1</t>
        </is>
      </c>
      <c r="D62" s="43" t="inlineStr">
        <is>
          <t>Create-team</t>
        </is>
      </c>
      <c r="E62" s="43" t="inlineStr">
        <is>
          <t>assignedTeamId của team đã isActive=false → field saved nhưng cảnh báo</t>
        </is>
      </c>
      <c r="F62" s="40" t="inlineStr">
        <is>
          <t>REQ-CASE-CREATE-TEAM-059</t>
        </is>
      </c>
      <c r="G62" s="40" t="inlineStr">
        <is>
          <t>Use case testing</t>
        </is>
      </c>
      <c r="H62" s="40" t="inlineStr">
        <is>
          <t>TB</t>
        </is>
      </c>
      <c r="I62" s="43" t="inlineStr">
        <is>
          <t>Team-INACTIVE-01 isActive=false</t>
        </is>
      </c>
      <c r="J62" s="43" t="inlineStr">
        <is>
          <t>POST assignedTeamId='Team-INACTIVE-01'</t>
        </is>
      </c>
      <c r="K62" s="43" t="inlineStr">
        <is>
          <t>assignedTeamId='Team-INACTIVE-01'</t>
        </is>
      </c>
      <c r="L62" s="43" t="inlineStr">
        <is>
          <t>Toast cảnh báo 'Team đã ngừng hoạt động'</t>
        </is>
      </c>
      <c r="M62" s="43" t="inlineStr">
        <is>
          <t>? — hiện tại không validate trong create</t>
        </is>
      </c>
      <c r="N62" s="43" t="inlineStr">
        <is>
          <t>Cần thêm validation isActive=true</t>
        </is>
      </c>
      <c r="O62" s="40" t="inlineStr">
        <is>
          <t>Medium</t>
        </is>
      </c>
      <c r="P62" s="43" t="inlineStr">
        <is>
          <t>Thời gian: 115ms</t>
        </is>
      </c>
      <c r="Q62" s="40" t="inlineStr">
        <is>
          <t>Không đạt</t>
        </is>
      </c>
      <c r="R62" s="40" t="inlineStr">
        <is>
          <t>BUG-073</t>
        </is>
      </c>
      <c r="S62" s="40" t="inlineStr">
        <is>
          <t>23/05/2026 19:06</t>
        </is>
      </c>
      <c r="T62" s="43" t="inlineStr">
        <is>
          <t>R1:Không đạt</t>
        </is>
      </c>
      <c r="U62" s="40" t="inlineStr"/>
      <c r="V62" s="43" t="inlineStr">
        <is>
          <t>Gap có thể trong logic — refer service check chỉ ở assignCase, không create</t>
        </is>
      </c>
    </row>
    <row r="63" ht="80" customHeight="1">
      <c r="A63" s="40" t="inlineStr">
        <is>
          <t>TC-060</t>
        </is>
      </c>
      <c r="B63" s="45" t="inlineStr">
        <is>
          <t>RED</t>
        </is>
      </c>
      <c r="C63" s="44" t="inlineStr">
        <is>
          <t>P1</t>
        </is>
      </c>
      <c r="D63" s="43" t="inlineStr">
        <is>
          <t>Create-prov</t>
        </is>
      </c>
      <c r="E63" s="43" t="inlineStr">
        <is>
          <t>caseProvenance=SELF_SURRENDER cần linkedPetitionId hoặc khác? — check enum</t>
        </is>
      </c>
      <c r="F63" s="40" t="inlineStr">
        <is>
          <t>REQ-CASE-CREATE-PROV-060</t>
        </is>
      </c>
      <c r="G63" s="40" t="inlineStr">
        <is>
          <t>Use case testing</t>
        </is>
      </c>
      <c r="H63" s="40" t="inlineStr">
        <is>
          <t>TB</t>
        </is>
      </c>
      <c r="I63" s="43" t="inlineStr">
        <is>
          <t>1. User đã login
2. Token JWT hợp lệ</t>
        </is>
      </c>
      <c r="J63" s="43" t="inlineStr">
        <is>
          <t>POST SELF_SURRENDER không link</t>
        </is>
      </c>
      <c r="K63" s="43" t="inlineStr">
        <is>
          <t>caseProvenance='SELF_SURRENDER'</t>
        </is>
      </c>
      <c r="L63" s="43" t="inlineStr">
        <is>
          <t>-</t>
        </is>
      </c>
      <c r="M63" s="43" t="inlineStr">
        <is>
          <t>201 nếu không có ValidateIf riêng cho SELF_SURRENDER</t>
        </is>
      </c>
      <c r="N63" s="43" t="inlineStr">
        <is>
          <t>Check schema xem có ValidateIf không</t>
        </is>
      </c>
      <c r="O63" s="40" t="inlineStr">
        <is>
          <t>Medium</t>
        </is>
      </c>
      <c r="P63" s="43" t="inlineStr">
        <is>
          <t>Thời gian: 167ms</t>
        </is>
      </c>
      <c r="Q63" s="40" t="inlineStr">
        <is>
          <t>Không đạt</t>
        </is>
      </c>
      <c r="R63" s="40" t="inlineStr">
        <is>
          <t>BUG-064</t>
        </is>
      </c>
      <c r="S63" s="40" t="inlineStr">
        <is>
          <t>23/05/2026 19:06</t>
        </is>
      </c>
      <c r="T63" s="43" t="inlineStr">
        <is>
          <t>R1:Không đạt</t>
        </is>
      </c>
      <c r="U63" s="40" t="inlineStr"/>
      <c r="V63" s="43" t="inlineStr">
        <is>
          <t>ValidateIf chỉ enforce với FROM_PETITION/FROM_INCIDENT</t>
        </is>
      </c>
    </row>
    <row r="64" ht="80" customHeight="1">
      <c r="A64" s="40" t="inlineStr">
        <is>
          <t>TC-061</t>
        </is>
      </c>
      <c r="B64" s="45" t="inlineStr">
        <is>
          <t>RED</t>
        </is>
      </c>
      <c r="C64" s="42" t="inlineStr">
        <is>
          <t>P0</t>
        </is>
      </c>
      <c r="D64" s="43" t="inlineStr">
        <is>
          <t>Create-name</t>
        </is>
      </c>
      <c r="E64" s="43" t="inlineStr">
        <is>
          <t>name='\t\t\t' (3 tab) bị trim thành '' → 400</t>
        </is>
      </c>
      <c r="F64" s="40" t="inlineStr">
        <is>
          <t>REQ-CASE-CREATE-NAME-061</t>
        </is>
      </c>
      <c r="G64" s="40" t="inlineStr">
        <is>
          <t>Use case testing</t>
        </is>
      </c>
      <c r="H64" s="40" t="inlineStr">
        <is>
          <t>Cao</t>
        </is>
      </c>
      <c r="I64" s="43" t="inlineStr">
        <is>
          <t>1. User đã login
2. Token JWT hợp lệ</t>
        </is>
      </c>
      <c r="J64" s="43" t="inlineStr">
        <is>
          <t>POST name='\t\t\t'</t>
        </is>
      </c>
      <c r="K64" s="43" t="inlineStr">
        <is>
          <t>name='\t\t\t' (3 tabs)</t>
        </is>
      </c>
      <c r="L64" s="43" t="inlineStr">
        <is>
          <t>Error 'Tên vụ án bắt buộc'</t>
        </is>
      </c>
      <c r="M64" s="43" t="inlineStr">
        <is>
          <t>400 IsNotEmpty sau Transform trim</t>
        </is>
      </c>
      <c r="N64" s="43" t="inlineStr">
        <is>
          <t>-</t>
        </is>
      </c>
      <c r="O64" s="40" t="inlineStr">
        <is>
          <t>High</t>
        </is>
      </c>
      <c r="P64" s="43" t="inlineStr">
        <is>
          <t>Đạt như expected. Thời gian: 34ms</t>
        </is>
      </c>
      <c r="Q64" s="40" t="inlineStr">
        <is>
          <t>Đạt</t>
        </is>
      </c>
      <c r="R64" s="40" t="inlineStr"/>
      <c r="S64" s="40" t="inlineStr">
        <is>
          <t>23/05/2026 19:06</t>
        </is>
      </c>
      <c r="T64" s="43" t="inlineStr">
        <is>
          <t>R1:Đạt</t>
        </is>
      </c>
      <c r="U64" s="40" t="inlineStr"/>
      <c r="V64" s="43" t="inlineStr"/>
    </row>
    <row r="65" ht="80" customHeight="1">
      <c r="A65" s="40" t="inlineStr">
        <is>
          <t>TC-062</t>
        </is>
      </c>
      <c r="B65" s="45" t="inlineStr">
        <is>
          <t>RED</t>
        </is>
      </c>
      <c r="C65" s="42" t="inlineStr">
        <is>
          <t>P0</t>
        </is>
      </c>
      <c r="D65" s="43" t="inlineStr">
        <is>
          <t>Create-name</t>
        </is>
      </c>
      <c r="E65" s="43" t="inlineStr">
        <is>
          <t>name='\n\n\n' (3 newline) bị trim → 400</t>
        </is>
      </c>
      <c r="F65" s="40" t="inlineStr">
        <is>
          <t>REQ-CASE-CREATE-NAME-062</t>
        </is>
      </c>
      <c r="G65" s="40" t="inlineStr">
        <is>
          <t>Use case testing</t>
        </is>
      </c>
      <c r="H65" s="40" t="inlineStr">
        <is>
          <t>Cao</t>
        </is>
      </c>
      <c r="I65" s="43" t="inlineStr">
        <is>
          <t>1. User đã login
2. Token JWT hợp lệ</t>
        </is>
      </c>
      <c r="J65" s="43" t="inlineStr">
        <is>
          <t>POST name='\n\n\n'</t>
        </is>
      </c>
      <c r="K65" s="43" t="inlineStr">
        <is>
          <t>name='\n\n\n'</t>
        </is>
      </c>
      <c r="L65" s="43" t="inlineStr">
        <is>
          <t>Error</t>
        </is>
      </c>
      <c r="M65" s="43" t="inlineStr">
        <is>
          <t>400</t>
        </is>
      </c>
      <c r="N65" s="43" t="inlineStr">
        <is>
          <t>-</t>
        </is>
      </c>
      <c r="O65" s="40" t="inlineStr">
        <is>
          <t>High</t>
        </is>
      </c>
      <c r="P65" s="43" t="inlineStr">
        <is>
          <t>Thời gian: 115ms</t>
        </is>
      </c>
      <c r="Q65" s="40" t="inlineStr">
        <is>
          <t>Không đạt</t>
        </is>
      </c>
      <c r="R65" s="40" t="inlineStr">
        <is>
          <t>BUG-055</t>
        </is>
      </c>
      <c r="S65" s="40" t="inlineStr">
        <is>
          <t>23/05/2026 19:06</t>
        </is>
      </c>
      <c r="T65" s="43" t="inlineStr">
        <is>
          <t>R1:Không đạt</t>
        </is>
      </c>
      <c r="U65" s="40" t="inlineStr"/>
      <c r="V65" s="43" t="inlineStr"/>
    </row>
    <row r="66" ht="80" customHeight="1">
      <c r="A66" s="40" t="inlineStr">
        <is>
          <t>TC-063</t>
        </is>
      </c>
      <c r="B66" s="45" t="inlineStr">
        <is>
          <t>RED</t>
        </is>
      </c>
      <c r="C66" s="44" t="inlineStr">
        <is>
          <t>P1</t>
        </is>
      </c>
      <c r="D66" s="43" t="inlineStr">
        <is>
          <t>Create-name</t>
        </is>
      </c>
      <c r="E66" s="43" t="inlineStr">
        <is>
          <t>name=' Vụ ABC ' (có space đầu/cuối) bị trim → save 'Vụ ABC'</t>
        </is>
      </c>
      <c r="F66" s="40" t="inlineStr">
        <is>
          <t>REQ-CASE-CREATE-NAME-063</t>
        </is>
      </c>
      <c r="G66" s="40" t="inlineStr">
        <is>
          <t>Use case testing</t>
        </is>
      </c>
      <c r="H66" s="40" t="inlineStr">
        <is>
          <t>TB</t>
        </is>
      </c>
      <c r="I66" s="43" t="inlineStr">
        <is>
          <t>1. User đã login
2. Token JWT hợp lệ</t>
        </is>
      </c>
      <c r="J66" s="43" t="inlineStr">
        <is>
          <t>POST name=' Vụ ABC '</t>
        </is>
      </c>
      <c r="K66" s="43" t="inlineStr">
        <is>
          <t>name=' Vụ ABC '</t>
        </is>
      </c>
      <c r="L66" s="43" t="inlineStr">
        <is>
          <t>Detail show name='Vụ ABC' (đã trim)</t>
        </is>
      </c>
      <c r="M66" s="43" t="inlineStr">
        <is>
          <t>201, data.name='Vụ ABC'</t>
        </is>
      </c>
      <c r="N66" s="43" t="inlineStr">
        <is>
          <t>DB name='Vụ ABC' (no leading/trailing space)</t>
        </is>
      </c>
      <c r="O66" s="40" t="inlineStr">
        <is>
          <t>Medium</t>
        </is>
      </c>
      <c r="P66" s="43" t="inlineStr">
        <is>
          <t>Đạt như expected. Thời gian: 705ms</t>
        </is>
      </c>
      <c r="Q66" s="40" t="inlineStr">
        <is>
          <t>Đạt</t>
        </is>
      </c>
      <c r="R66" s="40" t="inlineStr"/>
      <c r="S66" s="40" t="inlineStr">
        <is>
          <t>23/05/2026 19:06</t>
        </is>
      </c>
      <c r="T66" s="43" t="inlineStr">
        <is>
          <t>R1:Đạt</t>
        </is>
      </c>
      <c r="U66" s="40" t="inlineStr"/>
      <c r="V66" s="43" t="inlineStr"/>
    </row>
    <row r="67" ht="80" customHeight="1">
      <c r="A67" s="40" t="inlineStr">
        <is>
          <t>TC-064</t>
        </is>
      </c>
      <c r="B67" s="45" t="inlineStr">
        <is>
          <t>RED</t>
        </is>
      </c>
      <c r="C67" s="42" t="inlineStr">
        <is>
          <t>P0</t>
        </is>
      </c>
      <c r="D67" s="43" t="inlineStr">
        <is>
          <t>Create-prov</t>
        </is>
      </c>
      <c r="E67" s="43" t="inlineStr">
        <is>
          <t>Race condition: 2 user đồng thời FROM_PETITION cùng PET-001 → 1 ConflictException</t>
        </is>
      </c>
      <c r="F67" s="40" t="inlineStr">
        <is>
          <t>REQ-CASE-CREATE-PROV-064</t>
        </is>
      </c>
      <c r="G67" s="40" t="inlineStr">
        <is>
          <t>Use case testing</t>
        </is>
      </c>
      <c r="H67" s="40" t="inlineStr">
        <is>
          <t>Cao</t>
        </is>
      </c>
      <c r="I67" s="43" t="inlineStr">
        <is>
          <t>1. User đã login
2. Token JWT hợp lệ</t>
        </is>
      </c>
      <c r="J67" s="43" t="inlineStr">
        <is>
          <t>User A và B đồng thời POST FROM_PETITION với cùng linkedPetitionId='PET-001'</t>
        </is>
      </c>
      <c r="K67" s="43" t="inlineStr">
        <is>
          <t>2 request parallel</t>
        </is>
      </c>
      <c r="L67" s="43" t="inlineStr">
        <is>
          <t>User thắng race: success. User thua: 'Đơn thư đã được link bởi người dùng khác'</t>
        </is>
      </c>
      <c r="M67" s="43" t="inlineStr">
        <is>
          <t>1 trả 201, 1 trả 409</t>
        </is>
      </c>
      <c r="N67" s="43" t="inlineStr">
        <is>
          <t>Chỉ 1 Case tạo, Petition.linkedCaseId = winner's caseId, không double-link</t>
        </is>
      </c>
      <c r="O67" s="40" t="inlineStr">
        <is>
          <t>Critical</t>
        </is>
      </c>
      <c r="P67" s="43" t="inlineStr">
        <is>
          <t>Thời gian: 149ms</t>
        </is>
      </c>
      <c r="Q67" s="40" t="inlineStr">
        <is>
          <t>Không đạt</t>
        </is>
      </c>
      <c r="R67" s="40" t="inlineStr">
        <is>
          <t>BUG-065</t>
        </is>
      </c>
      <c r="S67" s="40" t="inlineStr">
        <is>
          <t>23/05/2026 19:06</t>
        </is>
      </c>
      <c r="T67" s="43" t="inlineStr">
        <is>
          <t>R1:Không đạt</t>
        </is>
      </c>
      <c r="U67" s="40" t="inlineStr"/>
      <c r="V67" s="43" t="inlineStr">
        <is>
          <t>Atomic via WHERE updatedAt + linkedCaseId=null + P2025/P2002 catch</t>
        </is>
      </c>
    </row>
    <row r="68" ht="80" customHeight="1">
      <c r="A68" s="40" t="inlineStr">
        <is>
          <t>TC-065</t>
        </is>
      </c>
      <c r="B68" s="45" t="inlineStr">
        <is>
          <t>RED</t>
        </is>
      </c>
      <c r="C68" s="44" t="inlineStr">
        <is>
          <t>P1</t>
        </is>
      </c>
      <c r="D68" s="43" t="inlineStr">
        <is>
          <t>Create-prov</t>
        </is>
      </c>
      <c r="E68" s="43" t="inlineStr">
        <is>
          <t>FROM_INCIDENT với Incident updatedAt mismatch → 409 'Vụ việc đã chỉnh sửa'</t>
        </is>
      </c>
      <c r="F68" s="40" t="inlineStr">
        <is>
          <t>REQ-CASE-CREATE-PROV-065</t>
        </is>
      </c>
      <c r="G68" s="40" t="inlineStr">
        <is>
          <t>Use case testing</t>
        </is>
      </c>
      <c r="H68" s="40" t="inlineStr">
        <is>
          <t>TB</t>
        </is>
      </c>
      <c r="I68" s="43" t="inlineStr">
        <is>
          <t>INC-001 updatedAt='2026-05-22T12:00'</t>
        </is>
      </c>
      <c r="J68" s="43" t="inlineStr">
        <is>
          <t>POST FROM_INCIDENT expectedIncidentUpdatedAt='2026-05-20T10:00' (cũ)</t>
        </is>
      </c>
      <c r="K68" s="43" t="inlineStr">
        <is>
          <t>expectedIncidentUpdatedAt='2026-05-20T10:00:00.000Z'</t>
        </is>
      </c>
      <c r="L68" s="43" t="inlineStr">
        <is>
          <t>Toast 'Vụ việc đã chỉnh sửa hoặc link bởi người dùng khác'</t>
        </is>
      </c>
      <c r="M68" s="43" t="inlineStr">
        <is>
          <t>409 ConflictException</t>
        </is>
      </c>
      <c r="N68" s="43" t="inlineStr">
        <is>
          <t>-</t>
        </is>
      </c>
      <c r="O68" s="40" t="inlineStr">
        <is>
          <t>High</t>
        </is>
      </c>
      <c r="P68" s="43" t="inlineStr">
        <is>
          <t>Thời gian: 109ms</t>
        </is>
      </c>
      <c r="Q68" s="40" t="inlineStr">
        <is>
          <t>Không đạt</t>
        </is>
      </c>
      <c r="R68" s="40" t="inlineStr">
        <is>
          <t>BUG-066</t>
        </is>
      </c>
      <c r="S68" s="40" t="inlineStr">
        <is>
          <t>23/05/2026 19:06</t>
        </is>
      </c>
      <c r="T68" s="43" t="inlineStr">
        <is>
          <t>R1:Không đạt</t>
        </is>
      </c>
      <c r="U68" s="40" t="inlineStr"/>
      <c r="V68" s="43" t="inlineStr"/>
    </row>
    <row r="69" ht="80" customHeight="1">
      <c r="A69" s="40" t="inlineStr">
        <is>
          <t>TC-066</t>
        </is>
      </c>
      <c r="B69" s="45" t="inlineStr">
        <is>
          <t>RED</t>
        </is>
      </c>
      <c r="C69" s="44" t="inlineStr">
        <is>
          <t>P1</t>
        </is>
      </c>
      <c r="D69" s="43" t="inlineStr">
        <is>
          <t>Create-prov</t>
        </is>
      </c>
      <c r="E69" s="43" t="inlineStr">
        <is>
          <t>FROM_PETITION + ngayKhoiTo trước Petition.receivedDate? — business logic cần check</t>
        </is>
      </c>
      <c r="F69" s="40" t="inlineStr">
        <is>
          <t>REQ-CASE-CREATE-PROV-066</t>
        </is>
      </c>
      <c r="G69" s="40" t="inlineStr">
        <is>
          <t>Use case testing</t>
        </is>
      </c>
      <c r="H69" s="40" t="inlineStr">
        <is>
          <t>TB</t>
        </is>
      </c>
      <c r="I69" s="43" t="inlineStr">
        <is>
          <t>1. User đã login
2. Token JWT hợp lệ</t>
        </is>
      </c>
      <c r="J69" s="43" t="inlineStr">
        <is>
          <t>POST FROM_PETITION với ngayKhoiTo='2025-01-01' (trước Petition.receivedDate)</t>
        </is>
      </c>
      <c r="K69" s="43" t="inlineStr">
        <is>
          <t>ngayKhoiTo='2025-01-01'</t>
        </is>
      </c>
      <c r="L69" s="43" t="inlineStr">
        <is>
          <t>-</t>
        </is>
      </c>
      <c r="M69" s="43" t="inlineStr">
        <is>
          <t>? — hiện không validate</t>
        </is>
      </c>
      <c r="N69" s="43" t="inlineStr">
        <is>
          <t>Cần audit business rule</t>
        </is>
      </c>
      <c r="O69" s="40" t="inlineStr">
        <is>
          <t>Low</t>
        </is>
      </c>
      <c r="P69" s="43" t="inlineStr">
        <is>
          <t>Thời gian: 167ms</t>
        </is>
      </c>
      <c r="Q69" s="40" t="inlineStr">
        <is>
          <t>Không đạt</t>
        </is>
      </c>
      <c r="R69" s="40" t="inlineStr">
        <is>
          <t>BUG-067</t>
        </is>
      </c>
      <c r="S69" s="40" t="inlineStr">
        <is>
          <t>23/05/2026 19:06</t>
        </is>
      </c>
      <c r="T69" s="43" t="inlineStr">
        <is>
          <t>R1:Không đạt</t>
        </is>
      </c>
      <c r="U69" s="40" t="inlineStr"/>
      <c r="V69" s="43" t="inlineStr">
        <is>
          <t>Gap nếu cần enforce</t>
        </is>
      </c>
    </row>
    <row r="70" ht="80" customHeight="1">
      <c r="A70" s="40" t="inlineStr">
        <is>
          <t>TC-067</t>
        </is>
      </c>
      <c r="B70" s="41" t="inlineStr">
        <is>
          <t>GREEN</t>
        </is>
      </c>
      <c r="C70" s="42" t="inlineStr">
        <is>
          <t>P0</t>
        </is>
      </c>
      <c r="D70" s="43" t="inlineStr">
        <is>
          <t>List</t>
        </is>
      </c>
      <c r="E70" s="43" t="inlineStr">
        <is>
          <t>GET /cases trả paginated 20 items default sorted createdAt desc</t>
        </is>
      </c>
      <c r="F70" s="40" t="inlineStr">
        <is>
          <t>REQ-CASE-LIST-067</t>
        </is>
      </c>
      <c r="G70" s="40" t="inlineStr">
        <is>
          <t>Use case testing</t>
        </is>
      </c>
      <c r="H70" s="40" t="inlineStr">
        <is>
          <t>Cao</t>
        </is>
      </c>
      <c r="I70" s="43" t="inlineStr">
        <is>
          <t>DB có ≥30 Case</t>
        </is>
      </c>
      <c r="J70" s="43" t="inlineStr">
        <is>
          <t>GET /api/v1/cases</t>
        </is>
      </c>
      <c r="K70" s="43" t="inlineStr">
        <is>
          <t>query: (none)</t>
        </is>
      </c>
      <c r="L70" s="43" t="inlineStr">
        <is>
          <t>Table show 20 row, pagination 1 of 2</t>
        </is>
      </c>
      <c r="M70" s="43" t="inlineStr">
        <is>
          <t>200, data=[20 items], total=30, page=1, pageSize=20, sort createdAt desc</t>
        </is>
      </c>
      <c r="N70" s="43" t="inlineStr">
        <is>
          <t>-</t>
        </is>
      </c>
      <c r="O70" s="40" t="inlineStr">
        <is>
          <t>High</t>
        </is>
      </c>
      <c r="P70" s="43" t="inlineStr">
        <is>
          <t>Thời gian: 155ms</t>
        </is>
      </c>
      <c r="Q70" s="40" t="inlineStr">
        <is>
          <t>Không đạt</t>
        </is>
      </c>
      <c r="R70" s="40" t="inlineStr">
        <is>
          <t>BUG-306</t>
        </is>
      </c>
      <c r="S70" s="40" t="inlineStr">
        <is>
          <t>23/05/2026 19:06</t>
        </is>
      </c>
      <c r="T70" s="43" t="inlineStr">
        <is>
          <t>R1:Không đạt</t>
        </is>
      </c>
      <c r="U70" s="40" t="inlineStr"/>
      <c r="V70" s="43" t="inlineStr"/>
    </row>
    <row r="71" ht="80" customHeight="1">
      <c r="A71" s="40" t="inlineStr">
        <is>
          <t>TC-068</t>
        </is>
      </c>
      <c r="B71" s="41" t="inlineStr">
        <is>
          <t>GREEN</t>
        </is>
      </c>
      <c r="C71" s="42" t="inlineStr">
        <is>
          <t>P0</t>
        </is>
      </c>
      <c r="D71" s="43" t="inlineStr">
        <is>
          <t>List</t>
        </is>
      </c>
      <c r="E71" s="43" t="inlineStr">
        <is>
          <t>GET /cases?limit=50 trả tối đa 50</t>
        </is>
      </c>
      <c r="F71" s="40" t="inlineStr">
        <is>
          <t>REQ-CASE-LIST-068</t>
        </is>
      </c>
      <c r="G71" s="40" t="inlineStr">
        <is>
          <t>Use case testing</t>
        </is>
      </c>
      <c r="H71" s="40" t="inlineStr">
        <is>
          <t>Cao</t>
        </is>
      </c>
      <c r="I71" s="43" t="inlineStr">
        <is>
          <t>1. User đã login
2. Token JWT hợp lệ</t>
        </is>
      </c>
      <c r="J71" s="43" t="inlineStr">
        <is>
          <t>GET /cases?limit=50</t>
        </is>
      </c>
      <c r="K71" s="43" t="inlineStr">
        <is>
          <t>limit=50</t>
        </is>
      </c>
      <c r="L71" s="43" t="inlineStr">
        <is>
          <t>Table 50 row</t>
        </is>
      </c>
      <c r="M71" s="43" t="inlineStr">
        <is>
          <t>200, data.length≤50</t>
        </is>
      </c>
      <c r="N71" s="43" t="inlineStr">
        <is>
          <t>-</t>
        </is>
      </c>
      <c r="O71" s="40" t="inlineStr">
        <is>
          <t>Medium</t>
        </is>
      </c>
      <c r="P71" s="43" t="inlineStr">
        <is>
          <t>Thời gian: 148ms</t>
        </is>
      </c>
      <c r="Q71" s="40" t="inlineStr">
        <is>
          <t>Không đạt</t>
        </is>
      </c>
      <c r="R71" s="40" t="inlineStr">
        <is>
          <t>BUG-307</t>
        </is>
      </c>
      <c r="S71" s="40" t="inlineStr">
        <is>
          <t>23/05/2026 19:06</t>
        </is>
      </c>
      <c r="T71" s="43" t="inlineStr">
        <is>
          <t>R1:Không đạt</t>
        </is>
      </c>
      <c r="U71" s="40" t="inlineStr"/>
      <c r="V71" s="43" t="inlineStr"/>
    </row>
    <row r="72" ht="80" customHeight="1">
      <c r="A72" s="40" t="inlineStr">
        <is>
          <t>TC-069</t>
        </is>
      </c>
      <c r="B72" s="45" t="inlineStr">
        <is>
          <t>RED</t>
        </is>
      </c>
      <c r="C72" s="42" t="inlineStr">
        <is>
          <t>P0</t>
        </is>
      </c>
      <c r="D72" s="43" t="inlineStr">
        <is>
          <t>List</t>
        </is>
      </c>
      <c r="E72" s="43" t="inlineStr">
        <is>
          <t>GET /cases?limit=101 → 400 @Max(100)</t>
        </is>
      </c>
      <c r="F72" s="40" t="inlineStr">
        <is>
          <t>REQ-CASE-LIST-069</t>
        </is>
      </c>
      <c r="G72" s="40" t="inlineStr">
        <is>
          <t>Use case testing</t>
        </is>
      </c>
      <c r="H72" s="40" t="inlineStr">
        <is>
          <t>Cao</t>
        </is>
      </c>
      <c r="I72" s="43" t="inlineStr">
        <is>
          <t>1. User đã login
2. Token JWT hợp lệ</t>
        </is>
      </c>
      <c r="J72" s="43" t="inlineStr">
        <is>
          <t>GET ?limit=101</t>
        </is>
      </c>
      <c r="K72" s="43" t="inlineStr">
        <is>
          <t>limit=101</t>
        </is>
      </c>
      <c r="L72" s="43" t="inlineStr">
        <is>
          <t>-</t>
        </is>
      </c>
      <c r="M72" s="43" t="inlineStr">
        <is>
          <t>400 max 100</t>
        </is>
      </c>
      <c r="N72" s="43" t="inlineStr">
        <is>
          <t>-</t>
        </is>
      </c>
      <c r="O72" s="40" t="inlineStr">
        <is>
          <t>Medium</t>
        </is>
      </c>
      <c r="P72" s="43" t="inlineStr">
        <is>
          <t>Thời gian: 162ms</t>
        </is>
      </c>
      <c r="Q72" s="40" t="inlineStr">
        <is>
          <t>Không đạt</t>
        </is>
      </c>
      <c r="R72" s="40" t="inlineStr">
        <is>
          <t>BUG-308</t>
        </is>
      </c>
      <c r="S72" s="40" t="inlineStr">
        <is>
          <t>23/05/2026 19:06</t>
        </is>
      </c>
      <c r="T72" s="43" t="inlineStr">
        <is>
          <t>R1:Không đạt</t>
        </is>
      </c>
      <c r="U72" s="40" t="inlineStr"/>
      <c r="V72" s="43" t="inlineStr"/>
    </row>
    <row r="73" ht="80" customHeight="1">
      <c r="A73" s="40" t="inlineStr">
        <is>
          <t>TC-070</t>
        </is>
      </c>
      <c r="B73" s="45" t="inlineStr">
        <is>
          <t>RED</t>
        </is>
      </c>
      <c r="C73" s="44" t="inlineStr">
        <is>
          <t>P1</t>
        </is>
      </c>
      <c r="D73" s="43" t="inlineStr">
        <is>
          <t>List</t>
        </is>
      </c>
      <c r="E73" s="43" t="inlineStr">
        <is>
          <t>GET /cases?limit=0 → 400 @Min(1)</t>
        </is>
      </c>
      <c r="F73" s="40" t="inlineStr">
        <is>
          <t>REQ-CASE-LIST-070</t>
        </is>
      </c>
      <c r="G73" s="40" t="inlineStr">
        <is>
          <t>Use case testing</t>
        </is>
      </c>
      <c r="H73" s="40" t="inlineStr">
        <is>
          <t>TB</t>
        </is>
      </c>
      <c r="I73" s="43" t="inlineStr">
        <is>
          <t>1. User đã login
2. Token JWT hợp lệ</t>
        </is>
      </c>
      <c r="J73" s="43" t="inlineStr">
        <is>
          <t>GET ?limit=0</t>
        </is>
      </c>
      <c r="K73" s="43" t="inlineStr">
        <is>
          <t>limit=0</t>
        </is>
      </c>
      <c r="L73" s="43" t="inlineStr">
        <is>
          <t>-</t>
        </is>
      </c>
      <c r="M73" s="43" t="inlineStr">
        <is>
          <t>400 min 1</t>
        </is>
      </c>
      <c r="N73" s="43" t="inlineStr">
        <is>
          <t>-</t>
        </is>
      </c>
      <c r="O73" s="40" t="inlineStr">
        <is>
          <t>Medium</t>
        </is>
      </c>
      <c r="P73" s="43" t="inlineStr">
        <is>
          <t>Thời gian: 175ms</t>
        </is>
      </c>
      <c r="Q73" s="40" t="inlineStr">
        <is>
          <t>Không đạt</t>
        </is>
      </c>
      <c r="R73" s="40" t="inlineStr">
        <is>
          <t>BUG-309</t>
        </is>
      </c>
      <c r="S73" s="40" t="inlineStr">
        <is>
          <t>23/05/2026 19:06</t>
        </is>
      </c>
      <c r="T73" s="43" t="inlineStr">
        <is>
          <t>R1:Không đạt</t>
        </is>
      </c>
      <c r="U73" s="40" t="inlineStr"/>
      <c r="V73" s="43" t="inlineStr"/>
    </row>
    <row r="74" ht="80" customHeight="1">
      <c r="A74" s="40" t="inlineStr">
        <is>
          <t>TC-071</t>
        </is>
      </c>
      <c r="B74" s="45" t="inlineStr">
        <is>
          <t>RED</t>
        </is>
      </c>
      <c r="C74" s="44" t="inlineStr">
        <is>
          <t>P1</t>
        </is>
      </c>
      <c r="D74" s="43" t="inlineStr">
        <is>
          <t>List</t>
        </is>
      </c>
      <c r="E74" s="43" t="inlineStr">
        <is>
          <t>GET /cases?limit=-5 → 400</t>
        </is>
      </c>
      <c r="F74" s="40" t="inlineStr">
        <is>
          <t>REQ-CASE-LIST-071</t>
        </is>
      </c>
      <c r="G74" s="40" t="inlineStr">
        <is>
          <t>Use case testing</t>
        </is>
      </c>
      <c r="H74" s="40" t="inlineStr">
        <is>
          <t>TB</t>
        </is>
      </c>
      <c r="I74" s="43" t="inlineStr">
        <is>
          <t>1. User đã login
2. Token JWT hợp lệ</t>
        </is>
      </c>
      <c r="J74" s="43" t="inlineStr">
        <is>
          <t>GET ?limit=-5</t>
        </is>
      </c>
      <c r="K74" s="43" t="inlineStr">
        <is>
          <t>limit=-5</t>
        </is>
      </c>
      <c r="L74" s="43" t="inlineStr">
        <is>
          <t>-</t>
        </is>
      </c>
      <c r="M74" s="43" t="inlineStr">
        <is>
          <t>400</t>
        </is>
      </c>
      <c r="N74" s="43" t="inlineStr">
        <is>
          <t>-</t>
        </is>
      </c>
      <c r="O74" s="40" t="inlineStr">
        <is>
          <t>Medium</t>
        </is>
      </c>
      <c r="P74" s="43" t="inlineStr">
        <is>
          <t>Thời gian: 163ms</t>
        </is>
      </c>
      <c r="Q74" s="40" t="inlineStr">
        <is>
          <t>Không đạt</t>
        </is>
      </c>
      <c r="R74" s="40" t="inlineStr">
        <is>
          <t>BUG-310</t>
        </is>
      </c>
      <c r="S74" s="40" t="inlineStr">
        <is>
          <t>23/05/2026 19:06</t>
        </is>
      </c>
      <c r="T74" s="43" t="inlineStr">
        <is>
          <t>R1:Không đạt</t>
        </is>
      </c>
      <c r="U74" s="40" t="inlineStr"/>
      <c r="V74" s="43" t="inlineStr"/>
    </row>
    <row r="75" ht="80" customHeight="1">
      <c r="A75" s="40" t="inlineStr">
        <is>
          <t>TC-072</t>
        </is>
      </c>
      <c r="B75" s="45" t="inlineStr">
        <is>
          <t>RED</t>
        </is>
      </c>
      <c r="C75" s="44" t="inlineStr">
        <is>
          <t>P1</t>
        </is>
      </c>
      <c r="D75" s="43" t="inlineStr">
        <is>
          <t>List</t>
        </is>
      </c>
      <c r="E75" s="43" t="inlineStr">
        <is>
          <t>GET /cases?limit=abc (NaN) → 400 @IsInt</t>
        </is>
      </c>
      <c r="F75" s="40" t="inlineStr">
        <is>
          <t>REQ-CASE-LIST-072</t>
        </is>
      </c>
      <c r="G75" s="40" t="inlineStr">
        <is>
          <t>Use case testing</t>
        </is>
      </c>
      <c r="H75" s="40" t="inlineStr">
        <is>
          <t>TB</t>
        </is>
      </c>
      <c r="I75" s="43" t="inlineStr">
        <is>
          <t>1. User đã login
2. Token JWT hợp lệ</t>
        </is>
      </c>
      <c r="J75" s="43" t="inlineStr">
        <is>
          <t>GET ?limit=abc</t>
        </is>
      </c>
      <c r="K75" s="43" t="inlineStr">
        <is>
          <t>limit='abc'</t>
        </is>
      </c>
      <c r="L75" s="43" t="inlineStr">
        <is>
          <t>-</t>
        </is>
      </c>
      <c r="M75" s="43" t="inlineStr">
        <is>
          <t>400</t>
        </is>
      </c>
      <c r="N75" s="43" t="inlineStr">
        <is>
          <t>-</t>
        </is>
      </c>
      <c r="O75" s="40" t="inlineStr">
        <is>
          <t>Medium</t>
        </is>
      </c>
      <c r="P75" s="43" t="inlineStr">
        <is>
          <t>Thời gian: 143ms</t>
        </is>
      </c>
      <c r="Q75" s="40" t="inlineStr">
        <is>
          <t>Không đạt</t>
        </is>
      </c>
      <c r="R75" s="40" t="inlineStr">
        <is>
          <t>BUG-311</t>
        </is>
      </c>
      <c r="S75" s="40" t="inlineStr">
        <is>
          <t>23/05/2026 19:06</t>
        </is>
      </c>
      <c r="T75" s="43" t="inlineStr">
        <is>
          <t>R1:Không đạt</t>
        </is>
      </c>
      <c r="U75" s="40" t="inlineStr"/>
      <c r="V75" s="43" t="inlineStr"/>
    </row>
    <row r="76" ht="80" customHeight="1">
      <c r="A76" s="40" t="inlineStr">
        <is>
          <t>TC-073</t>
        </is>
      </c>
      <c r="B76" s="41" t="inlineStr">
        <is>
          <t>GREEN</t>
        </is>
      </c>
      <c r="C76" s="42" t="inlineStr">
        <is>
          <t>P0</t>
        </is>
      </c>
      <c r="D76" s="43" t="inlineStr">
        <is>
          <t>List</t>
        </is>
      </c>
      <c r="E76" s="43" t="inlineStr">
        <is>
          <t>Filter status=DANG_DIEU_TRA chỉ trả Case status đó</t>
        </is>
      </c>
      <c r="F76" s="40" t="inlineStr">
        <is>
          <t>REQ-CASE-LIST-073</t>
        </is>
      </c>
      <c r="G76" s="40" t="inlineStr">
        <is>
          <t>Use case testing</t>
        </is>
      </c>
      <c r="H76" s="40" t="inlineStr">
        <is>
          <t>Cao</t>
        </is>
      </c>
      <c r="I76" s="43" t="inlineStr">
        <is>
          <t>1. User đã login
2. Token JWT hợp lệ</t>
        </is>
      </c>
      <c r="J76" s="43" t="inlineStr">
        <is>
          <t>GET /cases?status=DANG_DIEU_TRA</t>
        </is>
      </c>
      <c r="K76" s="43" t="inlineStr">
        <is>
          <t>status='DANG_DIEU_TRA'</t>
        </is>
      </c>
      <c r="L76" s="43" t="inlineStr">
        <is>
          <t>Tất cả row có badge 'Đang điều tra'</t>
        </is>
      </c>
      <c r="M76" s="43" t="inlineStr">
        <is>
          <t>200, mọi data[].status=DANG_DIEU_TRA</t>
        </is>
      </c>
      <c r="N76" s="43" t="inlineStr">
        <is>
          <t>-</t>
        </is>
      </c>
      <c r="O76" s="40" t="inlineStr">
        <is>
          <t>High</t>
        </is>
      </c>
      <c r="P76" s="43" t="inlineStr">
        <is>
          <t>Thời gian: 145ms</t>
        </is>
      </c>
      <c r="Q76" s="40" t="inlineStr">
        <is>
          <t>Không đạt</t>
        </is>
      </c>
      <c r="R76" s="40" t="inlineStr">
        <is>
          <t>BUG-312</t>
        </is>
      </c>
      <c r="S76" s="40" t="inlineStr">
        <is>
          <t>23/05/2026 19:06</t>
        </is>
      </c>
      <c r="T76" s="43" t="inlineStr">
        <is>
          <t>R1:Không đạt</t>
        </is>
      </c>
      <c r="U76" s="40" t="inlineStr"/>
      <c r="V76" s="43" t="inlineStr"/>
    </row>
    <row r="77" ht="80" customHeight="1">
      <c r="A77" s="40" t="inlineStr">
        <is>
          <t>TC-074</t>
        </is>
      </c>
      <c r="B77" s="45" t="inlineStr">
        <is>
          <t>RED</t>
        </is>
      </c>
      <c r="C77" s="44" t="inlineStr">
        <is>
          <t>P1</t>
        </is>
      </c>
      <c r="D77" s="43" t="inlineStr">
        <is>
          <t>List</t>
        </is>
      </c>
      <c r="E77" s="43" t="inlineStr">
        <is>
          <t>Filter status=INVALID → 400 IsEnum</t>
        </is>
      </c>
      <c r="F77" s="40" t="inlineStr">
        <is>
          <t>REQ-CASE-LIST-074</t>
        </is>
      </c>
      <c r="G77" s="40" t="inlineStr">
        <is>
          <t>Use case testing</t>
        </is>
      </c>
      <c r="H77" s="40" t="inlineStr">
        <is>
          <t>TB</t>
        </is>
      </c>
      <c r="I77" s="43" t="inlineStr">
        <is>
          <t>1. User đã login
2. Token JWT hợp lệ</t>
        </is>
      </c>
      <c r="J77" s="43" t="inlineStr">
        <is>
          <t>GET ?status=INVALID</t>
        </is>
      </c>
      <c r="K77" s="43" t="inlineStr">
        <is>
          <t>status='INVALID'</t>
        </is>
      </c>
      <c r="L77" s="43" t="inlineStr">
        <is>
          <t>-</t>
        </is>
      </c>
      <c r="M77" s="43" t="inlineStr">
        <is>
          <t>400</t>
        </is>
      </c>
      <c r="N77" s="43" t="inlineStr">
        <is>
          <t>-</t>
        </is>
      </c>
      <c r="O77" s="40" t="inlineStr">
        <is>
          <t>Medium</t>
        </is>
      </c>
      <c r="P77" s="43" t="inlineStr">
        <is>
          <t>Thời gian: 173ms</t>
        </is>
      </c>
      <c r="Q77" s="40" t="inlineStr">
        <is>
          <t>Không đạt</t>
        </is>
      </c>
      <c r="R77" s="40" t="inlineStr">
        <is>
          <t>BUG-313</t>
        </is>
      </c>
      <c r="S77" s="40" t="inlineStr">
        <is>
          <t>23/05/2026 19:06</t>
        </is>
      </c>
      <c r="T77" s="43" t="inlineStr">
        <is>
          <t>R1:Không đạt</t>
        </is>
      </c>
      <c r="U77" s="40" t="inlineStr"/>
      <c r="V77" s="43" t="inlineStr"/>
    </row>
    <row r="78" ht="80" customHeight="1">
      <c r="A78" s="40" t="inlineStr">
        <is>
          <t>TC-075</t>
        </is>
      </c>
      <c r="B78" s="41" t="inlineStr">
        <is>
          <t>GREEN</t>
        </is>
      </c>
      <c r="C78" s="42" t="inlineStr">
        <is>
          <t>P0</t>
        </is>
      </c>
      <c r="D78" s="43" t="inlineStr">
        <is>
          <t>List</t>
        </is>
      </c>
      <c r="E78" s="43" t="inlineStr">
        <is>
          <t>Filter overdue=true trả case quá hạn</t>
        </is>
      </c>
      <c r="F78" s="40" t="inlineStr">
        <is>
          <t>REQ-CASE-LIST-075</t>
        </is>
      </c>
      <c r="G78" s="40" t="inlineStr">
        <is>
          <t>Use case testing</t>
        </is>
      </c>
      <c r="H78" s="40" t="inlineStr">
        <is>
          <t>Cao</t>
        </is>
      </c>
      <c r="I78" s="43" t="inlineStr">
        <is>
          <t>Có Case deadline='2026-05-10' (đã qua) status=DANG_DIEU_TRA</t>
        </is>
      </c>
      <c r="J78" s="43" t="inlineStr">
        <is>
          <t>GET /cases?overdue=true</t>
        </is>
      </c>
      <c r="K78" s="43" t="inlineStr">
        <is>
          <t>overdue=true</t>
        </is>
      </c>
      <c r="L78" s="43" t="inlineStr">
        <is>
          <t>Row hiển thị highlight đỏ 'Quá hạn'</t>
        </is>
      </c>
      <c r="M78" s="43" t="inlineStr">
        <is>
          <t>200, mỗi data[].deadline &lt; now() AND status NOT IN [DA_KET_LUAN, DA_LUU_TRU, DINH_CHI]</t>
        </is>
      </c>
      <c r="N78" s="43" t="inlineStr">
        <is>
          <t>-</t>
        </is>
      </c>
      <c r="O78" s="40" t="inlineStr">
        <is>
          <t>High</t>
        </is>
      </c>
      <c r="P78" s="43" t="inlineStr">
        <is>
          <t>Thời gian: 152ms</t>
        </is>
      </c>
      <c r="Q78" s="40" t="inlineStr">
        <is>
          <t>Không đạt</t>
        </is>
      </c>
      <c r="R78" s="40" t="inlineStr">
        <is>
          <t>BUG-314</t>
        </is>
      </c>
      <c r="S78" s="40" t="inlineStr">
        <is>
          <t>23/05/2026 19:06</t>
        </is>
      </c>
      <c r="T78" s="43" t="inlineStr">
        <is>
          <t>R1:Không đạt</t>
        </is>
      </c>
      <c r="U78" s="40" t="inlineStr"/>
      <c r="V78" s="43" t="inlineStr"/>
    </row>
    <row r="79" ht="80" customHeight="1">
      <c r="A79" s="40" t="inlineStr">
        <is>
          <t>TC-076</t>
        </is>
      </c>
      <c r="B79" s="41" t="inlineStr">
        <is>
          <t>GREEN</t>
        </is>
      </c>
      <c r="C79" s="42" t="inlineStr">
        <is>
          <t>P0</t>
        </is>
      </c>
      <c r="D79" s="43" t="inlineStr">
        <is>
          <t>List</t>
        </is>
      </c>
      <c r="E79" s="43" t="inlineStr">
        <is>
          <t>Filter overdue=true KHÔNG include Case DA_KET_LUAN dù deadline đã qua</t>
        </is>
      </c>
      <c r="F79" s="40" t="inlineStr">
        <is>
          <t>REQ-CASE-LIST-076</t>
        </is>
      </c>
      <c r="G79" s="40" t="inlineStr">
        <is>
          <t>Use case testing</t>
        </is>
      </c>
      <c r="H79" s="40" t="inlineStr">
        <is>
          <t>Cao</t>
        </is>
      </c>
      <c r="I79" s="43" t="inlineStr">
        <is>
          <t>Case-X deadline='2026-04-01', status=DA_KET_LUAN</t>
        </is>
      </c>
      <c r="J79" s="43" t="inlineStr">
        <is>
          <t>GET ?overdue=true</t>
        </is>
      </c>
      <c r="K79" s="43" t="inlineStr">
        <is>
          <t>overdue=true</t>
        </is>
      </c>
      <c r="L79" s="43" t="inlineStr">
        <is>
          <t>Case-X KHÔNG xuất hiện</t>
        </is>
      </c>
      <c r="M79" s="43" t="inlineStr">
        <is>
          <t>data[].id KHÔNG có Case-X</t>
        </is>
      </c>
      <c r="N79" s="43" t="inlineStr">
        <is>
          <t>-</t>
        </is>
      </c>
      <c r="O79" s="40" t="inlineStr">
        <is>
          <t>High</t>
        </is>
      </c>
      <c r="P79" s="43" t="inlineStr">
        <is>
          <t>Thời gian: 161ms</t>
        </is>
      </c>
      <c r="Q79" s="40" t="inlineStr">
        <is>
          <t>Không đạt</t>
        </is>
      </c>
      <c r="R79" s="40" t="inlineStr">
        <is>
          <t>BUG-315</t>
        </is>
      </c>
      <c r="S79" s="40" t="inlineStr">
        <is>
          <t>23/05/2026 19:06</t>
        </is>
      </c>
      <c r="T79" s="43" t="inlineStr">
        <is>
          <t>R1:Không đạt</t>
        </is>
      </c>
      <c r="U79" s="40" t="inlineStr"/>
      <c r="V79" s="43" t="inlineStr">
        <is>
          <t>status NOT IN clause</t>
        </is>
      </c>
    </row>
    <row r="80" ht="80" customHeight="1">
      <c r="A80" s="40" t="inlineStr">
        <is>
          <t>TC-077</t>
        </is>
      </c>
      <c r="B80" s="41" t="inlineStr">
        <is>
          <t>GREEN</t>
        </is>
      </c>
      <c r="C80" s="42" t="inlineStr">
        <is>
          <t>P0</t>
        </is>
      </c>
      <c r="D80" s="43" t="inlineStr">
        <is>
          <t>List</t>
        </is>
      </c>
      <c r="E80" s="43" t="inlineStr">
        <is>
          <t>Search 'Trộm cắp' tìm case có name/crime/unit chứa từ này (case-insensitive)</t>
        </is>
      </c>
      <c r="F80" s="40" t="inlineStr">
        <is>
          <t>REQ-CASE-LIST-077</t>
        </is>
      </c>
      <c r="G80" s="40" t="inlineStr">
        <is>
          <t>Use case testing</t>
        </is>
      </c>
      <c r="H80" s="40" t="inlineStr">
        <is>
          <t>Cao</t>
        </is>
      </c>
      <c r="I80" s="43" t="inlineStr">
        <is>
          <t>Case A name='Vụ Trộm Cắp Xe', Case B crime='trộm cắp tài sản'</t>
        </is>
      </c>
      <c r="J80" s="43" t="inlineStr">
        <is>
          <t>GET /cases?search=Trộm cắp</t>
        </is>
      </c>
      <c r="K80" s="43" t="inlineStr">
        <is>
          <t>search='Trộm cắp'</t>
        </is>
      </c>
      <c r="L80" s="43" t="inlineStr">
        <is>
          <t>Show cả A và B</t>
        </is>
      </c>
      <c r="M80" s="43" t="inlineStr">
        <is>
          <t>OR contains insensitive, return 2 results</t>
        </is>
      </c>
      <c r="N80" s="43" t="inlineStr">
        <is>
          <t>-</t>
        </is>
      </c>
      <c r="O80" s="40" t="inlineStr">
        <is>
          <t>High</t>
        </is>
      </c>
      <c r="P80" s="43" t="inlineStr">
        <is>
          <t>Thời gian: 148ms</t>
        </is>
      </c>
      <c r="Q80" s="40" t="inlineStr">
        <is>
          <t>Không đạt</t>
        </is>
      </c>
      <c r="R80" s="40" t="inlineStr">
        <is>
          <t>BUG-316</t>
        </is>
      </c>
      <c r="S80" s="40" t="inlineStr">
        <is>
          <t>23/05/2026 19:06</t>
        </is>
      </c>
      <c r="T80" s="43" t="inlineStr">
        <is>
          <t>R1:Không đạt</t>
        </is>
      </c>
      <c r="U80" s="40" t="inlineStr"/>
      <c r="V80" s="43" t="inlineStr"/>
    </row>
    <row r="81" ht="80" customHeight="1">
      <c r="A81" s="40" t="inlineStr">
        <is>
          <t>TC-078</t>
        </is>
      </c>
      <c r="B81" s="41" t="inlineStr">
        <is>
          <t>GREEN</t>
        </is>
      </c>
      <c r="C81" s="42" t="inlineStr">
        <is>
          <t>P0</t>
        </is>
      </c>
      <c r="D81" s="43" t="inlineStr">
        <is>
          <t>List</t>
        </is>
      </c>
      <c r="E81" s="43" t="inlineStr">
        <is>
          <t>Search với chữ có dấu vs không dấu (Unicode Vietnamese)</t>
        </is>
      </c>
      <c r="F81" s="40" t="inlineStr">
        <is>
          <t>REQ-CASE-LIST-078</t>
        </is>
      </c>
      <c r="G81" s="40" t="inlineStr">
        <is>
          <t>Use case testing</t>
        </is>
      </c>
      <c r="H81" s="40" t="inlineStr">
        <is>
          <t>Cao</t>
        </is>
      </c>
      <c r="I81" s="43" t="inlineStr">
        <is>
          <t>1. User đã login
2. Token JWT hợp lệ</t>
        </is>
      </c>
      <c r="J81" s="43" t="inlineStr">
        <is>
          <t>GET ?search=tron cap (không dấu)</t>
        </is>
      </c>
      <c r="K81" s="43" t="inlineStr">
        <is>
          <t>search='tron cap'</t>
        </is>
      </c>
      <c r="L81" s="43" t="inlineStr">
        <is>
          <t>-</t>
        </is>
      </c>
      <c r="M81" s="43" t="inlineStr">
        <is>
          <t>Postgres không tìm thấy nếu thiếu collation → cần unaccent extension</t>
        </is>
      </c>
      <c r="N81" s="43" t="inlineStr">
        <is>
          <t>-</t>
        </is>
      </c>
      <c r="O81" s="40" t="inlineStr">
        <is>
          <t>Medium</t>
        </is>
      </c>
      <c r="P81" s="43" t="inlineStr">
        <is>
          <t>Thời gian: 116ms</t>
        </is>
      </c>
      <c r="Q81" s="40" t="inlineStr">
        <is>
          <t>Không đạt</t>
        </is>
      </c>
      <c r="R81" s="40" t="inlineStr">
        <is>
          <t>BUG-317</t>
        </is>
      </c>
      <c r="S81" s="40" t="inlineStr">
        <is>
          <t>23/05/2026 19:06</t>
        </is>
      </c>
      <c r="T81" s="43" t="inlineStr">
        <is>
          <t>R1:Không đạt</t>
        </is>
      </c>
      <c r="U81" s="40" t="inlineStr"/>
      <c r="V81" s="43" t="inlineStr">
        <is>
          <t>Gap nếu Postgres mặc định case-insensitive nhưng accent-sensitive</t>
        </is>
      </c>
    </row>
    <row r="82" ht="80" customHeight="1">
      <c r="A82" s="40" t="inlineStr">
        <is>
          <t>TC-079</t>
        </is>
      </c>
      <c r="B82" s="41" t="inlineStr">
        <is>
          <t>GREEN</t>
        </is>
      </c>
      <c r="C82" s="44" t="inlineStr">
        <is>
          <t>P1</t>
        </is>
      </c>
      <c r="D82" s="43" t="inlineStr">
        <is>
          <t>List</t>
        </is>
      </c>
      <c r="E82" s="43" t="inlineStr">
        <is>
          <t>Filter fromDate='2026-05-01' &amp; toDate='2026-05-23' khoảng ngày</t>
        </is>
      </c>
      <c r="F82" s="40" t="inlineStr">
        <is>
          <t>REQ-CASE-LIST-079</t>
        </is>
      </c>
      <c r="G82" s="40" t="inlineStr">
        <is>
          <t>Use case testing</t>
        </is>
      </c>
      <c r="H82" s="40" t="inlineStr">
        <is>
          <t>TB</t>
        </is>
      </c>
      <c r="I82" s="43" t="inlineStr">
        <is>
          <t>1. User đã login
2. Token JWT hợp lệ</t>
        </is>
      </c>
      <c r="J82" s="43" t="inlineStr">
        <is>
          <t>GET ?fromDate=2026-05-01&amp;toDate=2026-05-23</t>
        </is>
      </c>
      <c r="K82" s="43" t="inlineStr">
        <is>
          <t>fromDate, toDate</t>
        </is>
      </c>
      <c r="L82" s="43" t="inlineStr">
        <is>
          <t>-</t>
        </is>
      </c>
      <c r="M82" s="43" t="inlineStr">
        <is>
          <t>data[].createdAt BETWEEN '2026-05-01' AND '2026-05-23T23:59:59.999Z'</t>
        </is>
      </c>
      <c r="N82" s="43" t="inlineStr">
        <is>
          <t>-</t>
        </is>
      </c>
      <c r="O82" s="40" t="inlineStr">
        <is>
          <t>Medium</t>
        </is>
      </c>
      <c r="P82" s="43" t="inlineStr">
        <is>
          <t>Thời gian: 184ms</t>
        </is>
      </c>
      <c r="Q82" s="40" t="inlineStr">
        <is>
          <t>Không đạt</t>
        </is>
      </c>
      <c r="R82" s="40" t="inlineStr">
        <is>
          <t>BUG-318</t>
        </is>
      </c>
      <c r="S82" s="40" t="inlineStr">
        <is>
          <t>23/05/2026 19:06</t>
        </is>
      </c>
      <c r="T82" s="43" t="inlineStr">
        <is>
          <t>R1:Không đạt</t>
        </is>
      </c>
      <c r="U82" s="40" t="inlineStr"/>
      <c r="V82" s="43" t="inlineStr"/>
    </row>
    <row r="83" ht="80" customHeight="1">
      <c r="A83" s="40" t="inlineStr">
        <is>
          <t>TC-080</t>
        </is>
      </c>
      <c r="B83" s="45" t="inlineStr">
        <is>
          <t>RED</t>
        </is>
      </c>
      <c r="C83" s="44" t="inlineStr">
        <is>
          <t>P1</t>
        </is>
      </c>
      <c r="D83" s="43" t="inlineStr">
        <is>
          <t>List</t>
        </is>
      </c>
      <c r="E83" s="43" t="inlineStr">
        <is>
          <t>toDate &lt; fromDate → vẫn trả empty (không 400)</t>
        </is>
      </c>
      <c r="F83" s="40" t="inlineStr">
        <is>
          <t>REQ-CASE-LIST-080</t>
        </is>
      </c>
      <c r="G83" s="40" t="inlineStr">
        <is>
          <t>Use case testing</t>
        </is>
      </c>
      <c r="H83" s="40" t="inlineStr">
        <is>
          <t>TB</t>
        </is>
      </c>
      <c r="I83" s="43" t="inlineStr">
        <is>
          <t>1. User đã login
2. Token JWT hợp lệ</t>
        </is>
      </c>
      <c r="J83" s="43" t="inlineStr">
        <is>
          <t>GET ?fromDate=2026-05-23&amp;toDate=2026-05-01</t>
        </is>
      </c>
      <c r="K83" s="43" t="inlineStr">
        <is>
          <t>fromDate&gt;toDate</t>
        </is>
      </c>
      <c r="L83" s="43" t="inlineStr">
        <is>
          <t>-</t>
        </is>
      </c>
      <c r="M83" s="43" t="inlineStr">
        <is>
          <t>200 với data=[]</t>
        </is>
      </c>
      <c r="N83" s="43" t="inlineStr">
        <is>
          <t>-</t>
        </is>
      </c>
      <c r="O83" s="40" t="inlineStr">
        <is>
          <t>Low</t>
        </is>
      </c>
      <c r="P83" s="43" t="inlineStr">
        <is>
          <t>Thời gian: 151ms</t>
        </is>
      </c>
      <c r="Q83" s="40" t="inlineStr">
        <is>
          <t>Không đạt</t>
        </is>
      </c>
      <c r="R83" s="40" t="inlineStr">
        <is>
          <t>BUG-319</t>
        </is>
      </c>
      <c r="S83" s="40" t="inlineStr">
        <is>
          <t>23/05/2026 19:06</t>
        </is>
      </c>
      <c r="T83" s="43" t="inlineStr">
        <is>
          <t>R1:Không đạt</t>
        </is>
      </c>
      <c r="U83" s="40" t="inlineStr"/>
      <c r="V83" s="43" t="inlineStr">
        <is>
          <t>Gap nếu cần 400 cho invalid range — hiện chấp nhận</t>
        </is>
      </c>
    </row>
    <row r="84" ht="80" customHeight="1">
      <c r="A84" s="40" t="inlineStr">
        <is>
          <t>TC-081</t>
        </is>
      </c>
      <c r="B84" s="41" t="inlineStr">
        <is>
          <t>GREEN</t>
        </is>
      </c>
      <c r="C84" s="44" t="inlineStr">
        <is>
          <t>P1</t>
        </is>
      </c>
      <c r="D84" s="43" t="inlineStr">
        <is>
          <t>List</t>
        </is>
      </c>
      <c r="E84" s="43" t="inlineStr">
        <is>
          <t>Filter capDoToiPham=RAT_NGHIEM_TRONG</t>
        </is>
      </c>
      <c r="F84" s="40" t="inlineStr">
        <is>
          <t>REQ-CASE-LIST-081</t>
        </is>
      </c>
      <c r="G84" s="40" t="inlineStr">
        <is>
          <t>Use case testing</t>
        </is>
      </c>
      <c r="H84" s="40" t="inlineStr">
        <is>
          <t>TB</t>
        </is>
      </c>
      <c r="I84" s="43" t="inlineStr">
        <is>
          <t>1. User đã login
2. Token JWT hợp lệ</t>
        </is>
      </c>
      <c r="J84" s="43" t="inlineStr">
        <is>
          <t>GET ?capDoToiPham=RAT_NGHIEM_TRONG</t>
        </is>
      </c>
      <c r="K84" s="43" t="inlineStr">
        <is>
          <t>capDoToiPham='RAT_NGHIEM_TRONG'</t>
        </is>
      </c>
      <c r="L84" s="43" t="inlineStr">
        <is>
          <t>-</t>
        </is>
      </c>
      <c r="M84" s="43" t="inlineStr">
        <is>
          <t>data[].capDoToiPham=RAT_NGHIEM_TRONG</t>
        </is>
      </c>
      <c r="N84" s="43" t="inlineStr">
        <is>
          <t>-</t>
        </is>
      </c>
      <c r="O84" s="40" t="inlineStr">
        <is>
          <t>Medium</t>
        </is>
      </c>
      <c r="P84" s="43" t="inlineStr">
        <is>
          <t>Thời gian: 186ms</t>
        </is>
      </c>
      <c r="Q84" s="40" t="inlineStr">
        <is>
          <t>Không đạt</t>
        </is>
      </c>
      <c r="R84" s="40" t="inlineStr">
        <is>
          <t>BUG-320</t>
        </is>
      </c>
      <c r="S84" s="40" t="inlineStr">
        <is>
          <t>23/05/2026 19:06</t>
        </is>
      </c>
      <c r="T84" s="43" t="inlineStr">
        <is>
          <t>R1:Không đạt</t>
        </is>
      </c>
      <c r="U84" s="40" t="inlineStr"/>
      <c r="V84" s="43" t="inlineStr"/>
    </row>
    <row r="85" ht="80" customHeight="1">
      <c r="A85" s="40" t="inlineStr">
        <is>
          <t>TC-082</t>
        </is>
      </c>
      <c r="B85" s="41" t="inlineStr">
        <is>
          <t>GREEN</t>
        </is>
      </c>
      <c r="C85" s="44" t="inlineStr">
        <is>
          <t>P1</t>
        </is>
      </c>
      <c r="D85" s="43" t="inlineStr">
        <is>
          <t>List</t>
        </is>
      </c>
      <c r="E85" s="43" t="inlineStr">
        <is>
          <t>Filter districtId qua subjects relation</t>
        </is>
      </c>
      <c r="F85" s="40" t="inlineStr">
        <is>
          <t>REQ-CASE-LIST-082</t>
        </is>
      </c>
      <c r="G85" s="40" t="inlineStr">
        <is>
          <t>Use case testing</t>
        </is>
      </c>
      <c r="H85" s="40" t="inlineStr">
        <is>
          <t>TB</t>
        </is>
      </c>
      <c r="I85" s="43" t="inlineStr">
        <is>
          <t>Subject S1 districtId='DIS-Q1' caseId='C1'</t>
        </is>
      </c>
      <c r="J85" s="43" t="inlineStr">
        <is>
          <t>GET ?districtId=DIS-Q1</t>
        </is>
      </c>
      <c r="K85" s="43" t="inlineStr">
        <is>
          <t>districtId='DIS-Q1'</t>
        </is>
      </c>
      <c r="L85" s="43" t="inlineStr">
        <is>
          <t>-</t>
        </is>
      </c>
      <c r="M85" s="43" t="inlineStr">
        <is>
          <t>data include C1 (qua subjects.some)</t>
        </is>
      </c>
      <c r="N85" s="43" t="inlineStr">
        <is>
          <t>-</t>
        </is>
      </c>
      <c r="O85" s="40" t="inlineStr">
        <is>
          <t>Medium</t>
        </is>
      </c>
      <c r="P85" s="43" t="inlineStr">
        <is>
          <t>Đạt như expected. Thời gian: 811ms</t>
        </is>
      </c>
      <c r="Q85" s="40" t="inlineStr">
        <is>
          <t>Đạt</t>
        </is>
      </c>
      <c r="R85" s="40" t="inlineStr"/>
      <c r="S85" s="40" t="inlineStr">
        <is>
          <t>23/05/2026 19:06</t>
        </is>
      </c>
      <c r="T85" s="43" t="inlineStr">
        <is>
          <t>R1:Đạt</t>
        </is>
      </c>
      <c r="U85" s="40" t="inlineStr"/>
      <c r="V85" s="43" t="inlineStr"/>
    </row>
    <row r="86" ht="80" customHeight="1">
      <c r="A86" s="40" t="inlineStr">
        <is>
          <t>TC-083</t>
        </is>
      </c>
      <c r="B86" s="41" t="inlineStr">
        <is>
          <t>GREEN</t>
        </is>
      </c>
      <c r="C86" s="44" t="inlineStr">
        <is>
          <t>P1</t>
        </is>
      </c>
      <c r="D86" s="43" t="inlineStr">
        <is>
          <t>List</t>
        </is>
      </c>
      <c r="E86" s="43" t="inlineStr">
        <is>
          <t>Sort sortBy=name sortOrder=asc</t>
        </is>
      </c>
      <c r="F86" s="40" t="inlineStr">
        <is>
          <t>REQ-CASE-LIST-083</t>
        </is>
      </c>
      <c r="G86" s="40" t="inlineStr">
        <is>
          <t>Use case testing</t>
        </is>
      </c>
      <c r="H86" s="40" t="inlineStr">
        <is>
          <t>TB</t>
        </is>
      </c>
      <c r="I86" s="43" t="inlineStr">
        <is>
          <t>1. User đã login
2. Token JWT hợp lệ</t>
        </is>
      </c>
      <c r="J86" s="43" t="inlineStr">
        <is>
          <t>GET ?sortBy=name&amp;sortOrder=asc</t>
        </is>
      </c>
      <c r="K86" s="43" t="inlineStr">
        <is>
          <t>sortBy='name', sortOrder='asc'</t>
        </is>
      </c>
      <c r="L86" s="43" t="inlineStr">
        <is>
          <t>Table sort A→Z by name</t>
        </is>
      </c>
      <c r="M86" s="43" t="inlineStr">
        <is>
          <t>orderBy name asc</t>
        </is>
      </c>
      <c r="N86" s="43" t="inlineStr">
        <is>
          <t>-</t>
        </is>
      </c>
      <c r="O86" s="40" t="inlineStr">
        <is>
          <t>Medium</t>
        </is>
      </c>
      <c r="P86" s="43" t="inlineStr">
        <is>
          <t>Đạt như expected. Thời gian: 82ms</t>
        </is>
      </c>
      <c r="Q86" s="40" t="inlineStr">
        <is>
          <t>Đạt</t>
        </is>
      </c>
      <c r="R86" s="40" t="inlineStr"/>
      <c r="S86" s="40" t="inlineStr">
        <is>
          <t>23/05/2026 19:06</t>
        </is>
      </c>
      <c r="T86" s="43" t="inlineStr">
        <is>
          <t>R1:Đạt</t>
        </is>
      </c>
      <c r="U86" s="40" t="inlineStr"/>
      <c r="V86" s="43" t="inlineStr"/>
    </row>
    <row r="87" ht="80" customHeight="1">
      <c r="A87" s="40" t="inlineStr">
        <is>
          <t>TC-084</t>
        </is>
      </c>
      <c r="B87" s="45" t="inlineStr">
        <is>
          <t>RED</t>
        </is>
      </c>
      <c r="C87" s="44" t="inlineStr">
        <is>
          <t>P1</t>
        </is>
      </c>
      <c r="D87" s="43" t="inlineStr">
        <is>
          <t>List</t>
        </is>
      </c>
      <c r="E87" s="43" t="inlineStr">
        <is>
          <t>sortBy='evil_field' → fallback về createdAt (security: prevent SQL injection)</t>
        </is>
      </c>
      <c r="F87" s="40" t="inlineStr">
        <is>
          <t>REQ-CASE-LIST-084</t>
        </is>
      </c>
      <c r="G87" s="40" t="inlineStr">
        <is>
          <t>Use case testing</t>
        </is>
      </c>
      <c r="H87" s="40" t="inlineStr">
        <is>
          <t>TB</t>
        </is>
      </c>
      <c r="I87" s="43" t="inlineStr">
        <is>
          <t>1. User đã login
2. Token JWT hợp lệ</t>
        </is>
      </c>
      <c r="J87" s="43" t="inlineStr">
        <is>
          <t>GET ?sortBy=password</t>
        </is>
      </c>
      <c r="K87" s="43" t="inlineStr">
        <is>
          <t>sortBy='password'</t>
        </is>
      </c>
      <c r="L87" s="43" t="inlineStr">
        <is>
          <t>-</t>
        </is>
      </c>
      <c r="M87" s="43" t="inlineStr">
        <is>
          <t>200, allowedSortFields filter → orderBy createdAt</t>
        </is>
      </c>
      <c r="N87" s="43" t="inlineStr">
        <is>
          <t>-</t>
        </is>
      </c>
      <c r="O87" s="40" t="inlineStr">
        <is>
          <t>High</t>
        </is>
      </c>
      <c r="P87" s="43" t="inlineStr">
        <is>
          <t>Đạt như expected. Thời gian: 135ms</t>
        </is>
      </c>
      <c r="Q87" s="40" t="inlineStr">
        <is>
          <t>Đạt</t>
        </is>
      </c>
      <c r="R87" s="40" t="inlineStr"/>
      <c r="S87" s="40" t="inlineStr">
        <is>
          <t>23/05/2026 19:06</t>
        </is>
      </c>
      <c r="T87" s="43" t="inlineStr">
        <is>
          <t>R1:Đạt</t>
        </is>
      </c>
      <c r="U87" s="40" t="inlineStr"/>
      <c r="V87" s="43" t="inlineStr">
        <is>
          <t>Whitelist sortBy chống SQLi qua orderBy</t>
        </is>
      </c>
    </row>
    <row r="88" ht="80" customHeight="1">
      <c r="A88" s="40" t="inlineStr">
        <is>
          <t>TC-085</t>
        </is>
      </c>
      <c r="B88" s="41" t="inlineStr">
        <is>
          <t>GREEN</t>
        </is>
      </c>
      <c r="C88" s="44" t="inlineStr">
        <is>
          <t>P1</t>
        </is>
      </c>
      <c r="D88" s="43" t="inlineStr">
        <is>
          <t>List</t>
        </is>
      </c>
      <c r="E88" s="43" t="inlineStr">
        <is>
          <t>Pagination offset=20 trả page 2</t>
        </is>
      </c>
      <c r="F88" s="40" t="inlineStr">
        <is>
          <t>REQ-CASE-LIST-085</t>
        </is>
      </c>
      <c r="G88" s="40" t="inlineStr">
        <is>
          <t>Use case testing</t>
        </is>
      </c>
      <c r="H88" s="40" t="inlineStr">
        <is>
          <t>TB</t>
        </is>
      </c>
      <c r="I88" s="43" t="inlineStr">
        <is>
          <t>1. User đã login
2. Token JWT hợp lệ</t>
        </is>
      </c>
      <c r="J88" s="43" t="inlineStr">
        <is>
          <t>GET ?limit=20&amp;offset=20</t>
        </is>
      </c>
      <c r="K88" s="43" t="inlineStr">
        <is>
          <t>limit=20, offset=20</t>
        </is>
      </c>
      <c r="L88" s="43" t="inlineStr">
        <is>
          <t>Page 2 of N</t>
        </is>
      </c>
      <c r="M88" s="43" t="inlineStr">
        <is>
          <t>data starts from item 21</t>
        </is>
      </c>
      <c r="N88" s="43" t="inlineStr">
        <is>
          <t>-</t>
        </is>
      </c>
      <c r="O88" s="40" t="inlineStr">
        <is>
          <t>Medium</t>
        </is>
      </c>
      <c r="P88" s="43" t="inlineStr">
        <is>
          <t>Đạt như expected. Thời gian: 196ms</t>
        </is>
      </c>
      <c r="Q88" s="40" t="inlineStr">
        <is>
          <t>Đạt</t>
        </is>
      </c>
      <c r="R88" s="40" t="inlineStr"/>
      <c r="S88" s="40" t="inlineStr">
        <is>
          <t>23/05/2026 19:06</t>
        </is>
      </c>
      <c r="T88" s="43" t="inlineStr">
        <is>
          <t>R1:Đạt</t>
        </is>
      </c>
      <c r="U88" s="40" t="inlineStr"/>
      <c r="V88" s="43" t="inlineStr"/>
    </row>
    <row r="89" ht="80" customHeight="1">
      <c r="A89" s="40" t="inlineStr">
        <is>
          <t>TC-086</t>
        </is>
      </c>
      <c r="B89" s="41" t="inlineStr">
        <is>
          <t>GREEN</t>
        </is>
      </c>
      <c r="C89" s="42" t="inlineStr">
        <is>
          <t>P0</t>
        </is>
      </c>
      <c r="D89" s="43" t="inlineStr">
        <is>
          <t>Detail</t>
        </is>
      </c>
      <c r="E89" s="43" t="inlineStr">
        <is>
          <t>GET /cases/:id trả full detail có investigator + petitions include</t>
        </is>
      </c>
      <c r="F89" s="40" t="inlineStr">
        <is>
          <t>REQ-CASE-DETAIL-086</t>
        </is>
      </c>
      <c r="G89" s="40" t="inlineStr">
        <is>
          <t>Use case testing</t>
        </is>
      </c>
      <c r="H89" s="40" t="inlineStr">
        <is>
          <t>Cao</t>
        </is>
      </c>
      <c r="I89" s="43" t="inlineStr">
        <is>
          <t>Case CASE-001</t>
        </is>
      </c>
      <c r="J89" s="43" t="inlineStr">
        <is>
          <t>GET /cases/CASE-001</t>
        </is>
      </c>
      <c r="K89" s="43" t="inlineStr">
        <is>
          <t>id='CASE-001'</t>
        </is>
      </c>
      <c r="L89" s="43" t="inlineStr">
        <is>
          <t>Detail page show name, status, investigator, deadline, petitions tab</t>
        </is>
      </c>
      <c r="M89" s="43" t="inlineStr">
        <is>
          <t>200, data.investigator{firstName,lastName,username,email}, data.petitions[]</t>
        </is>
      </c>
      <c r="N89" s="43" t="inlineStr">
        <is>
          <t>-</t>
        </is>
      </c>
      <c r="O89" s="40" t="inlineStr">
        <is>
          <t>Critical</t>
        </is>
      </c>
      <c r="P89" s="43" t="inlineStr">
        <is>
          <t>Đạt như expected. Thời gian: 850ms</t>
        </is>
      </c>
      <c r="Q89" s="40" t="inlineStr">
        <is>
          <t>Đạt</t>
        </is>
      </c>
      <c r="R89" s="40" t="inlineStr"/>
      <c r="S89" s="40" t="inlineStr">
        <is>
          <t>23/05/2026 19:06</t>
        </is>
      </c>
      <c r="T89" s="43" t="inlineStr">
        <is>
          <t>R1:Đạt</t>
        </is>
      </c>
      <c r="U89" s="40" t="inlineStr"/>
      <c r="V89" s="43" t="inlineStr"/>
    </row>
    <row r="90" ht="80" customHeight="1">
      <c r="A90" s="40" t="inlineStr">
        <is>
          <t>TC-087</t>
        </is>
      </c>
      <c r="B90" s="45" t="inlineStr">
        <is>
          <t>RED</t>
        </is>
      </c>
      <c r="C90" s="42" t="inlineStr">
        <is>
          <t>P0</t>
        </is>
      </c>
      <c r="D90" s="43" t="inlineStr">
        <is>
          <t>Detail</t>
        </is>
      </c>
      <c r="E90" s="43" t="inlineStr">
        <is>
          <t>GET /cases/NOT_EXIST → 404</t>
        </is>
      </c>
      <c r="F90" s="40" t="inlineStr">
        <is>
          <t>REQ-CASE-DETAIL-087</t>
        </is>
      </c>
      <c r="G90" s="40" t="inlineStr">
        <is>
          <t>Use case testing</t>
        </is>
      </c>
      <c r="H90" s="40" t="inlineStr">
        <is>
          <t>Cao</t>
        </is>
      </c>
      <c r="I90" s="43" t="inlineStr">
        <is>
          <t>1. User đã login
2. Token JWT hợp lệ</t>
        </is>
      </c>
      <c r="J90" s="43" t="inlineStr">
        <is>
          <t>GET /cases/NOT_EXIST</t>
        </is>
      </c>
      <c r="K90" s="43" t="inlineStr">
        <is>
          <t>id='NOT_EXIST'</t>
        </is>
      </c>
      <c r="L90" s="43" t="inlineStr">
        <is>
          <t>Toast 'Vụ án không tồn tại'</t>
        </is>
      </c>
      <c r="M90" s="43" t="inlineStr">
        <is>
          <t>404 NotFoundException</t>
        </is>
      </c>
      <c r="N90" s="43" t="inlineStr">
        <is>
          <t>-</t>
        </is>
      </c>
      <c r="O90" s="40" t="inlineStr">
        <is>
          <t>High</t>
        </is>
      </c>
      <c r="P90" s="43" t="inlineStr">
        <is>
          <t>Thời gian: 111ms</t>
        </is>
      </c>
      <c r="Q90" s="40" t="inlineStr">
        <is>
          <t>Không đạt</t>
        </is>
      </c>
      <c r="R90" s="40" t="inlineStr">
        <is>
          <t>BUG-148</t>
        </is>
      </c>
      <c r="S90" s="40" t="inlineStr">
        <is>
          <t>23/05/2026 19:06</t>
        </is>
      </c>
      <c r="T90" s="43" t="inlineStr">
        <is>
          <t>R1:Không đạt</t>
        </is>
      </c>
      <c r="U90" s="40" t="inlineStr"/>
      <c r="V90" s="43" t="inlineStr"/>
    </row>
    <row r="91" ht="80" customHeight="1">
      <c r="A91" s="40" t="inlineStr">
        <is>
          <t>TC-088</t>
        </is>
      </c>
      <c r="B91" s="45" t="inlineStr">
        <is>
          <t>RED</t>
        </is>
      </c>
      <c r="C91" s="42" t="inlineStr">
        <is>
          <t>P0</t>
        </is>
      </c>
      <c r="D91" s="43" t="inlineStr">
        <is>
          <t>Detail</t>
        </is>
      </c>
      <c r="E91" s="43" t="inlineStr">
        <is>
          <t>GET /cases/:id của Case đã soft-deleted → 404 (deletedAt IS NOT NULL)</t>
        </is>
      </c>
      <c r="F91" s="40" t="inlineStr">
        <is>
          <t>REQ-CASE-DETAIL-088</t>
        </is>
      </c>
      <c r="G91" s="40" t="inlineStr">
        <is>
          <t>Use case testing</t>
        </is>
      </c>
      <c r="H91" s="40" t="inlineStr">
        <is>
          <t>Cao</t>
        </is>
      </c>
      <c r="I91" s="43" t="inlineStr">
        <is>
          <t>CASE-DEL deletedAt='2026-05-20'</t>
        </is>
      </c>
      <c r="J91" s="43" t="inlineStr">
        <is>
          <t>GET /cases/CASE-DEL</t>
        </is>
      </c>
      <c r="K91" s="43" t="inlineStr">
        <is>
          <t>id of deleted</t>
        </is>
      </c>
      <c r="L91" s="43" t="inlineStr">
        <is>
          <t>404 page</t>
        </is>
      </c>
      <c r="M91" s="43" t="inlineStr">
        <is>
          <t>404 (where deletedAt:null filter)</t>
        </is>
      </c>
      <c r="N91" s="43" t="inlineStr">
        <is>
          <t>-</t>
        </is>
      </c>
      <c r="O91" s="40" t="inlineStr">
        <is>
          <t>High</t>
        </is>
      </c>
      <c r="P91" s="43" t="inlineStr">
        <is>
          <t>Thời gian: 131ms</t>
        </is>
      </c>
      <c r="Q91" s="40" t="inlineStr">
        <is>
          <t>Không đạt</t>
        </is>
      </c>
      <c r="R91" s="40" t="inlineStr">
        <is>
          <t>BUG-149</t>
        </is>
      </c>
      <c r="S91" s="40" t="inlineStr">
        <is>
          <t>23/05/2026 19:06</t>
        </is>
      </c>
      <c r="T91" s="43" t="inlineStr">
        <is>
          <t>R1:Không đạt</t>
        </is>
      </c>
      <c r="U91" s="40" t="inlineStr"/>
      <c r="V91" s="43" t="inlineStr"/>
    </row>
    <row r="92" ht="80" customHeight="1">
      <c r="A92" s="40" t="inlineStr">
        <is>
          <t>TC-089</t>
        </is>
      </c>
      <c r="B92" s="45" t="inlineStr">
        <is>
          <t>RED</t>
        </is>
      </c>
      <c r="C92" s="42" t="inlineStr">
        <is>
          <t>P0</t>
        </is>
      </c>
      <c r="D92" s="43" t="inlineStr">
        <is>
          <t>Detail</t>
        </is>
      </c>
      <c r="E92" s="43" t="inlineStr">
        <is>
          <t>GET /cases/:id của Case ngoài scope → 403</t>
        </is>
      </c>
      <c r="F92" s="40" t="inlineStr">
        <is>
          <t>REQ-CASE-DETAIL-089</t>
        </is>
      </c>
      <c r="G92" s="40" t="inlineStr">
        <is>
          <t>Use case testing</t>
        </is>
      </c>
      <c r="H92" s="40" t="inlineStr">
        <is>
          <t>Cao</t>
        </is>
      </c>
      <c r="I92" s="43" t="inlineStr">
        <is>
          <t>Login wardOfficer-Q1, CASE-Q3 thuộc Team-Q3</t>
        </is>
      </c>
      <c r="J92" s="43" t="inlineStr">
        <is>
          <t>GET /cases/CASE-Q3</t>
        </is>
      </c>
      <c r="K92" s="43" t="inlineStr">
        <is>
          <t>-</t>
        </is>
      </c>
      <c r="L92" s="43" t="inlineStr">
        <is>
          <t>Toast 'Bạn không có quyền truy cập bản ghi này'</t>
        </is>
      </c>
      <c r="M92" s="43" t="inlineStr">
        <is>
          <t>403 ForbiddenException (checkRecordInScope)</t>
        </is>
      </c>
      <c r="N92" s="43" t="inlineStr">
        <is>
          <t>-</t>
        </is>
      </c>
      <c r="O92" s="40" t="inlineStr">
        <is>
          <t>Critical</t>
        </is>
      </c>
      <c r="P92" s="43" t="inlineStr">
        <is>
          <t>Thời gian: 177ms</t>
        </is>
      </c>
      <c r="Q92" s="40" t="inlineStr">
        <is>
          <t>Không đạt</t>
        </is>
      </c>
      <c r="R92" s="40" t="inlineStr">
        <is>
          <t>BUG-150</t>
        </is>
      </c>
      <c r="S92" s="40" t="inlineStr">
        <is>
          <t>23/05/2026 19:06</t>
        </is>
      </c>
      <c r="T92" s="43" t="inlineStr">
        <is>
          <t>R1:Không đạt</t>
        </is>
      </c>
      <c r="U92" s="40" t="inlineStr"/>
      <c r="V92" s="43" t="inlineStr"/>
    </row>
    <row r="93" ht="80" customHeight="1">
      <c r="A93" s="40" t="inlineStr">
        <is>
          <t>TC-090</t>
        </is>
      </c>
      <c r="B93" s="41" t="inlineStr">
        <is>
          <t>GREEN</t>
        </is>
      </c>
      <c r="C93" s="42" t="inlineStr">
        <is>
          <t>P0</t>
        </is>
      </c>
      <c r="D93" s="43" t="inlineStr">
        <is>
          <t>Detail</t>
        </is>
      </c>
      <c r="E93" s="43" t="inlineStr">
        <is>
          <t>Dispatcher xem mọi Case không bị scope chặn</t>
        </is>
      </c>
      <c r="F93" s="40" t="inlineStr">
        <is>
          <t>REQ-CASE-DETAIL-090</t>
        </is>
      </c>
      <c r="G93" s="40" t="inlineStr">
        <is>
          <t>Use case testing</t>
        </is>
      </c>
      <c r="H93" s="40" t="inlineStr">
        <is>
          <t>Cao</t>
        </is>
      </c>
      <c r="I93" s="43" t="inlineStr">
        <is>
          <t>Login dispatcher@ canDispatch=true</t>
        </is>
      </c>
      <c r="J93" s="43" t="inlineStr">
        <is>
          <t>GET /cases/CASE-FOREIGN</t>
        </is>
      </c>
      <c r="K93" s="43" t="inlineStr">
        <is>
          <t>-</t>
        </is>
      </c>
      <c r="L93" s="43" t="inlineStr">
        <is>
          <t>200 detail</t>
        </is>
      </c>
      <c r="M93" s="43" t="inlineStr">
        <is>
          <t>200 (dispatcher bypass)</t>
        </is>
      </c>
      <c r="N93" s="43" t="inlineStr">
        <is>
          <t>-</t>
        </is>
      </c>
      <c r="O93" s="40" t="inlineStr">
        <is>
          <t>High</t>
        </is>
      </c>
      <c r="P93" s="43" t="inlineStr">
        <is>
          <t>Thời gian: 196ms</t>
        </is>
      </c>
      <c r="Q93" s="40" t="inlineStr">
        <is>
          <t>Không đạt</t>
        </is>
      </c>
      <c r="R93" s="40" t="inlineStr">
        <is>
          <t>BUG-151</t>
        </is>
      </c>
      <c r="S93" s="40" t="inlineStr">
        <is>
          <t>23/05/2026 19:06</t>
        </is>
      </c>
      <c r="T93" s="43" t="inlineStr">
        <is>
          <t>R1:Không đạt</t>
        </is>
      </c>
      <c r="U93" s="40" t="inlineStr"/>
      <c r="V93" s="43" t="inlineStr"/>
    </row>
    <row r="94" ht="80" customHeight="1">
      <c r="A94" s="40" t="inlineStr">
        <is>
          <t>TC-091</t>
        </is>
      </c>
      <c r="B94" s="41" t="inlineStr">
        <is>
          <t>GREEN</t>
        </is>
      </c>
      <c r="C94" s="42" t="inlineStr">
        <is>
          <t>P0</t>
        </is>
      </c>
      <c r="D94" s="43" t="inlineStr">
        <is>
          <t>Detail</t>
        </is>
      </c>
      <c r="E94" s="43" t="inlineStr">
        <is>
          <t>ADMIN xem mọi Case (no scope)</t>
        </is>
      </c>
      <c r="F94" s="40" t="inlineStr">
        <is>
          <t>REQ-CASE-DETAIL-091</t>
        </is>
      </c>
      <c r="G94" s="40" t="inlineStr">
        <is>
          <t>Use case testing</t>
        </is>
      </c>
      <c r="H94" s="40" t="inlineStr">
        <is>
          <t>Cao</t>
        </is>
      </c>
      <c r="I94" s="43" t="inlineStr">
        <is>
          <t>Login admin@</t>
        </is>
      </c>
      <c r="J94" s="43" t="inlineStr">
        <is>
          <t>GET /cases/CASE-ANY</t>
        </is>
      </c>
      <c r="K94" s="43" t="inlineStr">
        <is>
          <t>-</t>
        </is>
      </c>
      <c r="L94" s="43" t="inlineStr">
        <is>
          <t>200</t>
        </is>
      </c>
      <c r="M94" s="43" t="inlineStr">
        <is>
          <t>200 (dataScope=null → allow all)</t>
        </is>
      </c>
      <c r="N94" s="43" t="inlineStr">
        <is>
          <t>-</t>
        </is>
      </c>
      <c r="O94" s="40" t="inlineStr">
        <is>
          <t>High</t>
        </is>
      </c>
      <c r="P94" s="43" t="inlineStr">
        <is>
          <t>Thời gian: 177ms</t>
        </is>
      </c>
      <c r="Q94" s="40" t="inlineStr">
        <is>
          <t>Không đạt</t>
        </is>
      </c>
      <c r="R94" s="40" t="inlineStr">
        <is>
          <t>BUG-152</t>
        </is>
      </c>
      <c r="S94" s="40" t="inlineStr">
        <is>
          <t>23/05/2026 19:06</t>
        </is>
      </c>
      <c r="T94" s="43" t="inlineStr">
        <is>
          <t>R1:Không đạt</t>
        </is>
      </c>
      <c r="U94" s="40" t="inlineStr"/>
      <c r="V94" s="43" t="inlineStr"/>
    </row>
    <row r="95" ht="80" customHeight="1">
      <c r="A95" s="40" t="inlineStr">
        <is>
          <t>TC-092</t>
        </is>
      </c>
      <c r="B95" s="41" t="inlineStr">
        <is>
          <t>GREEN</t>
        </is>
      </c>
      <c r="C95" s="42" t="inlineStr">
        <is>
          <t>P0</t>
        </is>
      </c>
      <c r="D95" s="43" t="inlineStr">
        <is>
          <t>Detail</t>
        </is>
      </c>
      <c r="E95" s="43" t="inlineStr">
        <is>
          <t>Owner (investigator) xem được Case mình phụ trách</t>
        </is>
      </c>
      <c r="F95" s="40" t="inlineStr">
        <is>
          <t>REQ-CASE-DETAIL-092</t>
        </is>
      </c>
      <c r="G95" s="40" t="inlineStr">
        <is>
          <t>Use case testing</t>
        </is>
      </c>
      <c r="H95" s="40" t="inlineStr">
        <is>
          <t>Cao</t>
        </is>
      </c>
      <c r="I95" s="43" t="inlineStr">
        <is>
          <t>dieuTra1@ là investigatorId của CASE-001</t>
        </is>
      </c>
      <c r="J95" s="43" t="inlineStr">
        <is>
          <t>Login dieuTra1, GET /cases/CASE-001</t>
        </is>
      </c>
      <c r="K95" s="43" t="inlineStr">
        <is>
          <t>-</t>
        </is>
      </c>
      <c r="L95" s="43" t="inlineStr">
        <is>
          <t>200</t>
        </is>
      </c>
      <c r="M95" s="43" t="inlineStr">
        <is>
          <t>200 (ownerMatch)</t>
        </is>
      </c>
      <c r="N95" s="43" t="inlineStr">
        <is>
          <t>-</t>
        </is>
      </c>
      <c r="O95" s="40" t="inlineStr">
        <is>
          <t>High</t>
        </is>
      </c>
      <c r="P95" s="43" t="inlineStr">
        <is>
          <t>Thời gian: 205ms</t>
        </is>
      </c>
      <c r="Q95" s="40" t="inlineStr">
        <is>
          <t>Không đạt</t>
        </is>
      </c>
      <c r="R95" s="40" t="inlineStr">
        <is>
          <t>BUG-153</t>
        </is>
      </c>
      <c r="S95" s="40" t="inlineStr">
        <is>
          <t>23/05/2026 19:06</t>
        </is>
      </c>
      <c r="T95" s="43" t="inlineStr">
        <is>
          <t>R1:Không đạt</t>
        </is>
      </c>
      <c r="U95" s="40" t="inlineStr"/>
      <c r="V95" s="43" t="inlineStr"/>
    </row>
    <row r="96" ht="80" customHeight="1">
      <c r="A96" s="40" t="inlineStr">
        <is>
          <t>TC-093</t>
        </is>
      </c>
      <c r="B96" s="41" t="inlineStr">
        <is>
          <t>GREEN</t>
        </is>
      </c>
      <c r="C96" s="42" t="inlineStr">
        <is>
          <t>P0</t>
        </is>
      </c>
      <c r="D96" s="43" t="inlineStr">
        <is>
          <t>Detail</t>
        </is>
      </c>
      <c r="E96" s="43" t="inlineStr">
        <is>
          <t>Cùng team xem được Case của đồng nghiệp</t>
        </is>
      </c>
      <c r="F96" s="40" t="inlineStr">
        <is>
          <t>REQ-CASE-DETAIL-093</t>
        </is>
      </c>
      <c r="G96" s="40" t="inlineStr">
        <is>
          <t>Use case testing</t>
        </is>
      </c>
      <c r="H96" s="40" t="inlineStr">
        <is>
          <t>Cao</t>
        </is>
      </c>
      <c r="I96" s="43" t="inlineStr">
        <is>
          <t>dieuTra1 và dieuTra2 cùng Team-Q1, CASE-002 do dieuTra2 phụ trách assignedTeamId=Team-Q1</t>
        </is>
      </c>
      <c r="J96" s="43" t="inlineStr">
        <is>
          <t>Login dieuTra1, GET /cases/CASE-002</t>
        </is>
      </c>
      <c r="K96" s="43" t="inlineStr">
        <is>
          <t>-</t>
        </is>
      </c>
      <c r="L96" s="43" t="inlineStr">
        <is>
          <t>200</t>
        </is>
      </c>
      <c r="M96" s="43" t="inlineStr">
        <is>
          <t>200 (teamMatch)</t>
        </is>
      </c>
      <c r="N96" s="43" t="inlineStr">
        <is>
          <t>-</t>
        </is>
      </c>
      <c r="O96" s="40" t="inlineStr">
        <is>
          <t>High</t>
        </is>
      </c>
      <c r="P96" s="43" t="inlineStr">
        <is>
          <t>Thời gian: 174ms</t>
        </is>
      </c>
      <c r="Q96" s="40" t="inlineStr">
        <is>
          <t>Không đạt</t>
        </is>
      </c>
      <c r="R96" s="40" t="inlineStr">
        <is>
          <t>BUG-154</t>
        </is>
      </c>
      <c r="S96" s="40" t="inlineStr">
        <is>
          <t>23/05/2026 19:06</t>
        </is>
      </c>
      <c r="T96" s="43" t="inlineStr">
        <is>
          <t>R1:Không đạt</t>
        </is>
      </c>
      <c r="U96" s="40" t="inlineStr"/>
      <c r="V96" s="43" t="inlineStr"/>
    </row>
    <row r="97" ht="80" customHeight="1">
      <c r="A97" s="40" t="inlineStr">
        <is>
          <t>TC-094</t>
        </is>
      </c>
      <c r="B97" s="41" t="inlineStr">
        <is>
          <t>GREEN</t>
        </is>
      </c>
      <c r="C97" s="44" t="inlineStr">
        <is>
          <t>P1</t>
        </is>
      </c>
      <c r="D97" s="43" t="inlineStr">
        <is>
          <t>Detail</t>
        </is>
      </c>
      <c r="E97" s="43" t="inlineStr">
        <is>
          <t>User được xem unassigned Case của team mình (assignedTeamId=null + teamIds.length&gt;0)</t>
        </is>
      </c>
      <c r="F97" s="40" t="inlineStr">
        <is>
          <t>REQ-CASE-DETAIL-094</t>
        </is>
      </c>
      <c r="G97" s="40" t="inlineStr">
        <is>
          <t>Use case testing</t>
        </is>
      </c>
      <c r="H97" s="40" t="inlineStr">
        <is>
          <t>TB</t>
        </is>
      </c>
      <c r="I97" s="43" t="inlineStr">
        <is>
          <t>1. User đã login
2. Token JWT hợp lệ</t>
        </is>
      </c>
      <c r="J97" s="43" t="inlineStr">
        <is>
          <t>Login dieuTra1, GET /cases/CASE-UNASSIGNED</t>
        </is>
      </c>
      <c r="K97" s="43" t="inlineStr">
        <is>
          <t>-</t>
        </is>
      </c>
      <c r="L97" s="43" t="inlineStr">
        <is>
          <t>200</t>
        </is>
      </c>
      <c r="M97" s="43" t="inlineStr">
        <is>
          <t>200 (unassignedMatch)</t>
        </is>
      </c>
      <c r="N97" s="43" t="inlineStr">
        <is>
          <t>-</t>
        </is>
      </c>
      <c r="O97" s="40" t="inlineStr">
        <is>
          <t>Medium</t>
        </is>
      </c>
      <c r="P97" s="43" t="inlineStr">
        <is>
          <t>Thời gian: 158ms</t>
        </is>
      </c>
      <c r="Q97" s="40" t="inlineStr">
        <is>
          <t>Không đạt</t>
        </is>
      </c>
      <c r="R97" s="40" t="inlineStr">
        <is>
          <t>BUG-155</t>
        </is>
      </c>
      <c r="S97" s="40" t="inlineStr">
        <is>
          <t>23/05/2026 19:06</t>
        </is>
      </c>
      <c r="T97" s="43" t="inlineStr">
        <is>
          <t>R1:Không đạt</t>
        </is>
      </c>
      <c r="U97" s="40" t="inlineStr"/>
      <c r="V97" s="43" t="inlineStr"/>
    </row>
    <row r="98" ht="80" customHeight="1">
      <c r="A98" s="40" t="inlineStr">
        <is>
          <t>TC-095</t>
        </is>
      </c>
      <c r="B98" s="41" t="inlineStr">
        <is>
          <t>GREEN</t>
        </is>
      </c>
      <c r="C98" s="44" t="inlineStr">
        <is>
          <t>P1</t>
        </is>
      </c>
      <c r="D98" s="43" t="inlineStr">
        <is>
          <t>List</t>
        </is>
      </c>
      <c r="E98" s="43" t="inlineStr">
        <is>
          <t>Filter wardTeamId='WARD-Q5' (cross-ward view PC02)</t>
        </is>
      </c>
      <c r="F98" s="40" t="inlineStr">
        <is>
          <t>REQ-CASE-LIST-095</t>
        </is>
      </c>
      <c r="G98" s="40" t="inlineStr">
        <is>
          <t>Use case testing</t>
        </is>
      </c>
      <c r="H98" s="40" t="inlineStr">
        <is>
          <t>TB</t>
        </is>
      </c>
      <c r="I98" s="43" t="inlineStr">
        <is>
          <t>Login PC02 user</t>
        </is>
      </c>
      <c r="J98" s="43" t="inlineStr">
        <is>
          <t>GET ?wardTeamId='WARD-Q5'</t>
        </is>
      </c>
      <c r="K98" s="43" t="inlineStr">
        <is>
          <t>wardTeamId='WARD-Q5'</t>
        </is>
      </c>
      <c r="L98" s="43" t="inlineStr">
        <is>
          <t>-</t>
        </is>
      </c>
      <c r="M98" s="43" t="inlineStr">
        <is>
          <t>data filter assignedTeam.wardId=WARD-Q5</t>
        </is>
      </c>
      <c r="N98" s="43" t="inlineStr">
        <is>
          <t>-</t>
        </is>
      </c>
      <c r="O98" s="40" t="inlineStr">
        <is>
          <t>Medium</t>
        </is>
      </c>
      <c r="P98" s="43" t="inlineStr">
        <is>
          <t>Đạt như expected. Thời gian: 77ms</t>
        </is>
      </c>
      <c r="Q98" s="40" t="inlineStr">
        <is>
          <t>Đạt</t>
        </is>
      </c>
      <c r="R98" s="40" t="inlineStr"/>
      <c r="S98" s="40" t="inlineStr">
        <is>
          <t>23/05/2026 19:06</t>
        </is>
      </c>
      <c r="T98" s="43" t="inlineStr">
        <is>
          <t>R1:Đạt</t>
        </is>
      </c>
      <c r="U98" s="40" t="inlineStr"/>
      <c r="V98" s="43" t="inlineStr"/>
    </row>
    <row r="99" ht="80" customHeight="1">
      <c r="A99" s="40" t="inlineStr">
        <is>
          <t>TC-096</t>
        </is>
      </c>
      <c r="B99" s="41" t="inlineStr">
        <is>
          <t>GREEN</t>
        </is>
      </c>
      <c r="C99" s="44" t="inlineStr">
        <is>
          <t>P1</t>
        </is>
      </c>
      <c r="D99" s="43" t="inlineStr">
        <is>
          <t>List</t>
        </is>
      </c>
      <c r="E99" s="43" t="inlineStr">
        <is>
          <t>Filter investigatorId trả case của ĐTV cụ thể</t>
        </is>
      </c>
      <c r="F99" s="40" t="inlineStr">
        <is>
          <t>REQ-CASE-LIST-096</t>
        </is>
      </c>
      <c r="G99" s="40" t="inlineStr">
        <is>
          <t>Use case testing</t>
        </is>
      </c>
      <c r="H99" s="40" t="inlineStr">
        <is>
          <t>TB</t>
        </is>
      </c>
      <c r="I99" s="43" t="inlineStr">
        <is>
          <t>1. User đã login
2. Token JWT hợp lệ</t>
        </is>
      </c>
      <c r="J99" s="43" t="inlineStr">
        <is>
          <t>GET ?investigatorId=&lt;U001&gt;</t>
        </is>
      </c>
      <c r="K99" s="43" t="inlineStr">
        <is>
          <t>investigatorId='U001'</t>
        </is>
      </c>
      <c r="L99" s="43" t="inlineStr">
        <is>
          <t>-</t>
        </is>
      </c>
      <c r="M99" s="43" t="inlineStr">
        <is>
          <t>data[].investigatorId='U001'</t>
        </is>
      </c>
      <c r="N99" s="43" t="inlineStr">
        <is>
          <t>-</t>
        </is>
      </c>
      <c r="O99" s="40" t="inlineStr">
        <is>
          <t>Medium</t>
        </is>
      </c>
      <c r="P99" s="43" t="inlineStr">
        <is>
          <t>Đạt như expected. Thời gian: 119ms</t>
        </is>
      </c>
      <c r="Q99" s="40" t="inlineStr">
        <is>
          <t>Đạt</t>
        </is>
      </c>
      <c r="R99" s="40" t="inlineStr"/>
      <c r="S99" s="40" t="inlineStr">
        <is>
          <t>23/05/2026 19:06</t>
        </is>
      </c>
      <c r="T99" s="43" t="inlineStr">
        <is>
          <t>R1:Đạt</t>
        </is>
      </c>
      <c r="U99" s="40" t="inlineStr"/>
      <c r="V99" s="43" t="inlineStr"/>
    </row>
    <row r="100" ht="80" customHeight="1">
      <c r="A100" s="40" t="inlineStr">
        <is>
          <t>TC-097</t>
        </is>
      </c>
      <c r="B100" s="41" t="inlineStr">
        <is>
          <t>GREEN</t>
        </is>
      </c>
      <c r="C100" s="42" t="inlineStr">
        <is>
          <t>P0</t>
        </is>
      </c>
      <c r="D100" s="43" t="inlineStr">
        <is>
          <t>Update</t>
        </is>
      </c>
      <c r="E100" s="43" t="inlineStr">
        <is>
          <t>Update name + crime case mình owner</t>
        </is>
      </c>
      <c r="F100" s="40" t="inlineStr">
        <is>
          <t>REQ-CASE-UPDATE-097</t>
        </is>
      </c>
      <c r="G100" s="40" t="inlineStr">
        <is>
          <t>Use case testing</t>
        </is>
      </c>
      <c r="H100" s="40" t="inlineStr">
        <is>
          <t>Cao</t>
        </is>
      </c>
      <c r="I100" s="43" t="inlineStr">
        <is>
          <t>CASE-001 investigatorId=dieuTra1, status=TIEP_NHAN</t>
        </is>
      </c>
      <c r="J100" s="43" t="inlineStr">
        <is>
          <t>PUT /cases/CASE-001 với {name:'Đã sửa', crime:'Đã sửa loại tội'}</t>
        </is>
      </c>
      <c r="K100" s="43" t="inlineStr">
        <is>
          <t>name='Đã sửa'</t>
        </is>
      </c>
      <c r="L100" s="43" t="inlineStr">
        <is>
          <t>Toast 'Cập nhật thành công', detail show new value</t>
        </is>
      </c>
      <c r="M100" s="43" t="inlineStr">
        <is>
          <t>200, data.name='Đã sửa'</t>
        </is>
      </c>
      <c r="N100" s="43" t="inlineStr">
        <is>
          <t>Audit CASE_UPDATED với before/after diff</t>
        </is>
      </c>
      <c r="O100" s="40" t="inlineStr">
        <is>
          <t>Critical</t>
        </is>
      </c>
      <c r="P100" s="43" t="inlineStr">
        <is>
          <t>Thời gian: 197ms</t>
        </is>
      </c>
      <c r="Q100" s="40" t="inlineStr">
        <is>
          <t>Không đạt</t>
        </is>
      </c>
      <c r="R100" s="40" t="inlineStr">
        <is>
          <t>BUG-500</t>
        </is>
      </c>
      <c r="S100" s="40" t="inlineStr">
        <is>
          <t>23/05/2026 19:06</t>
        </is>
      </c>
      <c r="T100" s="43" t="inlineStr">
        <is>
          <t>R1:Không đạt</t>
        </is>
      </c>
      <c r="U100" s="40" t="inlineStr"/>
      <c r="V100" s="43" t="inlineStr"/>
    </row>
    <row r="101" ht="80" customHeight="1">
      <c r="A101" s="40" t="inlineStr">
        <is>
          <t>TC-098</t>
        </is>
      </c>
      <c r="B101" s="41" t="inlineStr">
        <is>
          <t>GREEN</t>
        </is>
      </c>
      <c r="C101" s="42" t="inlineStr">
        <is>
          <t>P0</t>
        </is>
      </c>
      <c r="D101" s="43" t="inlineStr">
        <is>
          <t>Update</t>
        </is>
      </c>
      <c r="E101" s="43" t="inlineStr">
        <is>
          <t>Update với expectedUpdatedAt khớp current → success</t>
        </is>
      </c>
      <c r="F101" s="40" t="inlineStr">
        <is>
          <t>REQ-CASE-UPDATE-098</t>
        </is>
      </c>
      <c r="G101" s="40" t="inlineStr">
        <is>
          <t>Use case testing</t>
        </is>
      </c>
      <c r="H101" s="40" t="inlineStr">
        <is>
          <t>Cao</t>
        </is>
      </c>
      <c r="I101" s="43" t="inlineStr">
        <is>
          <t>CASE-001 updatedAt='2026-05-22T10:00:00.000Z'</t>
        </is>
      </c>
      <c r="J101" s="43" t="inlineStr">
        <is>
          <t>PUT với expectedUpdatedAt='2026-05-22T10:00:00.000Z' và body sửa</t>
        </is>
      </c>
      <c r="K101" s="43" t="inlineStr">
        <is>
          <t>expectedUpdatedAt='2026-05-22T10:00:00.000Z'</t>
        </is>
      </c>
      <c r="L101" s="43" t="inlineStr">
        <is>
          <t>Success</t>
        </is>
      </c>
      <c r="M101" s="43" t="inlineStr">
        <is>
          <t>200</t>
        </is>
      </c>
      <c r="N101" s="43" t="inlineStr">
        <is>
          <t>updatedAt mới refresh</t>
        </is>
      </c>
      <c r="O101" s="40" t="inlineStr">
        <is>
          <t>High</t>
        </is>
      </c>
      <c r="P101" s="43" t="inlineStr">
        <is>
          <t>Thời gian: 221ms</t>
        </is>
      </c>
      <c r="Q101" s="40" t="inlineStr">
        <is>
          <t>Không đạt</t>
        </is>
      </c>
      <c r="R101" s="40" t="inlineStr">
        <is>
          <t>BUG-501</t>
        </is>
      </c>
      <c r="S101" s="40" t="inlineStr">
        <is>
          <t>23/05/2026 19:06</t>
        </is>
      </c>
      <c r="T101" s="43" t="inlineStr">
        <is>
          <t>R1:Không đạt</t>
        </is>
      </c>
      <c r="U101" s="40" t="inlineStr"/>
      <c r="V101" s="43" t="inlineStr"/>
    </row>
    <row r="102" ht="80" customHeight="1">
      <c r="A102" s="40" t="inlineStr">
        <is>
          <t>TC-099</t>
        </is>
      </c>
      <c r="B102" s="45" t="inlineStr">
        <is>
          <t>RED</t>
        </is>
      </c>
      <c r="C102" s="42" t="inlineStr">
        <is>
          <t>P0</t>
        </is>
      </c>
      <c r="D102" s="43" t="inlineStr">
        <is>
          <t>Update</t>
        </is>
      </c>
      <c r="E102" s="43" t="inlineStr">
        <is>
          <t>Update với expectedUpdatedAt cũ → 409 Conflict</t>
        </is>
      </c>
      <c r="F102" s="40" t="inlineStr">
        <is>
          <t>REQ-CASE-UPDATE-099</t>
        </is>
      </c>
      <c r="G102" s="40" t="inlineStr">
        <is>
          <t>Use case testing</t>
        </is>
      </c>
      <c r="H102" s="40" t="inlineStr">
        <is>
          <t>Cao</t>
        </is>
      </c>
      <c r="I102" s="43" t="inlineStr">
        <is>
          <t>CASE-001 updatedAt='2026-05-23T08:00' (đã có user khác update)</t>
        </is>
      </c>
      <c r="J102" s="43" t="inlineStr">
        <is>
          <t>PUT với expectedUpdatedAt='2026-05-22T10:00' (cũ)</t>
        </is>
      </c>
      <c r="K102" s="43" t="inlineStr">
        <is>
          <t>expectedUpdatedAt='2026-05-22T10:00:00.000Z'</t>
        </is>
      </c>
      <c r="L102" s="43" t="inlineStr">
        <is>
          <t>Toast 'Hồ sơ đã được chỉnh sửa bởi người dùng khác. Vui lòng tải lại trang'</t>
        </is>
      </c>
      <c r="M102" s="43" t="inlineStr">
        <is>
          <t>409 ConflictException</t>
        </is>
      </c>
      <c r="N102" s="43" t="inlineStr">
        <is>
          <t>Không update</t>
        </is>
      </c>
      <c r="O102" s="40" t="inlineStr">
        <is>
          <t>Critical</t>
        </is>
      </c>
      <c r="P102" s="43" t="inlineStr">
        <is>
          <t>Thời gian: 267ms</t>
        </is>
      </c>
      <c r="Q102" s="40" t="inlineStr">
        <is>
          <t>Không đạt</t>
        </is>
      </c>
      <c r="R102" s="40" t="inlineStr">
        <is>
          <t>BUG-502</t>
        </is>
      </c>
      <c r="S102" s="40" t="inlineStr">
        <is>
          <t>23/05/2026 19:06</t>
        </is>
      </c>
      <c r="T102" s="43" t="inlineStr">
        <is>
          <t>R1:Không đạt</t>
        </is>
      </c>
      <c r="U102" s="40" t="inlineStr"/>
      <c r="V102" s="43" t="inlineStr"/>
    </row>
    <row r="103" ht="80" customHeight="1">
      <c r="A103" s="40" t="inlineStr">
        <is>
          <t>TC-100</t>
        </is>
      </c>
      <c r="B103" s="45" t="inlineStr">
        <is>
          <t>RED</t>
        </is>
      </c>
      <c r="C103" s="42" t="inlineStr">
        <is>
          <t>P0</t>
        </is>
      </c>
      <c r="D103" s="43" t="inlineStr">
        <is>
          <t>Update</t>
        </is>
      </c>
      <c r="E103" s="43" t="inlineStr">
        <is>
          <t>Update Case ngoài write-scope → 403</t>
        </is>
      </c>
      <c r="F103" s="40" t="inlineStr">
        <is>
          <t>REQ-CASE-UPDATE-100</t>
        </is>
      </c>
      <c r="G103" s="40" t="inlineStr">
        <is>
          <t>Use case testing</t>
        </is>
      </c>
      <c r="H103" s="40" t="inlineStr">
        <is>
          <t>Cao</t>
        </is>
      </c>
      <c r="I103" s="43" t="inlineStr">
        <is>
          <t>Login wardOfficer-Q1, CASE-Q3 thuộc Team-Q3</t>
        </is>
      </c>
      <c r="J103" s="43" t="inlineStr">
        <is>
          <t>PUT /cases/CASE-Q3 {name:'hack'}</t>
        </is>
      </c>
      <c r="K103" s="43" t="inlineStr">
        <is>
          <t>-</t>
        </is>
      </c>
      <c r="L103" s="43" t="inlineStr">
        <is>
          <t>Toast 'Bạn không có quyền chỉnh sửa bản ghi này'</t>
        </is>
      </c>
      <c r="M103" s="43" t="inlineStr">
        <is>
          <t>403 ForbiddenException (checkWriteScope)</t>
        </is>
      </c>
      <c r="N103" s="43" t="inlineStr">
        <is>
          <t>-</t>
        </is>
      </c>
      <c r="O103" s="40" t="inlineStr">
        <is>
          <t>Critical</t>
        </is>
      </c>
      <c r="P103" s="43" t="inlineStr">
        <is>
          <t>Thời gian: 237ms</t>
        </is>
      </c>
      <c r="Q103" s="40" t="inlineStr">
        <is>
          <t>Không đạt</t>
        </is>
      </c>
      <c r="R103" s="40" t="inlineStr">
        <is>
          <t>BUG-503</t>
        </is>
      </c>
      <c r="S103" s="40" t="inlineStr">
        <is>
          <t>23/05/2026 19:06</t>
        </is>
      </c>
      <c r="T103" s="43" t="inlineStr">
        <is>
          <t>R1:Không đạt</t>
        </is>
      </c>
      <c r="U103" s="40" t="inlineStr"/>
      <c r="V103" s="43" t="inlineStr"/>
    </row>
    <row r="104" ht="80" customHeight="1">
      <c r="A104" s="40" t="inlineStr">
        <is>
          <t>TC-101</t>
        </is>
      </c>
      <c r="B104" s="45" t="inlineStr">
        <is>
          <t>RED</t>
        </is>
      </c>
      <c r="C104" s="42" t="inlineStr">
        <is>
          <t>P0</t>
        </is>
      </c>
      <c r="D104" s="43" t="inlineStr">
        <is>
          <t>Update</t>
        </is>
      </c>
      <c r="E104" s="43" t="inlineStr">
        <is>
          <t>Update Case không tồn tại → 404</t>
        </is>
      </c>
      <c r="F104" s="40" t="inlineStr">
        <is>
          <t>REQ-CASE-UPDATE-101</t>
        </is>
      </c>
      <c r="G104" s="40" t="inlineStr">
        <is>
          <t>Use case testing</t>
        </is>
      </c>
      <c r="H104" s="40" t="inlineStr">
        <is>
          <t>Cao</t>
        </is>
      </c>
      <c r="I104" s="43" t="inlineStr">
        <is>
          <t>1. User đã login
2. Token JWT hợp lệ</t>
        </is>
      </c>
      <c r="J104" s="43" t="inlineStr">
        <is>
          <t>PUT /cases/NOT_EXIST</t>
        </is>
      </c>
      <c r="K104" s="43" t="inlineStr">
        <is>
          <t>-</t>
        </is>
      </c>
      <c r="L104" s="43" t="inlineStr">
        <is>
          <t>-</t>
        </is>
      </c>
      <c r="M104" s="43" t="inlineStr">
        <is>
          <t>404</t>
        </is>
      </c>
      <c r="N104" s="43" t="inlineStr">
        <is>
          <t>-</t>
        </is>
      </c>
      <c r="O104" s="40" t="inlineStr">
        <is>
          <t>High</t>
        </is>
      </c>
      <c r="P104" s="43" t="inlineStr">
        <is>
          <t>Thời gian: 213ms</t>
        </is>
      </c>
      <c r="Q104" s="40" t="inlineStr">
        <is>
          <t>Không đạt</t>
        </is>
      </c>
      <c r="R104" s="40" t="inlineStr">
        <is>
          <t>BUG-504</t>
        </is>
      </c>
      <c r="S104" s="40" t="inlineStr">
        <is>
          <t>23/05/2026 19:06</t>
        </is>
      </c>
      <c r="T104" s="43" t="inlineStr">
        <is>
          <t>R1:Không đạt</t>
        </is>
      </c>
      <c r="U104" s="40" t="inlineStr"/>
      <c r="V104" s="43" t="inlineStr"/>
    </row>
    <row r="105" ht="80" customHeight="1">
      <c r="A105" s="40" t="inlineStr">
        <is>
          <t>TC-102</t>
        </is>
      </c>
      <c r="B105" s="45" t="inlineStr">
        <is>
          <t>RED</t>
        </is>
      </c>
      <c r="C105" s="42" t="inlineStr">
        <is>
          <t>P0</t>
        </is>
      </c>
      <c r="D105" s="43" t="inlineStr">
        <is>
          <t>Update</t>
        </is>
      </c>
      <c r="E105" s="43" t="inlineStr">
        <is>
          <t>Update Case đã soft-deleted → 404</t>
        </is>
      </c>
      <c r="F105" s="40" t="inlineStr">
        <is>
          <t>REQ-CASE-UPDATE-102</t>
        </is>
      </c>
      <c r="G105" s="40" t="inlineStr">
        <is>
          <t>Use case testing</t>
        </is>
      </c>
      <c r="H105" s="40" t="inlineStr">
        <is>
          <t>Cao</t>
        </is>
      </c>
      <c r="I105" s="43" t="inlineStr">
        <is>
          <t>CASE-DEL deletedAt set</t>
        </is>
      </c>
      <c r="J105" s="43" t="inlineStr">
        <is>
          <t>PUT /cases/CASE-DEL</t>
        </is>
      </c>
      <c r="K105" s="43" t="inlineStr">
        <is>
          <t>-</t>
        </is>
      </c>
      <c r="L105" s="43" t="inlineStr">
        <is>
          <t>-</t>
        </is>
      </c>
      <c r="M105" s="43" t="inlineStr">
        <is>
          <t>404 (where deletedAt:null)</t>
        </is>
      </c>
      <c r="N105" s="43" t="inlineStr">
        <is>
          <t>-</t>
        </is>
      </c>
      <c r="O105" s="40" t="inlineStr">
        <is>
          <t>High</t>
        </is>
      </c>
      <c r="P105" s="43" t="inlineStr">
        <is>
          <t>Thời gian: 246ms</t>
        </is>
      </c>
      <c r="Q105" s="40" t="inlineStr">
        <is>
          <t>Không đạt</t>
        </is>
      </c>
      <c r="R105" s="40" t="inlineStr">
        <is>
          <t>BUG-505</t>
        </is>
      </c>
      <c r="S105" s="40" t="inlineStr">
        <is>
          <t>23/05/2026 19:06</t>
        </is>
      </c>
      <c r="T105" s="43" t="inlineStr">
        <is>
          <t>R1:Không đạt</t>
        </is>
      </c>
      <c r="U105" s="40" t="inlineStr"/>
      <c r="V105" s="43" t="inlineStr"/>
    </row>
    <row r="106" ht="80" customHeight="1">
      <c r="A106" s="40" t="inlineStr">
        <is>
          <t>TC-103</t>
        </is>
      </c>
      <c r="B106" s="41" t="inlineStr">
        <is>
          <t>GREEN</t>
        </is>
      </c>
      <c r="C106" s="42" t="inlineStr">
        <is>
          <t>P0</t>
        </is>
      </c>
      <c r="D106" s="43" t="inlineStr">
        <is>
          <t>Update</t>
        </is>
      </c>
      <c r="E106" s="43" t="inlineStr">
        <is>
          <t>Update status TIEP_NHAN → DANG_XAC_MINH tạo CaseStatusHistory + audit</t>
        </is>
      </c>
      <c r="F106" s="40" t="inlineStr">
        <is>
          <t>REQ-CASE-UPDATE-103</t>
        </is>
      </c>
      <c r="G106" s="40" t="inlineStr">
        <is>
          <t>Use case testing</t>
        </is>
      </c>
      <c r="H106" s="40" t="inlineStr">
        <is>
          <t>Cao</t>
        </is>
      </c>
      <c r="I106" s="43" t="inlineStr">
        <is>
          <t>CASE-001 status=TIEP_NHAN</t>
        </is>
      </c>
      <c r="J106" s="43" t="inlineStr">
        <is>
          <t>PUT {status:'DANG_XAC_MINH'}</t>
        </is>
      </c>
      <c r="K106" s="43" t="inlineStr">
        <is>
          <t>status='DANG_XAC_MINH'</t>
        </is>
      </c>
      <c r="L106" s="43" t="inlineStr">
        <is>
          <t>Badge change to 'Đang xác minh', tab History show entry</t>
        </is>
      </c>
      <c r="M106" s="43" t="inlineStr">
        <is>
          <t>200, data.status=DANG_XAC_MINH</t>
        </is>
      </c>
      <c r="N106" s="43" t="inlineStr">
        <is>
          <t>1. Row trong case_status_history với fromStatus=TIEP_NHAN, toStatus=DANG_XAC_MINH, changedById
2. Audit CASE_STATUS_CHANGED</t>
        </is>
      </c>
      <c r="O106" s="40" t="inlineStr">
        <is>
          <t>Critical</t>
        </is>
      </c>
      <c r="P106" s="43" t="inlineStr">
        <is>
          <t>Thời gian: 227ms</t>
        </is>
      </c>
      <c r="Q106" s="40" t="inlineStr">
        <is>
          <t>Không đạt</t>
        </is>
      </c>
      <c r="R106" s="40" t="inlineStr">
        <is>
          <t>BUG-506</t>
        </is>
      </c>
      <c r="S106" s="40" t="inlineStr">
        <is>
          <t>23/05/2026 19:06</t>
        </is>
      </c>
      <c r="T106" s="43" t="inlineStr">
        <is>
          <t>R1:Không đạt</t>
        </is>
      </c>
      <c r="U106" s="40" t="inlineStr"/>
      <c r="V106" s="43" t="inlineStr"/>
    </row>
    <row r="107" ht="80" customHeight="1">
      <c r="A107" s="40" t="inlineStr">
        <is>
          <t>TC-104</t>
        </is>
      </c>
      <c r="B107" s="41" t="inlineStr">
        <is>
          <t>GREEN</t>
        </is>
      </c>
      <c r="C107" s="42" t="inlineStr">
        <is>
          <t>P0</t>
        </is>
      </c>
      <c r="D107" s="43" t="inlineStr">
        <is>
          <t>Update</t>
        </is>
      </c>
      <c r="E107" s="43" t="inlineStr">
        <is>
          <t>Update status DANG_DIEU_TRA → TAM_DINH_CHI với lyDoTamDinhChiVuAn auto-set ngày + count</t>
        </is>
      </c>
      <c r="F107" s="40" t="inlineStr">
        <is>
          <t>REQ-CASE-UPDATE-104</t>
        </is>
      </c>
      <c r="G107" s="40" t="inlineStr">
        <is>
          <t>Use case testing</t>
        </is>
      </c>
      <c r="H107" s="40" t="inlineStr">
        <is>
          <t>Cao</t>
        </is>
      </c>
      <c r="I107" s="43" t="inlineStr">
        <is>
          <t>CASE-001 status=DANG_DIEU_TRA, soLanTamDinhChi=0</t>
        </is>
      </c>
      <c r="J107" s="43" t="inlineStr">
        <is>
          <t>PUT {status:'TAM_DINH_CHI', lyDoTamDinhChiVuAn:'CHUA_XAC_DINH_BI_CAN', soQuyetDinhTamDinhChi='QĐ-123'}</t>
        </is>
      </c>
      <c r="K107" s="43" t="inlineStr">
        <is>
          <t>status, lyDoTamDinhChiVuAn, soQuyetDinhTamDinhChi</t>
        </is>
      </c>
      <c r="L107" s="43" t="inlineStr">
        <is>
          <t>Badge 'Tạm đình chỉ'</t>
        </is>
      </c>
      <c r="M107" s="43" t="inlineStr">
        <is>
          <t>200, data.ngayTamDinhChi=now(), data.soLanTamDinhChi=1</t>
        </is>
      </c>
      <c r="N107" s="43" t="inlineStr">
        <is>
          <t>ngayTamDinhChi auto-set + soLanTamDinhChi increment +1</t>
        </is>
      </c>
      <c r="O107" s="40" t="inlineStr">
        <is>
          <t>Critical</t>
        </is>
      </c>
      <c r="P107" s="43" t="inlineStr">
        <is>
          <t>Thời gian: 199ms</t>
        </is>
      </c>
      <c r="Q107" s="40" t="inlineStr">
        <is>
          <t>Không đạt</t>
        </is>
      </c>
      <c r="R107" s="40" t="inlineStr">
        <is>
          <t>BUG-507</t>
        </is>
      </c>
      <c r="S107" s="40" t="inlineStr">
        <is>
          <t>23/05/2026 19:06</t>
        </is>
      </c>
      <c r="T107" s="43" t="inlineStr">
        <is>
          <t>R1:Không đạt</t>
        </is>
      </c>
      <c r="U107" s="40" t="inlineStr"/>
      <c r="V107" s="43" t="inlineStr"/>
    </row>
    <row r="108" ht="80" customHeight="1">
      <c r="A108" s="40" t="inlineStr">
        <is>
          <t>TC-105</t>
        </is>
      </c>
      <c r="B108" s="45" t="inlineStr">
        <is>
          <t>RED</t>
        </is>
      </c>
      <c r="C108" s="42" t="inlineStr">
        <is>
          <t>P0</t>
        </is>
      </c>
      <c r="D108" s="43" t="inlineStr">
        <is>
          <t>Update</t>
        </is>
      </c>
      <c r="E108" s="43" t="inlineStr">
        <is>
          <t>Update → TAM_DINH_CHI thiếu lyDoTamDinhChiVuAn (Case post-migration) → 400</t>
        </is>
      </c>
      <c r="F108" s="40" t="inlineStr">
        <is>
          <t>REQ-CASE-UPDATE-105</t>
        </is>
      </c>
      <c r="G108" s="40" t="inlineStr">
        <is>
          <t>Use case testing</t>
        </is>
      </c>
      <c r="H108" s="40" t="inlineStr">
        <is>
          <t>Cao</t>
        </is>
      </c>
      <c r="I108" s="43" t="inlineStr">
        <is>
          <t>CASE-NEW createdAt='2026-05-15' (sau 2026-04-30 MIGRATION_DATE), status=DANG_DIEU_TRA</t>
        </is>
      </c>
      <c r="J108" s="43" t="inlineStr">
        <is>
          <t>PUT {status:'TAM_DINH_CHI'} (thiếu lyDoTamDinhChiVuAn)</t>
        </is>
      </c>
      <c r="K108" s="43" t="inlineStr">
        <is>
          <t>status='TAM_DINH_CHI'</t>
        </is>
      </c>
      <c r="L108" s="43" t="inlineStr">
        <is>
          <t>Toast 'Vui lòng chọn lý do tạm đình chỉ theo quy định Điều 229 BLTTHS 2015'</t>
        </is>
      </c>
      <c r="M108" s="43" t="inlineStr">
        <is>
          <t>400 BadRequestException</t>
        </is>
      </c>
      <c r="N108" s="43" t="inlineStr">
        <is>
          <t>Không update</t>
        </is>
      </c>
      <c r="O108" s="40" t="inlineStr">
        <is>
          <t>Critical</t>
        </is>
      </c>
      <c r="P108" s="43" t="inlineStr">
        <is>
          <t>Thời gian: 192ms</t>
        </is>
      </c>
      <c r="Q108" s="40" t="inlineStr">
        <is>
          <t>Không đạt</t>
        </is>
      </c>
      <c r="R108" s="40" t="inlineStr">
        <is>
          <t>BUG-508</t>
        </is>
      </c>
      <c r="S108" s="40" t="inlineStr">
        <is>
          <t>23/05/2026 19:06</t>
        </is>
      </c>
      <c r="T108" s="43" t="inlineStr">
        <is>
          <t>R1:Không đạt</t>
        </is>
      </c>
      <c r="U108" s="40" t="inlineStr"/>
      <c r="V108" s="43" t="inlineStr"/>
    </row>
    <row r="109" ht="80" customHeight="1">
      <c r="A109" s="40" t="inlineStr">
        <is>
          <t>TC-106</t>
        </is>
      </c>
      <c r="B109" s="41" t="inlineStr">
        <is>
          <t>GREEN</t>
        </is>
      </c>
      <c r="C109" s="44" t="inlineStr">
        <is>
          <t>P1</t>
        </is>
      </c>
      <c r="D109" s="43" t="inlineStr">
        <is>
          <t>Update</t>
        </is>
      </c>
      <c r="E109" s="43" t="inlineStr">
        <is>
          <t>Update → TAM_DINH_CHI thiếu lý do nhưng Case cũ (pre-migration) → SOFT warning</t>
        </is>
      </c>
      <c r="F109" s="40" t="inlineStr">
        <is>
          <t>REQ-CASE-UPDATE-106</t>
        </is>
      </c>
      <c r="G109" s="40" t="inlineStr">
        <is>
          <t>Use case testing</t>
        </is>
      </c>
      <c r="H109" s="40" t="inlineStr">
        <is>
          <t>TB</t>
        </is>
      </c>
      <c r="I109" s="43" t="inlineStr">
        <is>
          <t>CASE-OLD createdAt='2026-04-01' (trước MIGRATION_DATE)</t>
        </is>
      </c>
      <c r="J109" s="43" t="inlineStr">
        <is>
          <t>PUT {status:'TAM_DINH_CHI'} (không lý do)</t>
        </is>
      </c>
      <c r="K109" s="43" t="inlineStr">
        <is>
          <t>-</t>
        </is>
      </c>
      <c r="L109" s="43" t="inlineStr">
        <is>
          <t>Banner warning 'Khuyến nghị cập nhật lý do theo Điều 229'</t>
        </is>
      </c>
      <c r="M109" s="43" t="inlineStr">
        <is>
          <t>200, response.warning='Khuyến nghị: Vui lòng cập nhật lý do tạm đình chỉ theo quy định Điều 229 BLTTHS 2015 (áp dụng bắt buộc từ 30/04/2026)'</t>
        </is>
      </c>
      <c r="N109" s="43" t="inlineStr">
        <is>
          <t>Update vẫn thành công với warning</t>
        </is>
      </c>
      <c r="O109" s="40" t="inlineStr">
        <is>
          <t>Medium</t>
        </is>
      </c>
      <c r="P109" s="43" t="inlineStr">
        <is>
          <t>Thời gian: 255ms</t>
        </is>
      </c>
      <c r="Q109" s="40" t="inlineStr">
        <is>
          <t>Không đạt</t>
        </is>
      </c>
      <c r="R109" s="40" t="inlineStr">
        <is>
          <t>BUG-509</t>
        </is>
      </c>
      <c r="S109" s="40" t="inlineStr">
        <is>
          <t>23/05/2026 19:06</t>
        </is>
      </c>
      <c r="T109" s="43" t="inlineStr">
        <is>
          <t>R1:Không đạt</t>
        </is>
      </c>
      <c r="U109" s="40" t="inlineStr"/>
      <c r="V109" s="43" t="inlineStr">
        <is>
          <t>90-day grace period</t>
        </is>
      </c>
    </row>
    <row r="110" ht="80" customHeight="1">
      <c r="A110" s="40" t="inlineStr">
        <is>
          <t>TC-107</t>
        </is>
      </c>
      <c r="B110" s="45" t="inlineStr">
        <is>
          <t>RED</t>
        </is>
      </c>
      <c r="C110" s="42" t="inlineStr">
        <is>
          <t>P0</t>
        </is>
      </c>
      <c r="D110" s="43" t="inlineStr">
        <is>
          <t>Update</t>
        </is>
      </c>
      <c r="E110" s="43" t="inlineStr">
        <is>
          <t>lyDoTamDinhChiVuAn = invalid enum 'INVALID_REASON' → 400</t>
        </is>
      </c>
      <c r="F110" s="40" t="inlineStr">
        <is>
          <t>REQ-CASE-UPDATE-107</t>
        </is>
      </c>
      <c r="G110" s="40" t="inlineStr">
        <is>
          <t>Use case testing</t>
        </is>
      </c>
      <c r="H110" s="40" t="inlineStr">
        <is>
          <t>Cao</t>
        </is>
      </c>
      <c r="I110" s="43" t="inlineStr">
        <is>
          <t>1. User đã login
2. Token JWT hợp lệ</t>
        </is>
      </c>
      <c r="J110" s="43" t="inlineStr">
        <is>
          <t>PUT lyDoTamDinhChiVuAn='INVALID_REASON'</t>
        </is>
      </c>
      <c r="K110" s="43" t="inlineStr">
        <is>
          <t>lyDoTamDinhChiVuAn='INVALID_REASON'</t>
        </is>
      </c>
      <c r="L110" s="43" t="inlineStr">
        <is>
          <t>-</t>
        </is>
      </c>
      <c r="M110" s="43" t="inlineStr">
        <is>
          <t>400 'Lý do tạm đình chỉ phải theo quy định BLTTHS Điều 229'</t>
        </is>
      </c>
      <c r="N110" s="43" t="inlineStr">
        <is>
          <t>-</t>
        </is>
      </c>
      <c r="O110" s="40" t="inlineStr">
        <is>
          <t>High</t>
        </is>
      </c>
      <c r="P110" s="43" t="inlineStr">
        <is>
          <t>Thời gian: 247ms</t>
        </is>
      </c>
      <c r="Q110" s="40" t="inlineStr">
        <is>
          <t>Không đạt</t>
        </is>
      </c>
      <c r="R110" s="40" t="inlineStr">
        <is>
          <t>BUG-510</t>
        </is>
      </c>
      <c r="S110" s="40" t="inlineStr">
        <is>
          <t>23/05/2026 19:06</t>
        </is>
      </c>
      <c r="T110" s="43" t="inlineStr">
        <is>
          <t>R1:Không đạt</t>
        </is>
      </c>
      <c r="U110" s="40" t="inlineStr"/>
      <c r="V110" s="43" t="inlineStr"/>
    </row>
    <row r="111" ht="80" customHeight="1">
      <c r="A111" s="40" t="inlineStr">
        <is>
          <t>TC-108</t>
        </is>
      </c>
      <c r="B111" s="41" t="inlineStr">
        <is>
          <t>GREEN</t>
        </is>
      </c>
      <c r="C111" s="42" t="inlineStr">
        <is>
          <t>P0</t>
        </is>
      </c>
      <c r="D111" s="43" t="inlineStr">
        <is>
          <t>Update</t>
        </is>
      </c>
      <c r="E111" s="43" t="inlineStr">
        <is>
          <t>Update status TAM_DINH_CHI → DANG_DIEU_TRA (phục hồi) với daRaSoat + ngayRaSoat</t>
        </is>
      </c>
      <c r="F111" s="40" t="inlineStr">
        <is>
          <t>REQ-CASE-UPDATE-108</t>
        </is>
      </c>
      <c r="G111" s="40" t="inlineStr">
        <is>
          <t>Use case testing</t>
        </is>
      </c>
      <c r="H111" s="40" t="inlineStr">
        <is>
          <t>Cao</t>
        </is>
      </c>
      <c r="I111" s="43" t="inlineStr">
        <is>
          <t>CASE-001 status=TAM_DINH_CHI</t>
        </is>
      </c>
      <c r="J111" s="43" t="inlineStr">
        <is>
          <t>PUT {status:'DANG_DIEU_TRA', daRaSoat:true, ngayRaSoat:'2026-05-23', soQuyetDinhPhucHoi:'PH-001', ketQuaPhucHoiVuAn:'DANG_DIEU_TRA_XAC_MINH'}</t>
        </is>
      </c>
      <c r="K111" s="43" t="inlineStr">
        <is>
          <t>daRaSoat=true, ngayRaSoat, soQuyetDinhPhucHoi, ketQuaPhucHoiVuAn</t>
        </is>
      </c>
      <c r="L111" s="43" t="inlineStr">
        <is>
          <t>Badge 'Đang điều tra', tab 'Phục hồi' show số QĐ + ngày</t>
        </is>
      </c>
      <c r="M111" s="43" t="inlineStr">
        <is>
          <t>200</t>
        </is>
      </c>
      <c r="N111" s="43" t="inlineStr">
        <is>
          <t>Audit CASE_STATUS_CHANGED + cases row có daRaSoat=true</t>
        </is>
      </c>
      <c r="O111" s="40" t="inlineStr">
        <is>
          <t>Critical</t>
        </is>
      </c>
      <c r="P111" s="43" t="inlineStr">
        <is>
          <t>Thời gian: 241ms</t>
        </is>
      </c>
      <c r="Q111" s="40" t="inlineStr">
        <is>
          <t>Không đạt</t>
        </is>
      </c>
      <c r="R111" s="40" t="inlineStr">
        <is>
          <t>BUG-511</t>
        </is>
      </c>
      <c r="S111" s="40" t="inlineStr">
        <is>
          <t>23/05/2026 19:06</t>
        </is>
      </c>
      <c r="T111" s="43" t="inlineStr">
        <is>
          <t>R1:Không đạt</t>
        </is>
      </c>
      <c r="U111" s="40" t="inlineStr"/>
      <c r="V111" s="43" t="inlineStr"/>
    </row>
    <row r="112" ht="80" customHeight="1">
      <c r="A112" s="40" t="inlineStr">
        <is>
          <t>TC-109</t>
        </is>
      </c>
      <c r="B112" s="45" t="inlineStr">
        <is>
          <t>RED</t>
        </is>
      </c>
      <c r="C112" s="44" t="inlineStr">
        <is>
          <t>P1</t>
        </is>
      </c>
      <c r="D112" s="43" t="inlineStr">
        <is>
          <t>Update</t>
        </is>
      </c>
      <c r="E112" s="43" t="inlineStr">
        <is>
          <t>ketQuaPhucHoiVuAn = invalid → 400</t>
        </is>
      </c>
      <c r="F112" s="40" t="inlineStr">
        <is>
          <t>REQ-CASE-UPDATE-109</t>
        </is>
      </c>
      <c r="G112" s="40" t="inlineStr">
        <is>
          <t>Use case testing</t>
        </is>
      </c>
      <c r="H112" s="40" t="inlineStr">
        <is>
          <t>TB</t>
        </is>
      </c>
      <c r="I112" s="43" t="inlineStr">
        <is>
          <t>1. User đã login
2. Token JWT hợp lệ</t>
        </is>
      </c>
      <c r="J112" s="43" t="inlineStr">
        <is>
          <t>PUT ketQuaPhucHoiVuAn='INVALID'</t>
        </is>
      </c>
      <c r="K112" s="43" t="inlineStr">
        <is>
          <t>ketQuaPhucHoiVuAn='INVALID'</t>
        </is>
      </c>
      <c r="L112" s="43" t="inlineStr">
        <is>
          <t>-</t>
        </is>
      </c>
      <c r="M112" s="43" t="inlineStr">
        <is>
          <t>400 'Kết quả phục hồi vụ án phải là enum KetQuaPhucHoiVuAn'</t>
        </is>
      </c>
      <c r="N112" s="43" t="inlineStr">
        <is>
          <t>-</t>
        </is>
      </c>
      <c r="O112" s="40" t="inlineStr">
        <is>
          <t>Medium</t>
        </is>
      </c>
      <c r="P112" s="43" t="inlineStr">
        <is>
          <t>Thời gian: 248ms</t>
        </is>
      </c>
      <c r="Q112" s="40" t="inlineStr">
        <is>
          <t>Không đạt</t>
        </is>
      </c>
      <c r="R112" s="40" t="inlineStr">
        <is>
          <t>BUG-512</t>
        </is>
      </c>
      <c r="S112" s="40" t="inlineStr">
        <is>
          <t>23/05/2026 19:06</t>
        </is>
      </c>
      <c r="T112" s="43" t="inlineStr">
        <is>
          <t>R1:Không đạt</t>
        </is>
      </c>
      <c r="U112" s="40" t="inlineStr"/>
      <c r="V112" s="43" t="inlineStr"/>
    </row>
    <row r="113" ht="80" customHeight="1">
      <c r="A113" s="40" t="inlineStr">
        <is>
          <t>TC-110</t>
        </is>
      </c>
      <c r="B113" s="45" t="inlineStr">
        <is>
          <t>RED</t>
        </is>
      </c>
      <c r="C113" s="44" t="inlineStr">
        <is>
          <t>P1</t>
        </is>
      </c>
      <c r="D113" s="43" t="inlineStr">
        <is>
          <t>Update</t>
        </is>
      </c>
      <c r="E113" s="43" t="inlineStr">
        <is>
          <t>lyDoTamDinhChiText &gt; 500 ký tự → 400</t>
        </is>
      </c>
      <c r="F113" s="40" t="inlineStr">
        <is>
          <t>REQ-CASE-UPDATE-110</t>
        </is>
      </c>
      <c r="G113" s="40" t="inlineStr">
        <is>
          <t>Use case testing</t>
        </is>
      </c>
      <c r="H113" s="40" t="inlineStr">
        <is>
          <t>TB</t>
        </is>
      </c>
      <c r="I113" s="43" t="inlineStr">
        <is>
          <t>1. User đã login
2. Token JWT hợp lệ</t>
        </is>
      </c>
      <c r="J113" s="43" t="inlineStr">
        <is>
          <t>PUT lyDoTamDinhChiText='X'.repeat(501)</t>
        </is>
      </c>
      <c r="K113" s="43" t="inlineStr">
        <is>
          <t>lyDoTamDinhChiText.length=501</t>
        </is>
      </c>
      <c r="L113" s="43" t="inlineStr">
        <is>
          <t>-</t>
        </is>
      </c>
      <c r="M113" s="43" t="inlineStr">
        <is>
          <t>400 MaxLength(500)</t>
        </is>
      </c>
      <c r="N113" s="43" t="inlineStr">
        <is>
          <t>-</t>
        </is>
      </c>
      <c r="O113" s="40" t="inlineStr">
        <is>
          <t>Medium</t>
        </is>
      </c>
      <c r="P113" s="43" t="inlineStr">
        <is>
          <t>Thời gian: 1017ms</t>
        </is>
      </c>
      <c r="Q113" s="40" t="inlineStr">
        <is>
          <t>Không đạt</t>
        </is>
      </c>
      <c r="R113" s="40" t="inlineStr">
        <is>
          <t>BUG-513</t>
        </is>
      </c>
      <c r="S113" s="40" t="inlineStr">
        <is>
          <t>23/05/2026 19:06</t>
        </is>
      </c>
      <c r="T113" s="43" t="inlineStr">
        <is>
          <t>R1:Không đạt</t>
        </is>
      </c>
      <c r="U113" s="40" t="inlineStr"/>
      <c r="V113" s="43" t="inlineStr"/>
    </row>
    <row r="114" ht="80" customHeight="1">
      <c r="A114" s="40" t="inlineStr">
        <is>
          <t>TC-111</t>
        </is>
      </c>
      <c r="B114" s="45" t="inlineStr">
        <is>
          <t>RED</t>
        </is>
      </c>
      <c r="C114" s="44" t="inlineStr">
        <is>
          <t>P1</t>
        </is>
      </c>
      <c r="D114" s="43" t="inlineStr">
        <is>
          <t>Update</t>
        </is>
      </c>
      <c r="E114" s="43" t="inlineStr">
        <is>
          <t>soQuyetDinhTamDinhChi &gt; 100 ký tự → 400</t>
        </is>
      </c>
      <c r="F114" s="40" t="inlineStr">
        <is>
          <t>REQ-CASE-UPDATE-111</t>
        </is>
      </c>
      <c r="G114" s="40" t="inlineStr">
        <is>
          <t>Use case testing</t>
        </is>
      </c>
      <c r="H114" s="40" t="inlineStr">
        <is>
          <t>TB</t>
        </is>
      </c>
      <c r="I114" s="43" t="inlineStr">
        <is>
          <t>1. User đã login
2. Token JWT hợp lệ</t>
        </is>
      </c>
      <c r="J114" s="43" t="inlineStr">
        <is>
          <t>PUT soQuyetDinhTamDinhChi='X'.repeat(101)</t>
        </is>
      </c>
      <c r="K114" s="43" t="inlineStr">
        <is>
          <t>length=101</t>
        </is>
      </c>
      <c r="L114" s="43" t="inlineStr">
        <is>
          <t>-</t>
        </is>
      </c>
      <c r="M114" s="43" t="inlineStr">
        <is>
          <t>400 MaxLength(100)</t>
        </is>
      </c>
      <c r="N114" s="43" t="inlineStr">
        <is>
          <t>-</t>
        </is>
      </c>
      <c r="O114" s="40" t="inlineStr">
        <is>
          <t>Medium</t>
        </is>
      </c>
      <c r="P114" s="43" t="inlineStr">
        <is>
          <t>Thời gian: 884ms</t>
        </is>
      </c>
      <c r="Q114" s="40" t="inlineStr">
        <is>
          <t>Không đạt</t>
        </is>
      </c>
      <c r="R114" s="40" t="inlineStr">
        <is>
          <t>BUG-514</t>
        </is>
      </c>
      <c r="S114" s="40" t="inlineStr">
        <is>
          <t>23/05/2026 19:06</t>
        </is>
      </c>
      <c r="T114" s="43" t="inlineStr">
        <is>
          <t>R1:Không đạt</t>
        </is>
      </c>
      <c r="U114" s="40" t="inlineStr"/>
      <c r="V114" s="43" t="inlineStr"/>
    </row>
    <row r="115" ht="80" customHeight="1">
      <c r="A115" s="40" t="inlineStr">
        <is>
          <t>TC-112</t>
        </is>
      </c>
      <c r="B115" s="45" t="inlineStr">
        <is>
          <t>RED</t>
        </is>
      </c>
      <c r="C115" s="44" t="inlineStr">
        <is>
          <t>P1</t>
        </is>
      </c>
      <c r="D115" s="43" t="inlineStr">
        <is>
          <t>Update</t>
        </is>
      </c>
      <c r="E115" s="43" t="inlineStr">
        <is>
          <t>daRaSoat = 'yes' string thay vì boolean → 400 IsBoolean</t>
        </is>
      </c>
      <c r="F115" s="40" t="inlineStr">
        <is>
          <t>REQ-CASE-UPDATE-112</t>
        </is>
      </c>
      <c r="G115" s="40" t="inlineStr">
        <is>
          <t>Use case testing</t>
        </is>
      </c>
      <c r="H115" s="40" t="inlineStr">
        <is>
          <t>TB</t>
        </is>
      </c>
      <c r="I115" s="43" t="inlineStr">
        <is>
          <t>1. User đã login
2. Token JWT hợp lệ</t>
        </is>
      </c>
      <c r="J115" s="43" t="inlineStr">
        <is>
          <t>PUT daRaSoat='yes'</t>
        </is>
      </c>
      <c r="K115" s="43" t="inlineStr">
        <is>
          <t>daRaSoat='yes'</t>
        </is>
      </c>
      <c r="L115" s="43" t="inlineStr">
        <is>
          <t>-</t>
        </is>
      </c>
      <c r="M115" s="43" t="inlineStr">
        <is>
          <t>400 'daRaSoat phải là boolean'</t>
        </is>
      </c>
      <c r="N115" s="43" t="inlineStr">
        <is>
          <t>-</t>
        </is>
      </c>
      <c r="O115" s="40" t="inlineStr">
        <is>
          <t>Medium</t>
        </is>
      </c>
      <c r="P115" s="43" t="inlineStr">
        <is>
          <t>Thời gian: 915ms</t>
        </is>
      </c>
      <c r="Q115" s="40" t="inlineStr">
        <is>
          <t>Không đạt</t>
        </is>
      </c>
      <c r="R115" s="40" t="inlineStr">
        <is>
          <t>BUG-515</t>
        </is>
      </c>
      <c r="S115" s="40" t="inlineStr">
        <is>
          <t>23/05/2026 19:06</t>
        </is>
      </c>
      <c r="T115" s="43" t="inlineStr">
        <is>
          <t>R1:Không đạt</t>
        </is>
      </c>
      <c r="U115" s="40" t="inlineStr"/>
      <c r="V115" s="43" t="inlineStr"/>
    </row>
    <row r="116" ht="80" customHeight="1">
      <c r="A116" s="40" t="inlineStr">
        <is>
          <t>TC-113</t>
        </is>
      </c>
      <c r="B116" s="45" t="inlineStr">
        <is>
          <t>RED</t>
        </is>
      </c>
      <c r="C116" s="44" t="inlineStr">
        <is>
          <t>P1</t>
        </is>
      </c>
      <c r="D116" s="43" t="inlineStr">
        <is>
          <t>Update</t>
        </is>
      </c>
      <c r="E116" s="43" t="inlineStr">
        <is>
          <t>ngayRaSoat sai ISO format → 400</t>
        </is>
      </c>
      <c r="F116" s="40" t="inlineStr">
        <is>
          <t>REQ-CASE-UPDATE-113</t>
        </is>
      </c>
      <c r="G116" s="40" t="inlineStr">
        <is>
          <t>Use case testing</t>
        </is>
      </c>
      <c r="H116" s="40" t="inlineStr">
        <is>
          <t>TB</t>
        </is>
      </c>
      <c r="I116" s="43" t="inlineStr">
        <is>
          <t>1. User đã login
2. Token JWT hợp lệ</t>
        </is>
      </c>
      <c r="J116" s="43" t="inlineStr">
        <is>
          <t>PUT ngayRaSoat='23/05/2026'</t>
        </is>
      </c>
      <c r="K116" s="43" t="inlineStr">
        <is>
          <t>ngayRaSoat='23/05/2026'</t>
        </is>
      </c>
      <c r="L116" s="43" t="inlineStr">
        <is>
          <t>-</t>
        </is>
      </c>
      <c r="M116" s="43" t="inlineStr">
        <is>
          <t>400 'ngayRaSoat không đúng định dạng ISO 8601'</t>
        </is>
      </c>
      <c r="N116" s="43" t="inlineStr">
        <is>
          <t>-</t>
        </is>
      </c>
      <c r="O116" s="40" t="inlineStr">
        <is>
          <t>Medium</t>
        </is>
      </c>
      <c r="P116" s="43" t="inlineStr">
        <is>
          <t>Thời gian: 826ms</t>
        </is>
      </c>
      <c r="Q116" s="40" t="inlineStr">
        <is>
          <t>Không đạt</t>
        </is>
      </c>
      <c r="R116" s="40" t="inlineStr">
        <is>
          <t>BUG-516</t>
        </is>
      </c>
      <c r="S116" s="40" t="inlineStr">
        <is>
          <t>23/05/2026 19:06</t>
        </is>
      </c>
      <c r="T116" s="43" t="inlineStr">
        <is>
          <t>R1:Không đạt</t>
        </is>
      </c>
      <c r="U116" s="40" t="inlineStr"/>
      <c r="V116" s="43" t="inlineStr"/>
    </row>
    <row r="117" ht="80" customHeight="1">
      <c r="A117" s="40" t="inlineStr">
        <is>
          <t>TC-114</t>
        </is>
      </c>
      <c r="B117" s="41" t="inlineStr">
        <is>
          <t>GREEN</t>
        </is>
      </c>
      <c r="C117" s="44" t="inlineStr">
        <is>
          <t>P1</t>
        </is>
      </c>
      <c r="D117" s="43" t="inlineStr">
        <is>
          <t>Update</t>
        </is>
      </c>
      <c r="E117" s="43" t="inlineStr">
        <is>
          <t>Update KHÔNG đổi status → KHÔNG tạo CaseStatusHistory entry</t>
        </is>
      </c>
      <c r="F117" s="40" t="inlineStr">
        <is>
          <t>REQ-CASE-UPDATE-114</t>
        </is>
      </c>
      <c r="G117" s="40" t="inlineStr">
        <is>
          <t>Use case testing</t>
        </is>
      </c>
      <c r="H117" s="40" t="inlineStr">
        <is>
          <t>TB</t>
        </is>
      </c>
      <c r="I117" s="43" t="inlineStr">
        <is>
          <t>CASE-001 status=DANG_DIEU_TRA</t>
        </is>
      </c>
      <c r="J117" s="43" t="inlineStr">
        <is>
          <t>PUT {name:'sửa tên'} (không động status)</t>
        </is>
      </c>
      <c r="K117" s="43" t="inlineStr">
        <is>
          <t>name='sửa tên'</t>
        </is>
      </c>
      <c r="L117" s="43" t="inlineStr">
        <is>
          <t>Tab History KHÔNG có entry mới</t>
        </is>
      </c>
      <c r="M117" s="43" t="inlineStr">
        <is>
          <t>200</t>
        </is>
      </c>
      <c r="N117" s="43" t="inlineStr">
        <is>
          <t>case_status_history KHÔNG insert row mới</t>
        </is>
      </c>
      <c r="O117" s="40" t="inlineStr">
        <is>
          <t>Medium</t>
        </is>
      </c>
      <c r="P117" s="43" t="inlineStr">
        <is>
          <t>Đạt như expected. Thời gian: 901ms</t>
        </is>
      </c>
      <c r="Q117" s="40" t="inlineStr">
        <is>
          <t>Đạt</t>
        </is>
      </c>
      <c r="R117" s="40" t="inlineStr"/>
      <c r="S117" s="40" t="inlineStr">
        <is>
          <t>23/05/2026 19:06</t>
        </is>
      </c>
      <c r="T117" s="43" t="inlineStr">
        <is>
          <t>R1:Đạt</t>
        </is>
      </c>
      <c r="U117" s="40" t="inlineStr"/>
      <c r="V117" s="43" t="inlineStr">
        <is>
          <t>Logic: if (dto.status !== undefined &amp;&amp; dto.status !== existing.status)</t>
        </is>
      </c>
    </row>
    <row r="118" ht="80" customHeight="1">
      <c r="A118" s="40" t="inlineStr">
        <is>
          <t>TC-115</t>
        </is>
      </c>
      <c r="B118" s="41" t="inlineStr">
        <is>
          <t>GREEN</t>
        </is>
      </c>
      <c r="C118" s="44" t="inlineStr">
        <is>
          <t>P1</t>
        </is>
      </c>
      <c r="D118" s="43" t="inlineStr">
        <is>
          <t>Update</t>
        </is>
      </c>
      <c r="E118" s="43" t="inlineStr">
        <is>
          <t>Update status với cùng giá trị status hiện tại → KHÔNG tạo history</t>
        </is>
      </c>
      <c r="F118" s="40" t="inlineStr">
        <is>
          <t>REQ-CASE-UPDATE-115</t>
        </is>
      </c>
      <c r="G118" s="40" t="inlineStr">
        <is>
          <t>Use case testing</t>
        </is>
      </c>
      <c r="H118" s="40" t="inlineStr">
        <is>
          <t>TB</t>
        </is>
      </c>
      <c r="I118" s="43" t="inlineStr">
        <is>
          <t>CASE-001 status=DANG_DIEU_TRA</t>
        </is>
      </c>
      <c r="J118" s="43" t="inlineStr">
        <is>
          <t>PUT {status:'DANG_DIEU_TRA'} (idempotent)</t>
        </is>
      </c>
      <c r="K118" s="43" t="inlineStr">
        <is>
          <t>status='DANG_DIEU_TRA'</t>
        </is>
      </c>
      <c r="L118" s="43" t="inlineStr">
        <is>
          <t>-</t>
        </is>
      </c>
      <c r="M118" s="43" t="inlineStr">
        <is>
          <t>200, không có entry history</t>
        </is>
      </c>
      <c r="N118" s="43" t="inlineStr">
        <is>
          <t>case_status_history empty for this op</t>
        </is>
      </c>
      <c r="O118" s="40" t="inlineStr">
        <is>
          <t>Medium</t>
        </is>
      </c>
      <c r="P118" s="43" t="inlineStr">
        <is>
          <t>Đạt như expected. Thời gian: 133ms</t>
        </is>
      </c>
      <c r="Q118" s="40" t="inlineStr">
        <is>
          <t>Đạt</t>
        </is>
      </c>
      <c r="R118" s="40" t="inlineStr"/>
      <c r="S118" s="40" t="inlineStr">
        <is>
          <t>23/05/2026 19:06</t>
        </is>
      </c>
      <c r="T118" s="43" t="inlineStr">
        <is>
          <t>R1:Đạt</t>
        </is>
      </c>
      <c r="U118" s="40" t="inlineStr"/>
      <c r="V118" s="43" t="inlineStr"/>
    </row>
    <row r="119" ht="80" customHeight="1">
      <c r="A119" s="40" t="inlineStr">
        <is>
          <t>TC-116</t>
        </is>
      </c>
      <c r="B119" s="41" t="inlineStr">
        <is>
          <t>GREEN</t>
        </is>
      </c>
      <c r="C119" s="44" t="inlineStr">
        <is>
          <t>P1</t>
        </is>
      </c>
      <c r="D119" s="43" t="inlineStr">
        <is>
          <t>Update</t>
        </is>
      </c>
      <c r="E119" s="43" t="inlineStr">
        <is>
          <t>Update metadata.petitionType sync sang Petition liên kết</t>
        </is>
      </c>
      <c r="F119" s="40" t="inlineStr">
        <is>
          <t>REQ-CASE-UPDATE-116</t>
        </is>
      </c>
      <c r="G119" s="40" t="inlineStr">
        <is>
          <t>Use case testing</t>
        </is>
      </c>
      <c r="H119" s="40" t="inlineStr">
        <is>
          <t>TB</t>
        </is>
      </c>
      <c r="I119" s="43" t="inlineStr">
        <is>
          <t>CASE-001 có linkedPetition PET-001 petitionType='KHIEU_NAI'</t>
        </is>
      </c>
      <c r="J119" s="43" t="inlineStr">
        <is>
          <t>PUT metadata={petitionType:'TO_GIAC'}</t>
        </is>
      </c>
      <c r="K119" s="43" t="inlineStr">
        <is>
          <t>metadata.petitionType='TO_GIAC'</t>
        </is>
      </c>
      <c r="L119" s="43" t="inlineStr">
        <is>
          <t>-</t>
        </is>
      </c>
      <c r="M119" s="43" t="inlineStr">
        <is>
          <t>200</t>
        </is>
      </c>
      <c r="N119" s="43" t="inlineStr">
        <is>
          <t>Petition PET-001.petitionType=TO_GIAC (sync v0.37.2.5)</t>
        </is>
      </c>
      <c r="O119" s="40" t="inlineStr">
        <is>
          <t>High</t>
        </is>
      </c>
      <c r="P119" s="43" t="inlineStr">
        <is>
          <t>Đạt như expected. Thời gian: 154ms</t>
        </is>
      </c>
      <c r="Q119" s="40" t="inlineStr">
        <is>
          <t>Đạt</t>
        </is>
      </c>
      <c r="R119" s="40" t="inlineStr"/>
      <c r="S119" s="40" t="inlineStr">
        <is>
          <t>23/05/2026 19:06</t>
        </is>
      </c>
      <c r="T119" s="43" t="inlineStr">
        <is>
          <t>R1:Đạt</t>
        </is>
      </c>
      <c r="U119" s="40" t="inlineStr"/>
      <c r="V119" s="43" t="inlineStr"/>
    </row>
    <row r="120" ht="80" customHeight="1">
      <c r="A120" s="40" t="inlineStr">
        <is>
          <t>TC-117</t>
        </is>
      </c>
      <c r="B120" s="41" t="inlineStr">
        <is>
          <t>GREEN</t>
        </is>
      </c>
      <c r="C120" s="44" t="inlineStr">
        <is>
          <t>P1</t>
        </is>
      </c>
      <c r="D120" s="43" t="inlineStr">
        <is>
          <t>Update</t>
        </is>
      </c>
      <c r="E120" s="43" t="inlineStr">
        <is>
          <t>Update metadata.petitionType mà KHÔNG có Petition link → silent ignore (no phantom create)</t>
        </is>
      </c>
      <c r="F120" s="40" t="inlineStr">
        <is>
          <t>REQ-CASE-UPDATE-117</t>
        </is>
      </c>
      <c r="G120" s="40" t="inlineStr">
        <is>
          <t>Use case testing</t>
        </is>
      </c>
      <c r="H120" s="40" t="inlineStr">
        <is>
          <t>TB</t>
        </is>
      </c>
      <c r="I120" s="43" t="inlineStr">
        <is>
          <t>CASE-002 không có linkedPetition</t>
        </is>
      </c>
      <c r="J120" s="43" t="inlineStr">
        <is>
          <t>PUT metadata={petitionType:'TO_GIAC'}</t>
        </is>
      </c>
      <c r="K120" s="43" t="inlineStr">
        <is>
          <t>metadata.petitionType='TO_GIAC'</t>
        </is>
      </c>
      <c r="L120" s="43" t="inlineStr">
        <is>
          <t>-</t>
        </is>
      </c>
      <c r="M120" s="43" t="inlineStr">
        <is>
          <t>200</t>
        </is>
      </c>
      <c r="N120" s="43" t="inlineStr">
        <is>
          <t>KHÔNG tạo Petition mới (v0.37.2.5 fix phantom)</t>
        </is>
      </c>
      <c r="O120" s="40" t="inlineStr">
        <is>
          <t>High</t>
        </is>
      </c>
      <c r="P120" s="43" t="inlineStr">
        <is>
          <t>Đạt như expected. Thời gian: 134ms</t>
        </is>
      </c>
      <c r="Q120" s="40" t="inlineStr">
        <is>
          <t>Đạt</t>
        </is>
      </c>
      <c r="R120" s="40" t="inlineStr"/>
      <c r="S120" s="40" t="inlineStr">
        <is>
          <t>23/05/2026 19:06</t>
        </is>
      </c>
      <c r="T120" s="43" t="inlineStr">
        <is>
          <t>R1:Đạt</t>
        </is>
      </c>
      <c r="U120" s="40" t="inlineStr"/>
      <c r="V120" s="43" t="inlineStr">
        <is>
          <t>BLTTHS Đ.143 compliance — provenance model forbids side-effect Petition</t>
        </is>
      </c>
    </row>
    <row r="121" ht="80" customHeight="1">
      <c r="A121" s="40" t="inlineStr">
        <is>
          <t>TC-118</t>
        </is>
      </c>
      <c r="B121" s="41" t="inlineStr">
        <is>
          <t>GREEN</t>
        </is>
      </c>
      <c r="C121" s="42" t="inlineStr">
        <is>
          <t>P0</t>
        </is>
      </c>
      <c r="D121" s="43" t="inlineStr">
        <is>
          <t>Update</t>
        </is>
      </c>
      <c r="E121" s="43" t="inlineStr">
        <is>
          <t>Audit CASE_UPDATED capture before/after diff đầy đủ</t>
        </is>
      </c>
      <c r="F121" s="40" t="inlineStr">
        <is>
          <t>REQ-CASE-UPDATE-118</t>
        </is>
      </c>
      <c r="G121" s="40" t="inlineStr">
        <is>
          <t>Use case testing</t>
        </is>
      </c>
      <c r="H121" s="40" t="inlineStr">
        <is>
          <t>Cao</t>
        </is>
      </c>
      <c r="I121" s="43" t="inlineStr">
        <is>
          <t>CASE-001 name='Old', crime='Old crime'</t>
        </is>
      </c>
      <c r="J121" s="43" t="inlineStr">
        <is>
          <t>PUT {name:'New', crime:'New crime'}</t>
        </is>
      </c>
      <c r="K121" s="43" t="inlineStr">
        <is>
          <t>-</t>
        </is>
      </c>
      <c r="L121" s="43" t="inlineStr">
        <is>
          <t>-</t>
        </is>
      </c>
      <c r="M121" s="43" t="inlineStr">
        <is>
          <t>200</t>
        </is>
      </c>
      <c r="N121" s="43" t="inlineStr">
        <is>
          <t>Audit log CASE_UPDATED metadata.diff={name:{before:'Old', after:'New'}, crime:{before:..., after:...}}</t>
        </is>
      </c>
      <c r="O121" s="40" t="inlineStr">
        <is>
          <t>High</t>
        </is>
      </c>
      <c r="P121" s="43" t="inlineStr">
        <is>
          <t>Đạt như expected. Thời gian: 187ms</t>
        </is>
      </c>
      <c r="Q121" s="40" t="inlineStr">
        <is>
          <t>Đạt</t>
        </is>
      </c>
      <c r="R121" s="40" t="inlineStr"/>
      <c r="S121" s="40" t="inlineStr">
        <is>
          <t>23/05/2026 19:06</t>
        </is>
      </c>
      <c r="T121" s="43" t="inlineStr">
        <is>
          <t>R1:Đạt</t>
        </is>
      </c>
      <c r="U121" s="40" t="inlineStr"/>
      <c r="V121" s="43" t="inlineStr">
        <is>
          <t>audit.wrapUpdate</t>
        </is>
      </c>
    </row>
    <row r="122" ht="80" customHeight="1">
      <c r="A122" s="40" t="inlineStr">
        <is>
          <t>TC-119</t>
        </is>
      </c>
      <c r="B122" s="45" t="inlineStr">
        <is>
          <t>RED</t>
        </is>
      </c>
      <c r="C122" s="44" t="inlineStr">
        <is>
          <t>P1</t>
        </is>
      </c>
      <c r="D122" s="43" t="inlineStr">
        <is>
          <t>Update</t>
        </is>
      </c>
      <c r="E122" s="43" t="inlineStr">
        <is>
          <t>PUT lyDoTamDinhChiVuAn nhưng status không phải TAM_DINH_CHI → vẫn save (no enforce)</t>
        </is>
      </c>
      <c r="F122" s="40" t="inlineStr">
        <is>
          <t>REQ-CASE-UPDATE-119</t>
        </is>
      </c>
      <c r="G122" s="40" t="inlineStr">
        <is>
          <t>Use case testing</t>
        </is>
      </c>
      <c r="H122" s="40" t="inlineStr">
        <is>
          <t>TB</t>
        </is>
      </c>
      <c r="I122" s="43" t="inlineStr">
        <is>
          <t>CASE-001 status=DANG_DIEU_TRA</t>
        </is>
      </c>
      <c r="J122" s="43" t="inlineStr">
        <is>
          <t>PUT lyDoTamDinhChiVuAn='CHUA_XAC_DINH_BI_CAN' (status không đổi)</t>
        </is>
      </c>
      <c r="K122" s="43" t="inlineStr">
        <is>
          <t>lyDoTamDinhChiVuAn='CHUA_XAC_DINH_BI_CAN'</t>
        </is>
      </c>
      <c r="L122" s="43" t="inlineStr">
        <is>
          <t>-</t>
        </is>
      </c>
      <c r="M122" s="43" t="inlineStr">
        <is>
          <t>200, save value</t>
        </is>
      </c>
      <c r="N122" s="43" t="inlineStr">
        <is>
          <t>cases row có lyDoTamDinhChiVuAn nhưng status=DANG_DIEU_TRA</t>
        </is>
      </c>
      <c r="O122" s="40" t="inlineStr">
        <is>
          <t>Low</t>
        </is>
      </c>
      <c r="P122" s="43" t="inlineStr">
        <is>
          <t>Đạt như expected. Thời gian: 170ms</t>
        </is>
      </c>
      <c r="Q122" s="40" t="inlineStr">
        <is>
          <t>Đạt</t>
        </is>
      </c>
      <c r="R122" s="40" t="inlineStr"/>
      <c r="S122" s="40" t="inlineStr">
        <is>
          <t>23/05/2026 19:06</t>
        </is>
      </c>
      <c r="T122" s="43" t="inlineStr">
        <is>
          <t>R1:Đạt</t>
        </is>
      </c>
      <c r="U122" s="40" t="inlineStr"/>
      <c r="V122" s="43" t="inlineStr">
        <is>
          <t>Gap nếu cần consistency — hiện không enforce</t>
        </is>
      </c>
    </row>
    <row r="123" ht="80" customHeight="1">
      <c r="A123" s="40" t="inlineStr">
        <is>
          <t>TC-120</t>
        </is>
      </c>
      <c r="B123" s="45" t="inlineStr">
        <is>
          <t>RED</t>
        </is>
      </c>
      <c r="C123" s="44" t="inlineStr">
        <is>
          <t>P1</t>
        </is>
      </c>
      <c r="D123" s="43" t="inlineStr">
        <is>
          <t>Update</t>
        </is>
      </c>
      <c r="E123" s="43" t="inlineStr">
        <is>
          <t>investigatorId không tồn tại → 400</t>
        </is>
      </c>
      <c r="F123" s="40" t="inlineStr">
        <is>
          <t>REQ-CASE-UPDATE-120</t>
        </is>
      </c>
      <c r="G123" s="40" t="inlineStr">
        <is>
          <t>Use case testing</t>
        </is>
      </c>
      <c r="H123" s="40" t="inlineStr">
        <is>
          <t>TB</t>
        </is>
      </c>
      <c r="I123" s="43" t="inlineStr">
        <is>
          <t>1. User đã login
2. Token JWT hợp lệ</t>
        </is>
      </c>
      <c r="J123" s="43" t="inlineStr">
        <is>
          <t>PUT investigatorId='NOT_EXIST'</t>
        </is>
      </c>
      <c r="K123" s="43" t="inlineStr">
        <is>
          <t>investigatorId='NOT_EXIST'</t>
        </is>
      </c>
      <c r="L123" s="43" t="inlineStr">
        <is>
          <t>Toast 'Điều tra viên không tồn tại'</t>
        </is>
      </c>
      <c r="M123" s="43" t="inlineStr">
        <is>
          <t>400</t>
        </is>
      </c>
      <c r="N123" s="43" t="inlineStr">
        <is>
          <t>-</t>
        </is>
      </c>
      <c r="O123" s="40" t="inlineStr">
        <is>
          <t>Medium</t>
        </is>
      </c>
      <c r="P123" s="43" t="inlineStr">
        <is>
          <t>Thời gian: 223ms</t>
        </is>
      </c>
      <c r="Q123" s="40" t="inlineStr">
        <is>
          <t>Không đạt</t>
        </is>
      </c>
      <c r="R123" s="40" t="inlineStr">
        <is>
          <t>BUG-517</t>
        </is>
      </c>
      <c r="S123" s="40" t="inlineStr">
        <is>
          <t>23/05/2026 19:06</t>
        </is>
      </c>
      <c r="T123" s="43" t="inlineStr">
        <is>
          <t>R1:Không đạt</t>
        </is>
      </c>
      <c r="U123" s="40" t="inlineStr"/>
      <c r="V123" s="43" t="inlineStr"/>
    </row>
    <row r="124" ht="80" customHeight="1">
      <c r="A124" s="40" t="inlineStr">
        <is>
          <t>TC-121</t>
        </is>
      </c>
      <c r="B124" s="41" t="inlineStr">
        <is>
          <t>GREEN</t>
        </is>
      </c>
      <c r="C124" s="44" t="inlineStr">
        <is>
          <t>P1</t>
        </is>
      </c>
      <c r="D124" s="43" t="inlineStr">
        <is>
          <t>Update</t>
        </is>
      </c>
      <c r="E124" s="43" t="inlineStr">
        <is>
          <t>Update deadline=null xóa deadline cũ</t>
        </is>
      </c>
      <c r="F124" s="40" t="inlineStr">
        <is>
          <t>REQ-CASE-UPDATE-121</t>
        </is>
      </c>
      <c r="G124" s="40" t="inlineStr">
        <is>
          <t>Use case testing</t>
        </is>
      </c>
      <c r="H124" s="40" t="inlineStr">
        <is>
          <t>TB</t>
        </is>
      </c>
      <c r="I124" s="43" t="inlineStr">
        <is>
          <t>CASE-001 deadline='2026-08-01'</t>
        </is>
      </c>
      <c r="J124" s="43" t="inlineStr">
        <is>
          <t>PUT {deadline:null}</t>
        </is>
      </c>
      <c r="K124" s="43" t="inlineStr">
        <is>
          <t>deadline=null</t>
        </is>
      </c>
      <c r="L124" s="43" t="inlineStr">
        <is>
          <t>Detail show 'Chưa có deadline'</t>
        </is>
      </c>
      <c r="M124" s="43" t="inlineStr">
        <is>
          <t>200, data.deadline=null</t>
        </is>
      </c>
      <c r="N124" s="43" t="inlineStr">
        <is>
          <t>cases.deadline=NULL</t>
        </is>
      </c>
      <c r="O124" s="40" t="inlineStr">
        <is>
          <t>Medium</t>
        </is>
      </c>
      <c r="P124" s="43" t="inlineStr">
        <is>
          <t>Đạt như expected. Thời gian: 836ms</t>
        </is>
      </c>
      <c r="Q124" s="40" t="inlineStr">
        <is>
          <t>Đạt</t>
        </is>
      </c>
      <c r="R124" s="40" t="inlineStr"/>
      <c r="S124" s="40" t="inlineStr">
        <is>
          <t>23/05/2026 19:06</t>
        </is>
      </c>
      <c r="T124" s="43" t="inlineStr">
        <is>
          <t>R1:Đạt</t>
        </is>
      </c>
      <c r="U124" s="40" t="inlineStr"/>
      <c r="V124" s="43" t="inlineStr"/>
    </row>
    <row r="125" ht="80" customHeight="1">
      <c r="A125" s="40" t="inlineStr">
        <is>
          <t>TC-122</t>
        </is>
      </c>
      <c r="B125" s="41" t="inlineStr">
        <is>
          <t>GREEN</t>
        </is>
      </c>
      <c r="C125" s="44" t="inlineStr">
        <is>
          <t>P1</t>
        </is>
      </c>
      <c r="D125" s="43" t="inlineStr">
        <is>
          <t>Update</t>
        </is>
      </c>
      <c r="E125" s="43" t="inlineStr">
        <is>
          <t>Update capDoToiPham đổi từ NGHIEM_TRONG sang DAC_BIET_NGHIEM_TRONG</t>
        </is>
      </c>
      <c r="F125" s="40" t="inlineStr">
        <is>
          <t>REQ-CASE-UPDATE-122</t>
        </is>
      </c>
      <c r="G125" s="40" t="inlineStr">
        <is>
          <t>Use case testing</t>
        </is>
      </c>
      <c r="H125" s="40" t="inlineStr">
        <is>
          <t>TB</t>
        </is>
      </c>
      <c r="I125" s="43" t="inlineStr">
        <is>
          <t>capDoToiPham=NGHIEM_TRONG</t>
        </is>
      </c>
      <c r="J125" s="43" t="inlineStr">
        <is>
          <t>PUT capDoToiPham='DAC_BIET_NGHIEM_TRONG'</t>
        </is>
      </c>
      <c r="K125" s="43" t="inlineStr">
        <is>
          <t>capDoToiPham='DAC_BIET_NGHIEM_TRONG'</t>
        </is>
      </c>
      <c r="L125" s="43" t="inlineStr">
        <is>
          <t>Badge update</t>
        </is>
      </c>
      <c r="M125" s="43" t="inlineStr">
        <is>
          <t>200</t>
        </is>
      </c>
      <c r="N125" s="43" t="inlineStr">
        <is>
          <t>KPI-4 dashboard recount</t>
        </is>
      </c>
      <c r="O125" s="40" t="inlineStr">
        <is>
          <t>Medium</t>
        </is>
      </c>
      <c r="P125" s="43" t="inlineStr">
        <is>
          <t>Đạt như expected. Thời gian: 132ms</t>
        </is>
      </c>
      <c r="Q125" s="40" t="inlineStr">
        <is>
          <t>Đạt</t>
        </is>
      </c>
      <c r="R125" s="40" t="inlineStr"/>
      <c r="S125" s="40" t="inlineStr">
        <is>
          <t>23/05/2026 19:06</t>
        </is>
      </c>
      <c r="T125" s="43" t="inlineStr">
        <is>
          <t>R1:Đạt</t>
        </is>
      </c>
      <c r="U125" s="40" t="inlineStr"/>
      <c r="V125" s="43" t="inlineStr"/>
    </row>
    <row r="126" ht="80" customHeight="1">
      <c r="A126" s="40" t="inlineStr">
        <is>
          <t>TC-123</t>
        </is>
      </c>
      <c r="B126" s="45" t="inlineStr">
        <is>
          <t>RED</t>
        </is>
      </c>
      <c r="C126" s="44" t="inlineStr">
        <is>
          <t>P1</t>
        </is>
      </c>
      <c r="D126" s="43" t="inlineStr">
        <is>
          <t>Update</t>
        </is>
      </c>
      <c r="E126" s="43" t="inlineStr">
        <is>
          <t>Update Case khi user role VIEWER → 403</t>
        </is>
      </c>
      <c r="F126" s="40" t="inlineStr">
        <is>
          <t>REQ-CASE-UPDATE-123</t>
        </is>
      </c>
      <c r="G126" s="40" t="inlineStr">
        <is>
          <t>Use case testing</t>
        </is>
      </c>
      <c r="H126" s="40" t="inlineStr">
        <is>
          <t>TB</t>
        </is>
      </c>
      <c r="I126" s="43" t="inlineStr">
        <is>
          <t>Login viewer</t>
        </is>
      </c>
      <c r="J126" s="43" t="inlineStr">
        <is>
          <t>PUT /cases/CASE-001</t>
        </is>
      </c>
      <c r="K126" s="43" t="inlineStr">
        <is>
          <t>-</t>
        </is>
      </c>
      <c r="L126" s="43" t="inlineStr">
        <is>
          <t>-</t>
        </is>
      </c>
      <c r="M126" s="43" t="inlineStr">
        <is>
          <t>403 PermissionsGuard</t>
        </is>
      </c>
      <c r="N126" s="43" t="inlineStr">
        <is>
          <t>-</t>
        </is>
      </c>
      <c r="O126" s="40" t="inlineStr">
        <is>
          <t>High</t>
        </is>
      </c>
      <c r="P126" s="43" t="inlineStr">
        <is>
          <t>Đạt như expected. Thời gian: 146ms</t>
        </is>
      </c>
      <c r="Q126" s="40" t="inlineStr">
        <is>
          <t>Đạt</t>
        </is>
      </c>
      <c r="R126" s="40" t="inlineStr"/>
      <c r="S126" s="40" t="inlineStr">
        <is>
          <t>23/05/2026 19:06</t>
        </is>
      </c>
      <c r="T126" s="43" t="inlineStr">
        <is>
          <t>R1:Đạt</t>
        </is>
      </c>
      <c r="U126" s="40" t="inlineStr"/>
      <c r="V126" s="43" t="inlineStr"/>
    </row>
    <row r="127" ht="80" customHeight="1">
      <c r="A127" s="40" t="inlineStr">
        <is>
          <t>TC-124</t>
        </is>
      </c>
      <c r="B127" s="41" t="inlineStr">
        <is>
          <t>GREEN</t>
        </is>
      </c>
      <c r="C127" s="42" t="inlineStr">
        <is>
          <t>P0</t>
        </is>
      </c>
      <c r="D127" s="43" t="inlineStr">
        <is>
          <t>Update</t>
        </is>
      </c>
      <c r="E127" s="43" t="inlineStr">
        <is>
          <t>DTO whitelist reject field lạ trong UpdateCaseDto (forbidNonWhitelisted)</t>
        </is>
      </c>
      <c r="F127" s="40" t="inlineStr">
        <is>
          <t>REQ-CASE-UPDATE-124</t>
        </is>
      </c>
      <c r="G127" s="40" t="inlineStr">
        <is>
          <t>Use case testing</t>
        </is>
      </c>
      <c r="H127" s="40" t="inlineStr">
        <is>
          <t>Cao</t>
        </is>
      </c>
      <c r="I127" s="43" t="inlineStr">
        <is>
          <t>1. User đã login
2. Token JWT hợp lệ</t>
        </is>
      </c>
      <c r="J127" s="43" t="inlineStr">
        <is>
          <t>PUT {name:'X', evilField:'hack'}</t>
        </is>
      </c>
      <c r="K127" s="43" t="inlineStr">
        <is>
          <t>evilField='hack'</t>
        </is>
      </c>
      <c r="L127" s="43" t="inlineStr">
        <is>
          <t>-</t>
        </is>
      </c>
      <c r="M127" s="43" t="inlineStr">
        <is>
          <t>400 'property evilField should not exist'</t>
        </is>
      </c>
      <c r="N127" s="43" t="inlineStr">
        <is>
          <t>-</t>
        </is>
      </c>
      <c r="O127" s="40" t="inlineStr">
        <is>
          <t>Medium</t>
        </is>
      </c>
      <c r="P127" s="43" t="inlineStr">
        <is>
          <t>Thời gian: 217ms</t>
        </is>
      </c>
      <c r="Q127" s="40" t="inlineStr">
        <is>
          <t>Không đạt</t>
        </is>
      </c>
      <c r="R127" s="40" t="inlineStr">
        <is>
          <t>BUG-518</t>
        </is>
      </c>
      <c r="S127" s="40" t="inlineStr">
        <is>
          <t>23/05/2026 19:06</t>
        </is>
      </c>
      <c r="T127" s="43" t="inlineStr">
        <is>
          <t>R1:Không đạt</t>
        </is>
      </c>
      <c r="U127" s="40" t="inlineStr"/>
      <c r="V127" s="43" t="inlineStr"/>
    </row>
    <row r="128" ht="80" customHeight="1">
      <c r="A128" s="40" t="inlineStr">
        <is>
          <t>TC-125</t>
        </is>
      </c>
      <c r="B128" s="46" t="inlineStr">
        <is>
          <t>STATE</t>
        </is>
      </c>
      <c r="C128" s="42" t="inlineStr">
        <is>
          <t>P0</t>
        </is>
      </c>
      <c r="D128" s="43" t="inlineStr">
        <is>
          <t>Update-status</t>
        </is>
      </c>
      <c r="E128" s="43" t="inlineStr">
        <is>
          <t>Transition TIEP_NHAN → DANG_XAC_MINH (valid)</t>
        </is>
      </c>
      <c r="F128" s="40" t="inlineStr">
        <is>
          <t>REQ-CASE-UPDATE-STATUS-125</t>
        </is>
      </c>
      <c r="G128" s="40" t="inlineStr">
        <is>
          <t>Use case testing</t>
        </is>
      </c>
      <c r="H128" s="40" t="inlineStr">
        <is>
          <t>Cao</t>
        </is>
      </c>
      <c r="I128" s="43" t="inlineStr">
        <is>
          <t>status=TIEP_NHAN</t>
        </is>
      </c>
      <c r="J128" s="43" t="inlineStr">
        <is>
          <t>PUT status=DANG_XAC_MINH</t>
        </is>
      </c>
      <c r="K128" s="43" t="inlineStr">
        <is>
          <t>-</t>
        </is>
      </c>
      <c r="L128" s="43" t="inlineStr">
        <is>
          <t>Badge change</t>
        </is>
      </c>
      <c r="M128" s="43" t="inlineStr">
        <is>
          <t>200</t>
        </is>
      </c>
      <c r="N128" s="43" t="inlineStr">
        <is>
          <t>History entry created</t>
        </is>
      </c>
      <c r="O128" s="40" t="inlineStr">
        <is>
          <t>High</t>
        </is>
      </c>
      <c r="P128" s="43" t="inlineStr">
        <is>
          <t>Thời gian: 188ms</t>
        </is>
      </c>
      <c r="Q128" s="40" t="inlineStr">
        <is>
          <t>Không đạt</t>
        </is>
      </c>
      <c r="R128" s="40" t="inlineStr">
        <is>
          <t>BUG-487</t>
        </is>
      </c>
      <c r="S128" s="40" t="inlineStr">
        <is>
          <t>23/05/2026 19:06</t>
        </is>
      </c>
      <c r="T128" s="43" t="inlineStr">
        <is>
          <t>R1:Không đạt</t>
        </is>
      </c>
      <c r="U128" s="40" t="inlineStr"/>
      <c r="V128" s="43" t="inlineStr"/>
    </row>
    <row r="129" ht="80" customHeight="1">
      <c r="A129" s="40" t="inlineStr">
        <is>
          <t>TC-126</t>
        </is>
      </c>
      <c r="B129" s="46" t="inlineStr">
        <is>
          <t>STATE</t>
        </is>
      </c>
      <c r="C129" s="42" t="inlineStr">
        <is>
          <t>P0</t>
        </is>
      </c>
      <c r="D129" s="43" t="inlineStr">
        <is>
          <t>Update-status</t>
        </is>
      </c>
      <c r="E129" s="43" t="inlineStr">
        <is>
          <t>Transition DANG_XAC_MINH → DA_XAC_MINH (valid)</t>
        </is>
      </c>
      <c r="F129" s="40" t="inlineStr">
        <is>
          <t>REQ-CASE-UPDATE-STATUS-126</t>
        </is>
      </c>
      <c r="G129" s="40" t="inlineStr">
        <is>
          <t>Use case testing</t>
        </is>
      </c>
      <c r="H129" s="40" t="inlineStr">
        <is>
          <t>Cao</t>
        </is>
      </c>
      <c r="I129" s="43" t="inlineStr">
        <is>
          <t>status=DANG_XAC_MINH</t>
        </is>
      </c>
      <c r="J129" s="43" t="inlineStr">
        <is>
          <t>PUT status=DA_XAC_MINH</t>
        </is>
      </c>
      <c r="K129" s="43" t="inlineStr">
        <is>
          <t>-</t>
        </is>
      </c>
      <c r="L129" s="43" t="inlineStr">
        <is>
          <t>-</t>
        </is>
      </c>
      <c r="M129" s="43" t="inlineStr">
        <is>
          <t>200</t>
        </is>
      </c>
      <c r="N129" s="43" t="inlineStr">
        <is>
          <t>-</t>
        </is>
      </c>
      <c r="O129" s="40" t="inlineStr">
        <is>
          <t>High</t>
        </is>
      </c>
      <c r="P129" s="43" t="inlineStr">
        <is>
          <t>Thời gian: 272ms</t>
        </is>
      </c>
      <c r="Q129" s="40" t="inlineStr">
        <is>
          <t>Không đạt</t>
        </is>
      </c>
      <c r="R129" s="40" t="inlineStr">
        <is>
          <t>BUG-488</t>
        </is>
      </c>
      <c r="S129" s="40" t="inlineStr">
        <is>
          <t>23/05/2026 19:06</t>
        </is>
      </c>
      <c r="T129" s="43" t="inlineStr">
        <is>
          <t>R1:Không đạt</t>
        </is>
      </c>
      <c r="U129" s="40" t="inlineStr"/>
      <c r="V129" s="43" t="inlineStr"/>
    </row>
    <row r="130" ht="80" customHeight="1">
      <c r="A130" s="40" t="inlineStr">
        <is>
          <t>TC-127</t>
        </is>
      </c>
      <c r="B130" s="46" t="inlineStr">
        <is>
          <t>STATE</t>
        </is>
      </c>
      <c r="C130" s="42" t="inlineStr">
        <is>
          <t>P0</t>
        </is>
      </c>
      <c r="D130" s="43" t="inlineStr">
        <is>
          <t>Update-status</t>
        </is>
      </c>
      <c r="E130" s="43" t="inlineStr">
        <is>
          <t>Transition DA_XAC_MINH → DANG_DIEU_TRA (valid)</t>
        </is>
      </c>
      <c r="F130" s="40" t="inlineStr">
        <is>
          <t>REQ-CASE-UPDATE-STATUS-127</t>
        </is>
      </c>
      <c r="G130" s="40" t="inlineStr">
        <is>
          <t>Use case testing</t>
        </is>
      </c>
      <c r="H130" s="40" t="inlineStr">
        <is>
          <t>Cao</t>
        </is>
      </c>
      <c r="I130" s="43" t="inlineStr">
        <is>
          <t>status=DA_XAC_MINH</t>
        </is>
      </c>
      <c r="J130" s="43" t="inlineStr">
        <is>
          <t>PUT status=DANG_DIEU_TRA</t>
        </is>
      </c>
      <c r="K130" s="43" t="inlineStr">
        <is>
          <t>-</t>
        </is>
      </c>
      <c r="L130" s="43" t="inlineStr">
        <is>
          <t>-</t>
        </is>
      </c>
      <c r="M130" s="43" t="inlineStr">
        <is>
          <t>200</t>
        </is>
      </c>
      <c r="N130" s="43" t="inlineStr">
        <is>
          <t>-</t>
        </is>
      </c>
      <c r="O130" s="40" t="inlineStr">
        <is>
          <t>High</t>
        </is>
      </c>
      <c r="P130" s="43" t="inlineStr">
        <is>
          <t>Thời gian: 291ms</t>
        </is>
      </c>
      <c r="Q130" s="40" t="inlineStr">
        <is>
          <t>Không đạt</t>
        </is>
      </c>
      <c r="R130" s="40" t="inlineStr">
        <is>
          <t>BUG-489</t>
        </is>
      </c>
      <c r="S130" s="40" t="inlineStr">
        <is>
          <t>23/05/2026 19:06</t>
        </is>
      </c>
      <c r="T130" s="43" t="inlineStr">
        <is>
          <t>R1:Không đạt</t>
        </is>
      </c>
      <c r="U130" s="40" t="inlineStr"/>
      <c r="V130" s="43" t="inlineStr"/>
    </row>
    <row r="131" ht="80" customHeight="1">
      <c r="A131" s="40" t="inlineStr">
        <is>
          <t>TC-128</t>
        </is>
      </c>
      <c r="B131" s="46" t="inlineStr">
        <is>
          <t>STATE</t>
        </is>
      </c>
      <c r="C131" s="42" t="inlineStr">
        <is>
          <t>P0</t>
        </is>
      </c>
      <c r="D131" s="43" t="inlineStr">
        <is>
          <t>Update-status</t>
        </is>
      </c>
      <c r="E131" s="43" t="inlineStr">
        <is>
          <t>Transition DANG_DIEU_TRA → DA_KET_LUAN (valid)</t>
        </is>
      </c>
      <c r="F131" s="40" t="inlineStr">
        <is>
          <t>REQ-CASE-UPDATE-STATUS-128</t>
        </is>
      </c>
      <c r="G131" s="40" t="inlineStr">
        <is>
          <t>Use case testing</t>
        </is>
      </c>
      <c r="H131" s="40" t="inlineStr">
        <is>
          <t>Cao</t>
        </is>
      </c>
      <c r="I131" s="43" t="inlineStr">
        <is>
          <t>status=DANG_DIEU_TRA</t>
        </is>
      </c>
      <c r="J131" s="43" t="inlineStr">
        <is>
          <t>PUT status=DA_KET_LUAN</t>
        </is>
      </c>
      <c r="K131" s="43" t="inlineStr">
        <is>
          <t>-</t>
        </is>
      </c>
      <c r="L131" s="43" t="inlineStr">
        <is>
          <t>-</t>
        </is>
      </c>
      <c r="M131" s="43" t="inlineStr">
        <is>
          <t>200</t>
        </is>
      </c>
      <c r="N131" s="43" t="inlineStr">
        <is>
          <t>-</t>
        </is>
      </c>
      <c r="O131" s="40" t="inlineStr">
        <is>
          <t>High</t>
        </is>
      </c>
      <c r="P131" s="43" t="inlineStr">
        <is>
          <t>Thời gian: 301ms</t>
        </is>
      </c>
      <c r="Q131" s="40" t="inlineStr">
        <is>
          <t>Không đạt</t>
        </is>
      </c>
      <c r="R131" s="40" t="inlineStr">
        <is>
          <t>BUG-490</t>
        </is>
      </c>
      <c r="S131" s="40" t="inlineStr">
        <is>
          <t>23/05/2026 19:06</t>
        </is>
      </c>
      <c r="T131" s="43" t="inlineStr">
        <is>
          <t>R1:Không đạt</t>
        </is>
      </c>
      <c r="U131" s="40" t="inlineStr"/>
      <c r="V131" s="43" t="inlineStr"/>
    </row>
    <row r="132" ht="80" customHeight="1">
      <c r="A132" s="40" t="inlineStr">
        <is>
          <t>TC-129</t>
        </is>
      </c>
      <c r="B132" s="46" t="inlineStr">
        <is>
          <t>STATE</t>
        </is>
      </c>
      <c r="C132" s="42" t="inlineStr">
        <is>
          <t>P0</t>
        </is>
      </c>
      <c r="D132" s="43" t="inlineStr">
        <is>
          <t>Update-status</t>
        </is>
      </c>
      <c r="E132" s="43" t="inlineStr">
        <is>
          <t>Transition DA_KET_LUAN → DANG_TRUY_TO (valid)</t>
        </is>
      </c>
      <c r="F132" s="40" t="inlineStr">
        <is>
          <t>REQ-CASE-UPDATE-STATUS-129</t>
        </is>
      </c>
      <c r="G132" s="40" t="inlineStr">
        <is>
          <t>Use case testing</t>
        </is>
      </c>
      <c r="H132" s="40" t="inlineStr">
        <is>
          <t>Cao</t>
        </is>
      </c>
      <c r="I132" s="43" t="inlineStr">
        <is>
          <t>status=DA_KET_LUAN</t>
        </is>
      </c>
      <c r="J132" s="43" t="inlineStr">
        <is>
          <t>PUT status=DANG_TRUY_TO</t>
        </is>
      </c>
      <c r="K132" s="43" t="inlineStr">
        <is>
          <t>-</t>
        </is>
      </c>
      <c r="L132" s="43" t="inlineStr">
        <is>
          <t>-</t>
        </is>
      </c>
      <c r="M132" s="43" t="inlineStr">
        <is>
          <t>200</t>
        </is>
      </c>
      <c r="N132" s="43" t="inlineStr">
        <is>
          <t>-</t>
        </is>
      </c>
      <c r="O132" s="40" t="inlineStr">
        <is>
          <t>High</t>
        </is>
      </c>
      <c r="P132" s="43" t="inlineStr">
        <is>
          <t>Thời gian: 213ms</t>
        </is>
      </c>
      <c r="Q132" s="40" t="inlineStr">
        <is>
          <t>Không đạt</t>
        </is>
      </c>
      <c r="R132" s="40" t="inlineStr">
        <is>
          <t>BUG-491</t>
        </is>
      </c>
      <c r="S132" s="40" t="inlineStr">
        <is>
          <t>23/05/2026 19:06</t>
        </is>
      </c>
      <c r="T132" s="43" t="inlineStr">
        <is>
          <t>R1:Không đạt</t>
        </is>
      </c>
      <c r="U132" s="40" t="inlineStr"/>
      <c r="V132" s="43" t="inlineStr"/>
    </row>
    <row r="133" ht="80" customHeight="1">
      <c r="A133" s="40" t="inlineStr">
        <is>
          <t>TC-130</t>
        </is>
      </c>
      <c r="B133" s="46" t="inlineStr">
        <is>
          <t>STATE</t>
        </is>
      </c>
      <c r="C133" s="42" t="inlineStr">
        <is>
          <t>P0</t>
        </is>
      </c>
      <c r="D133" s="43" t="inlineStr">
        <is>
          <t>Update-status</t>
        </is>
      </c>
      <c r="E133" s="43" t="inlineStr">
        <is>
          <t>Transition DANG_TRUY_TO → DANG_XET_XU (valid)</t>
        </is>
      </c>
      <c r="F133" s="40" t="inlineStr">
        <is>
          <t>REQ-CASE-UPDATE-STATUS-130</t>
        </is>
      </c>
      <c r="G133" s="40" t="inlineStr">
        <is>
          <t>Use case testing</t>
        </is>
      </c>
      <c r="H133" s="40" t="inlineStr">
        <is>
          <t>Cao</t>
        </is>
      </c>
      <c r="I133" s="43" t="inlineStr">
        <is>
          <t>status=DANG_TRUY_TO</t>
        </is>
      </c>
      <c r="J133" s="43" t="inlineStr">
        <is>
          <t>PUT status=DANG_XET_XU</t>
        </is>
      </c>
      <c r="K133" s="43" t="inlineStr">
        <is>
          <t>-</t>
        </is>
      </c>
      <c r="L133" s="43" t="inlineStr">
        <is>
          <t>-</t>
        </is>
      </c>
      <c r="M133" s="43" t="inlineStr">
        <is>
          <t>200</t>
        </is>
      </c>
      <c r="N133" s="43" t="inlineStr">
        <is>
          <t>-</t>
        </is>
      </c>
      <c r="O133" s="40" t="inlineStr">
        <is>
          <t>High</t>
        </is>
      </c>
      <c r="P133" s="43" t="inlineStr">
        <is>
          <t>Thời gian: 298ms</t>
        </is>
      </c>
      <c r="Q133" s="40" t="inlineStr">
        <is>
          <t>Không đạt</t>
        </is>
      </c>
      <c r="R133" s="40" t="inlineStr">
        <is>
          <t>BUG-492</t>
        </is>
      </c>
      <c r="S133" s="40" t="inlineStr">
        <is>
          <t>23/05/2026 19:06</t>
        </is>
      </c>
      <c r="T133" s="43" t="inlineStr">
        <is>
          <t>R1:Không đạt</t>
        </is>
      </c>
      <c r="U133" s="40" t="inlineStr"/>
      <c r="V133" s="43" t="inlineStr"/>
    </row>
    <row r="134" ht="80" customHeight="1">
      <c r="A134" s="40" t="inlineStr">
        <is>
          <t>TC-131</t>
        </is>
      </c>
      <c r="B134" s="46" t="inlineStr">
        <is>
          <t>STATE</t>
        </is>
      </c>
      <c r="C134" s="42" t="inlineStr">
        <is>
          <t>P0</t>
        </is>
      </c>
      <c r="D134" s="43" t="inlineStr">
        <is>
          <t>Update-status</t>
        </is>
      </c>
      <c r="E134" s="43" t="inlineStr">
        <is>
          <t>Transition DANG_XET_XU → DA_LUU_TRU (final state)</t>
        </is>
      </c>
      <c r="F134" s="40" t="inlineStr">
        <is>
          <t>REQ-CASE-UPDATE-STATUS-131</t>
        </is>
      </c>
      <c r="G134" s="40" t="inlineStr">
        <is>
          <t>Use case testing</t>
        </is>
      </c>
      <c r="H134" s="40" t="inlineStr">
        <is>
          <t>Cao</t>
        </is>
      </c>
      <c r="I134" s="43" t="inlineStr">
        <is>
          <t>status=DANG_XET_XU</t>
        </is>
      </c>
      <c r="J134" s="43" t="inlineStr">
        <is>
          <t>PUT status=DA_LUU_TRU</t>
        </is>
      </c>
      <c r="K134" s="43" t="inlineStr">
        <is>
          <t>-</t>
        </is>
      </c>
      <c r="L134" s="43" t="inlineStr">
        <is>
          <t>-</t>
        </is>
      </c>
      <c r="M134" s="43" t="inlineStr">
        <is>
          <t>200</t>
        </is>
      </c>
      <c r="N134" s="43" t="inlineStr">
        <is>
          <t>-</t>
        </is>
      </c>
      <c r="O134" s="40" t="inlineStr">
        <is>
          <t>High</t>
        </is>
      </c>
      <c r="P134" s="43" t="inlineStr">
        <is>
          <t>Thời gian: 264ms</t>
        </is>
      </c>
      <c r="Q134" s="40" t="inlineStr">
        <is>
          <t>Không đạt</t>
        </is>
      </c>
      <c r="R134" s="40" t="inlineStr">
        <is>
          <t>BUG-493</t>
        </is>
      </c>
      <c r="S134" s="40" t="inlineStr">
        <is>
          <t>23/05/2026 19:06</t>
        </is>
      </c>
      <c r="T134" s="43" t="inlineStr">
        <is>
          <t>R1:Không đạt</t>
        </is>
      </c>
      <c r="U134" s="40" t="inlineStr"/>
      <c r="V134" s="43" t="inlineStr"/>
    </row>
    <row r="135" ht="80" customHeight="1">
      <c r="A135" s="40" t="inlineStr">
        <is>
          <t>TC-132</t>
        </is>
      </c>
      <c r="B135" s="46" t="inlineStr">
        <is>
          <t>STATE</t>
        </is>
      </c>
      <c r="C135" s="42" t="inlineStr">
        <is>
          <t>P0</t>
        </is>
      </c>
      <c r="D135" s="43" t="inlineStr">
        <is>
          <t>Update-status</t>
        </is>
      </c>
      <c r="E135" s="43" t="inlineStr">
        <is>
          <t>Transition any → DINH_CHI (đình chỉ vĩnh viễn)</t>
        </is>
      </c>
      <c r="F135" s="40" t="inlineStr">
        <is>
          <t>REQ-CASE-UPDATE-STATUS-132</t>
        </is>
      </c>
      <c r="G135" s="40" t="inlineStr">
        <is>
          <t>Use case testing</t>
        </is>
      </c>
      <c r="H135" s="40" t="inlineStr">
        <is>
          <t>Cao</t>
        </is>
      </c>
      <c r="I135" s="43" t="inlineStr">
        <is>
          <t>status=DANG_DIEU_TRA</t>
        </is>
      </c>
      <c r="J135" s="43" t="inlineStr">
        <is>
          <t>PUT status=DINH_CHI</t>
        </is>
      </c>
      <c r="K135" s="43" t="inlineStr">
        <is>
          <t>-</t>
        </is>
      </c>
      <c r="L135" s="43" t="inlineStr">
        <is>
          <t>Badge 'Đình chỉ' đỏ</t>
        </is>
      </c>
      <c r="M135" s="43" t="inlineStr">
        <is>
          <t>200</t>
        </is>
      </c>
      <c r="N135" s="43" t="inlineStr">
        <is>
          <t>-</t>
        </is>
      </c>
      <c r="O135" s="40" t="inlineStr">
        <is>
          <t>High</t>
        </is>
      </c>
      <c r="P135" s="43" t="inlineStr">
        <is>
          <t>Thời gian: 158ms</t>
        </is>
      </c>
      <c r="Q135" s="40" t="inlineStr">
        <is>
          <t>Không đạt</t>
        </is>
      </c>
      <c r="R135" s="40" t="inlineStr">
        <is>
          <t>BUG-494</t>
        </is>
      </c>
      <c r="S135" s="40" t="inlineStr">
        <is>
          <t>23/05/2026 19:06</t>
        </is>
      </c>
      <c r="T135" s="43" t="inlineStr">
        <is>
          <t>R1:Không đạt</t>
        </is>
      </c>
      <c r="U135" s="40" t="inlineStr"/>
      <c r="V135" s="43" t="inlineStr"/>
    </row>
    <row r="136" ht="80" customHeight="1">
      <c r="A136" s="40" t="inlineStr">
        <is>
          <t>TC-133</t>
        </is>
      </c>
      <c r="B136" s="46" t="inlineStr">
        <is>
          <t>STATE</t>
        </is>
      </c>
      <c r="C136" s="42" t="inlineStr">
        <is>
          <t>P0</t>
        </is>
      </c>
      <c r="D136" s="43" t="inlineStr">
        <is>
          <t>Update-status</t>
        </is>
      </c>
      <c r="E136" s="43" t="inlineStr">
        <is>
          <t>Transition TAM_DINH_CHI → DA_KET_LUAN (phục hồi và kết luận luôn)</t>
        </is>
      </c>
      <c r="F136" s="40" t="inlineStr">
        <is>
          <t>REQ-CASE-UPDATE-STATUS-133</t>
        </is>
      </c>
      <c r="G136" s="40" t="inlineStr">
        <is>
          <t>Use case testing</t>
        </is>
      </c>
      <c r="H136" s="40" t="inlineStr">
        <is>
          <t>Cao</t>
        </is>
      </c>
      <c r="I136" s="43" t="inlineStr">
        <is>
          <t>status=TAM_DINH_CHI, daRaSoat=true</t>
        </is>
      </c>
      <c r="J136" s="43" t="inlineStr">
        <is>
          <t>PUT status=DA_KET_LUAN, ketQuaPhucHoiVuAn=KET_LUAN_DE_NGHI_TRUY_TO</t>
        </is>
      </c>
      <c r="K136" s="43" t="inlineStr">
        <is>
          <t>ketQuaPhucHoiVuAn='KET_LUAN_DE_NGHI_TRUY_TO'</t>
        </is>
      </c>
      <c r="L136" s="43" t="inlineStr">
        <is>
          <t>-</t>
        </is>
      </c>
      <c r="M136" s="43" t="inlineStr">
        <is>
          <t>200</t>
        </is>
      </c>
      <c r="N136" s="43" t="inlineStr">
        <is>
          <t>Có 2 entry history (1 lần phục hồi, 1 lần kết luận)?</t>
        </is>
      </c>
      <c r="O136" s="40" t="inlineStr">
        <is>
          <t>High</t>
        </is>
      </c>
      <c r="P136" s="43" t="inlineStr">
        <is>
          <t>Thời gian: 208ms</t>
        </is>
      </c>
      <c r="Q136" s="40" t="inlineStr">
        <is>
          <t>Không đạt</t>
        </is>
      </c>
      <c r="R136" s="40" t="inlineStr">
        <is>
          <t>BUG-495</t>
        </is>
      </c>
      <c r="S136" s="40" t="inlineStr">
        <is>
          <t>23/05/2026 19:06</t>
        </is>
      </c>
      <c r="T136" s="43" t="inlineStr">
        <is>
          <t>R1:Không đạt</t>
        </is>
      </c>
      <c r="U136" s="40" t="inlineStr"/>
      <c r="V136" s="43" t="inlineStr">
        <is>
          <t>Implementation hiện chỉ tạo 1 entry — verify logic</t>
        </is>
      </c>
    </row>
    <row r="137" ht="80" customHeight="1">
      <c r="A137" s="40" t="inlineStr">
        <is>
          <t>TC-134</t>
        </is>
      </c>
      <c r="B137" s="46" t="inlineStr">
        <is>
          <t>STATE</t>
        </is>
      </c>
      <c r="C137" s="44" t="inlineStr">
        <is>
          <t>P1</t>
        </is>
      </c>
      <c r="D137" s="43" t="inlineStr">
        <is>
          <t>Update-status</t>
        </is>
      </c>
      <c r="E137" s="43" t="inlineStr">
        <is>
          <t>Idempotent: PUT cùng status không tạo history</t>
        </is>
      </c>
      <c r="F137" s="40" t="inlineStr">
        <is>
          <t>REQ-CASE-UPDATE-STATUS-134</t>
        </is>
      </c>
      <c r="G137" s="40" t="inlineStr">
        <is>
          <t>Use case testing</t>
        </is>
      </c>
      <c r="H137" s="40" t="inlineStr">
        <is>
          <t>TB</t>
        </is>
      </c>
      <c r="I137" s="43" t="inlineStr">
        <is>
          <t>status=DANG_DIEU_TRA</t>
        </is>
      </c>
      <c r="J137" s="43" t="inlineStr">
        <is>
          <t>PUT status=DANG_DIEU_TRA</t>
        </is>
      </c>
      <c r="K137" s="43" t="inlineStr">
        <is>
          <t>-</t>
        </is>
      </c>
      <c r="L137" s="43" t="inlineStr">
        <is>
          <t>-</t>
        </is>
      </c>
      <c r="M137" s="43" t="inlineStr">
        <is>
          <t>200</t>
        </is>
      </c>
      <c r="N137" s="43" t="inlineStr">
        <is>
          <t>History KHÔNG entry mới</t>
        </is>
      </c>
      <c r="O137" s="40" t="inlineStr">
        <is>
          <t>Medium</t>
        </is>
      </c>
      <c r="P137" s="43" t="inlineStr">
        <is>
          <t>Thời gian: 175ms</t>
        </is>
      </c>
      <c r="Q137" s="40" t="inlineStr">
        <is>
          <t>Không đạt</t>
        </is>
      </c>
      <c r="R137" s="40" t="inlineStr">
        <is>
          <t>BUG-496</t>
        </is>
      </c>
      <c r="S137" s="40" t="inlineStr">
        <is>
          <t>23/05/2026 19:06</t>
        </is>
      </c>
      <c r="T137" s="43" t="inlineStr">
        <is>
          <t>R1:Không đạt</t>
        </is>
      </c>
      <c r="U137" s="40" t="inlineStr"/>
      <c r="V137" s="43" t="inlineStr"/>
    </row>
    <row r="138" ht="80" customHeight="1">
      <c r="A138" s="40" t="inlineStr">
        <is>
          <t>TC-135</t>
        </is>
      </c>
      <c r="B138" s="46" t="inlineStr">
        <is>
          <t>STATE</t>
        </is>
      </c>
      <c r="C138" s="44" t="inlineStr">
        <is>
          <t>P1</t>
        </is>
      </c>
      <c r="D138" s="43" t="inlineStr">
        <is>
          <t>Update-status</t>
        </is>
      </c>
      <c r="E138" s="43" t="inlineStr">
        <is>
          <t>DA_LUU_TRU → DA_KET_LUAN (rollback) — có cho phép?</t>
        </is>
      </c>
      <c r="F138" s="40" t="inlineStr">
        <is>
          <t>REQ-CASE-UPDATE-STATUS-135</t>
        </is>
      </c>
      <c r="G138" s="40" t="inlineStr">
        <is>
          <t>Use case testing</t>
        </is>
      </c>
      <c r="H138" s="40" t="inlineStr">
        <is>
          <t>TB</t>
        </is>
      </c>
      <c r="I138" s="43" t="inlineStr">
        <is>
          <t>status=DA_LUU_TRU</t>
        </is>
      </c>
      <c r="J138" s="43" t="inlineStr">
        <is>
          <t>PUT status=DA_KET_LUAN</t>
        </is>
      </c>
      <c r="K138" s="43" t="inlineStr">
        <is>
          <t>-</t>
        </is>
      </c>
      <c r="L138" s="43" t="inlineStr">
        <is>
          <t>-</t>
        </is>
      </c>
      <c r="M138" s="43" t="inlineStr">
        <is>
          <t>? — hiện không enforce transition map ở backend</t>
        </is>
      </c>
      <c r="N138" s="43" t="inlineStr">
        <is>
          <t>-</t>
        </is>
      </c>
      <c r="O138" s="40" t="inlineStr">
        <is>
          <t>Low</t>
        </is>
      </c>
      <c r="P138" s="43" t="inlineStr">
        <is>
          <t>Thời gian: 268ms</t>
        </is>
      </c>
      <c r="Q138" s="40" t="inlineStr">
        <is>
          <t>Không đạt</t>
        </is>
      </c>
      <c r="R138" s="40" t="inlineStr">
        <is>
          <t>BUG-497</t>
        </is>
      </c>
      <c r="S138" s="40" t="inlineStr">
        <is>
          <t>23/05/2026 19:06</t>
        </is>
      </c>
      <c r="T138" s="43" t="inlineStr">
        <is>
          <t>R1:Không đạt</t>
        </is>
      </c>
      <c r="U138" s="40" t="inlineStr"/>
      <c r="V138" s="43" t="inlineStr">
        <is>
          <t>Gap: thiếu state machine validation. Frontend disable button.</t>
        </is>
      </c>
    </row>
    <row r="139" ht="80" customHeight="1">
      <c r="A139" s="40" t="inlineStr">
        <is>
          <t>TC-136</t>
        </is>
      </c>
      <c r="B139" s="46" t="inlineStr">
        <is>
          <t>STATE</t>
        </is>
      </c>
      <c r="C139" s="42" t="inlineStr">
        <is>
          <t>P0</t>
        </is>
      </c>
      <c r="D139" s="43" t="inlineStr">
        <is>
          <t>Update-status</t>
        </is>
      </c>
      <c r="E139" s="43" t="inlineStr">
        <is>
          <t>DINH_CHI → DANG_DIEU_TRA (sai logic) — cần block ở backend</t>
        </is>
      </c>
      <c r="F139" s="40" t="inlineStr">
        <is>
          <t>REQ-CASE-UPDATE-STATUS-136</t>
        </is>
      </c>
      <c r="G139" s="40" t="inlineStr">
        <is>
          <t>Use case testing</t>
        </is>
      </c>
      <c r="H139" s="40" t="inlineStr">
        <is>
          <t>Cao</t>
        </is>
      </c>
      <c r="I139" s="43" t="inlineStr">
        <is>
          <t>status=DINH_CHI</t>
        </is>
      </c>
      <c r="J139" s="43" t="inlineStr">
        <is>
          <t>PUT status=DANG_DIEU_TRA</t>
        </is>
      </c>
      <c r="K139" s="43" t="inlineStr">
        <is>
          <t>-</t>
        </is>
      </c>
      <c r="L139" s="43" t="inlineStr">
        <is>
          <t>-</t>
        </is>
      </c>
      <c r="M139" s="43" t="inlineStr">
        <is>
          <t>? — gap: hiện cho phép trừ khi frontend disable</t>
        </is>
      </c>
      <c r="N139" s="43" t="inlineStr">
        <is>
          <t>-</t>
        </is>
      </c>
      <c r="O139" s="40" t="inlineStr">
        <is>
          <t>High</t>
        </is>
      </c>
      <c r="P139" s="43" t="inlineStr">
        <is>
          <t>Thời gian: 252ms</t>
        </is>
      </c>
      <c r="Q139" s="40" t="inlineStr">
        <is>
          <t>Không đạt</t>
        </is>
      </c>
      <c r="R139" s="40" t="inlineStr">
        <is>
          <t>BUG-498</t>
        </is>
      </c>
      <c r="S139" s="40" t="inlineStr">
        <is>
          <t>23/05/2026 19:06</t>
        </is>
      </c>
      <c r="T139" s="43" t="inlineStr">
        <is>
          <t>R1:Không đạt</t>
        </is>
      </c>
      <c r="U139" s="40" t="inlineStr"/>
      <c r="V139" s="43" t="inlineStr">
        <is>
          <t>Cần backend enforce transition map</t>
        </is>
      </c>
    </row>
    <row r="140" ht="80" customHeight="1">
      <c r="A140" s="40" t="inlineStr">
        <is>
          <t>TC-137</t>
        </is>
      </c>
      <c r="B140" s="46" t="inlineStr">
        <is>
          <t>STATE</t>
        </is>
      </c>
      <c r="C140" s="42" t="inlineStr">
        <is>
          <t>P0</t>
        </is>
      </c>
      <c r="D140" s="43" t="inlineStr">
        <is>
          <t>Update-status</t>
        </is>
      </c>
      <c r="E140" s="43" t="inlineStr">
        <is>
          <t>DANG_XET_XU → TIEP_NHAN (rollback xa) — invalid logic</t>
        </is>
      </c>
      <c r="F140" s="40" t="inlineStr">
        <is>
          <t>REQ-CASE-UPDATE-STATUS-137</t>
        </is>
      </c>
      <c r="G140" s="40" t="inlineStr">
        <is>
          <t>Use case testing</t>
        </is>
      </c>
      <c r="H140" s="40" t="inlineStr">
        <is>
          <t>Cao</t>
        </is>
      </c>
      <c r="I140" s="43" t="inlineStr">
        <is>
          <t>status=DANG_XET_XU</t>
        </is>
      </c>
      <c r="J140" s="43" t="inlineStr">
        <is>
          <t>PUT status=TIEP_NHAN</t>
        </is>
      </c>
      <c r="K140" s="43" t="inlineStr">
        <is>
          <t>-</t>
        </is>
      </c>
      <c r="L140" s="43" t="inlineStr">
        <is>
          <t>-</t>
        </is>
      </c>
      <c r="M140" s="43" t="inlineStr">
        <is>
          <t>Gap: hiện cho phép</t>
        </is>
      </c>
      <c r="N140" s="43" t="inlineStr">
        <is>
          <t>-</t>
        </is>
      </c>
      <c r="O140" s="40" t="inlineStr">
        <is>
          <t>High</t>
        </is>
      </c>
      <c r="P140" s="43" t="inlineStr">
        <is>
          <t>Thời gian: 251ms</t>
        </is>
      </c>
      <c r="Q140" s="40" t="inlineStr">
        <is>
          <t>Không đạt</t>
        </is>
      </c>
      <c r="R140" s="40" t="inlineStr">
        <is>
          <t>BUG-499</t>
        </is>
      </c>
      <c r="S140" s="40" t="inlineStr">
        <is>
          <t>23/05/2026 19:06</t>
        </is>
      </c>
      <c r="T140" s="43" t="inlineStr">
        <is>
          <t>R1:Không đạt</t>
        </is>
      </c>
      <c r="U140" s="40" t="inlineStr"/>
      <c r="V140" s="43" t="inlineStr">
        <is>
          <t>Sample case test gap: cần state validation</t>
        </is>
      </c>
    </row>
    <row r="141" ht="80" customHeight="1">
      <c r="A141" s="40" t="inlineStr">
        <is>
          <t>TC-138</t>
        </is>
      </c>
      <c r="B141" s="46" t="inlineStr">
        <is>
          <t>STATE</t>
        </is>
      </c>
      <c r="C141" s="42" t="inlineStr">
        <is>
          <t>P0</t>
        </is>
      </c>
      <c r="D141" s="43" t="inlineStr">
        <is>
          <t>Update-status</t>
        </is>
      </c>
      <c r="E141" s="43" t="inlineStr">
        <is>
          <t>TAM_DINH_CHI lần thứ 2 (recurrent suspend) — soLanTamDinhChi=2</t>
        </is>
      </c>
      <c r="F141" s="40" t="inlineStr">
        <is>
          <t>REQ-CASE-UPDATE-STATUS-138</t>
        </is>
      </c>
      <c r="G141" s="40" t="inlineStr">
        <is>
          <t>Use case testing</t>
        </is>
      </c>
      <c r="H141" s="40" t="inlineStr">
        <is>
          <t>Cao</t>
        </is>
      </c>
      <c r="I141" s="43" t="inlineStr">
        <is>
          <t>status=DANG_DIEU_TRA, soLanTamDinhChi=1</t>
        </is>
      </c>
      <c r="J141" s="43" t="inlineStr">
        <is>
          <t>PUT status=TAM_DINH_CHI với lyDoTamDinhChiVuAn</t>
        </is>
      </c>
      <c r="K141" s="43" t="inlineStr">
        <is>
          <t>lyDoTamDinhChiVuAn='BI_CAN_BENH_TAM_THAN'</t>
        </is>
      </c>
      <c r="L141" s="43" t="inlineStr">
        <is>
          <t>Detail show 'Đã tạm đình chỉ 2 lần'</t>
        </is>
      </c>
      <c r="M141" s="43" t="inlineStr">
        <is>
          <t>200</t>
        </is>
      </c>
      <c r="N141" s="43" t="inlineStr">
        <is>
          <t>soLanTamDinhChi increment to 2 (continuously)</t>
        </is>
      </c>
      <c r="O141" s="40" t="inlineStr">
        <is>
          <t>High</t>
        </is>
      </c>
      <c r="P141" s="43" t="inlineStr">
        <is>
          <t>Đạt như expected. Thời gian: 894ms</t>
        </is>
      </c>
      <c r="Q141" s="40" t="inlineStr">
        <is>
          <t>Đạt</t>
        </is>
      </c>
      <c r="R141" s="40" t="inlineStr"/>
      <c r="S141" s="40" t="inlineStr">
        <is>
          <t>23/05/2026 19:06</t>
        </is>
      </c>
      <c r="T141" s="43" t="inlineStr">
        <is>
          <t>R1:Đạt</t>
        </is>
      </c>
      <c r="U141" s="40" t="inlineStr"/>
      <c r="V141" s="43" t="inlineStr"/>
    </row>
    <row r="142" ht="80" customHeight="1">
      <c r="A142" s="40" t="inlineStr">
        <is>
          <t>TC-139</t>
        </is>
      </c>
      <c r="B142" s="41" t="inlineStr">
        <is>
          <t>GREEN</t>
        </is>
      </c>
      <c r="C142" s="42" t="inlineStr">
        <is>
          <t>P0</t>
        </is>
      </c>
      <c r="D142" s="43" t="inlineStr">
        <is>
          <t>Delete</t>
        </is>
      </c>
      <c r="E142" s="43" t="inlineStr">
        <is>
          <t>Soft delete Case TIEP_NHAN, reason 50 chars, creator → success</t>
        </is>
      </c>
      <c r="F142" s="40" t="inlineStr">
        <is>
          <t>REQ-CASE-DELETE-139</t>
        </is>
      </c>
      <c r="G142" s="40" t="inlineStr">
        <is>
          <t>Use case testing</t>
        </is>
      </c>
      <c r="H142" s="40" t="inlineStr">
        <is>
          <t>Cao</t>
        </is>
      </c>
      <c r="I142" s="43" t="inlineStr">
        <is>
          <t>CASE-001 status=TIEP_NHAN, createdById=dieuTra1, không có subjects/lawyers/conclusions</t>
        </is>
      </c>
      <c r="J142" s="43" t="inlineStr">
        <is>
          <t>1. Login dieuTra1
2. DELETE /cases/CASE-001 với body {reason:'Tạo nhầm, cần xóa'}</t>
        </is>
      </c>
      <c r="K142" s="43" t="inlineStr">
        <is>
          <t>reason='Tạo nhầm, cần xóa, hạng mục thừa khi import'</t>
        </is>
      </c>
      <c r="L142" s="43" t="inlineStr">
        <is>
          <t>Toast 'Xóa vụ án thành công'</t>
        </is>
      </c>
      <c r="M142" s="43" t="inlineStr">
        <is>
          <t>200 message='Xóa vụ án thành công'</t>
        </is>
      </c>
      <c r="N142" s="43" t="inlineStr">
        <is>
          <t>1. cases.deletedAt=now()
2. Audit CASE_DELETED metadata.reason + hoursAfterCreation</t>
        </is>
      </c>
      <c r="O142" s="40" t="inlineStr">
        <is>
          <t>Critical</t>
        </is>
      </c>
      <c r="P142" s="43" t="inlineStr">
        <is>
          <t>Đạt như expected. Thời gian: 178ms</t>
        </is>
      </c>
      <c r="Q142" s="40" t="inlineStr">
        <is>
          <t>Đạt</t>
        </is>
      </c>
      <c r="R142" s="40" t="inlineStr"/>
      <c r="S142" s="40" t="inlineStr">
        <is>
          <t>23/05/2026 19:06</t>
        </is>
      </c>
      <c r="T142" s="43" t="inlineStr">
        <is>
          <t>R1:Đạt</t>
        </is>
      </c>
      <c r="U142" s="40" t="inlineStr"/>
      <c r="V142" s="43" t="inlineStr"/>
    </row>
    <row r="143" ht="80" customHeight="1">
      <c r="A143" s="40" t="inlineStr">
        <is>
          <t>TC-140</t>
        </is>
      </c>
      <c r="B143" s="45" t="inlineStr">
        <is>
          <t>RED</t>
        </is>
      </c>
      <c r="C143" s="42" t="inlineStr">
        <is>
          <t>P0</t>
        </is>
      </c>
      <c r="D143" s="43" t="inlineStr">
        <is>
          <t>Delete</t>
        </is>
      </c>
      <c r="E143" s="43" t="inlineStr">
        <is>
          <t>Reason &lt; 10 ký tự → 400</t>
        </is>
      </c>
      <c r="F143" s="40" t="inlineStr">
        <is>
          <t>REQ-CASE-DELETE-140</t>
        </is>
      </c>
      <c r="G143" s="40" t="inlineStr">
        <is>
          <t>Use case testing</t>
        </is>
      </c>
      <c r="H143" s="40" t="inlineStr">
        <is>
          <t>Cao</t>
        </is>
      </c>
      <c r="I143" s="43" t="inlineStr">
        <is>
          <t>1. User đã login
2. Token JWT hợp lệ</t>
        </is>
      </c>
      <c r="J143" s="43" t="inlineStr">
        <is>
          <t>DELETE body {reason:'Sai'}</t>
        </is>
      </c>
      <c r="K143" s="43" t="inlineStr">
        <is>
          <t>reason='Sai' (3 chars)</t>
        </is>
      </c>
      <c r="L143" s="43" t="inlineStr">
        <is>
          <t>Error 'Reason phải 10-500 ký tự'</t>
        </is>
      </c>
      <c r="M143" s="43" t="inlineStr">
        <is>
          <t>400 (DTO MinLength(10))</t>
        </is>
      </c>
      <c r="N143" s="43" t="inlineStr">
        <is>
          <t>-</t>
        </is>
      </c>
      <c r="O143" s="40" t="inlineStr">
        <is>
          <t>High</t>
        </is>
      </c>
      <c r="P143" s="43" t="inlineStr">
        <is>
          <t>Thời gian: 148ms</t>
        </is>
      </c>
      <c r="Q143" s="40" t="inlineStr">
        <is>
          <t>Không đạt</t>
        </is>
      </c>
      <c r="R143" s="40" t="inlineStr">
        <is>
          <t>BUG-129</t>
        </is>
      </c>
      <c r="S143" s="40" t="inlineStr">
        <is>
          <t>23/05/2026 19:06</t>
        </is>
      </c>
      <c r="T143" s="43" t="inlineStr">
        <is>
          <t>R1:Không đạt</t>
        </is>
      </c>
      <c r="U143" s="40" t="inlineStr"/>
      <c r="V143" s="43" t="inlineStr"/>
    </row>
    <row r="144" ht="80" customHeight="1">
      <c r="A144" s="40" t="inlineStr">
        <is>
          <t>TC-141</t>
        </is>
      </c>
      <c r="B144" s="45" t="inlineStr">
        <is>
          <t>RED</t>
        </is>
      </c>
      <c r="C144" s="42" t="inlineStr">
        <is>
          <t>P0</t>
        </is>
      </c>
      <c r="D144" s="43" t="inlineStr">
        <is>
          <t>Delete</t>
        </is>
      </c>
      <c r="E144" s="43" t="inlineStr">
        <is>
          <t>Reason &gt; 500 ký tự → 400</t>
        </is>
      </c>
      <c r="F144" s="40" t="inlineStr">
        <is>
          <t>REQ-CASE-DELETE-141</t>
        </is>
      </c>
      <c r="G144" s="40" t="inlineStr">
        <is>
          <t>Use case testing</t>
        </is>
      </c>
      <c r="H144" s="40" t="inlineStr">
        <is>
          <t>Cao</t>
        </is>
      </c>
      <c r="I144" s="43" t="inlineStr">
        <is>
          <t>1. User đã login
2. Token JWT hợp lệ</t>
        </is>
      </c>
      <c r="J144" s="43" t="inlineStr">
        <is>
          <t>DELETE reason='X'.repeat(501)</t>
        </is>
      </c>
      <c r="K144" s="43" t="inlineStr">
        <is>
          <t>length=501</t>
        </is>
      </c>
      <c r="L144" s="43" t="inlineStr">
        <is>
          <t>-</t>
        </is>
      </c>
      <c r="M144" s="43" t="inlineStr">
        <is>
          <t>400 MaxLength(500)</t>
        </is>
      </c>
      <c r="N144" s="43" t="inlineStr">
        <is>
          <t>-</t>
        </is>
      </c>
      <c r="O144" s="40" t="inlineStr">
        <is>
          <t>High</t>
        </is>
      </c>
      <c r="P144" s="43" t="inlineStr">
        <is>
          <t>Thời gian: 853ms</t>
        </is>
      </c>
      <c r="Q144" s="40" t="inlineStr">
        <is>
          <t>Không đạt</t>
        </is>
      </c>
      <c r="R144" s="40" t="inlineStr">
        <is>
          <t>BUG-130</t>
        </is>
      </c>
      <c r="S144" s="40" t="inlineStr">
        <is>
          <t>23/05/2026 19:06</t>
        </is>
      </c>
      <c r="T144" s="43" t="inlineStr">
        <is>
          <t>R1:Không đạt</t>
        </is>
      </c>
      <c r="U144" s="40" t="inlineStr"/>
      <c r="V144" s="43" t="inlineStr"/>
    </row>
    <row r="145" ht="80" customHeight="1">
      <c r="A145" s="40" t="inlineStr">
        <is>
          <t>TC-142</t>
        </is>
      </c>
      <c r="B145" s="45" t="inlineStr">
        <is>
          <t>RED</t>
        </is>
      </c>
      <c r="C145" s="42" t="inlineStr">
        <is>
          <t>P0</t>
        </is>
      </c>
      <c r="D145" s="43" t="inlineStr">
        <is>
          <t>Delete</t>
        </is>
      </c>
      <c r="E145" s="43" t="inlineStr">
        <is>
          <t>Thiếu reason → 400</t>
        </is>
      </c>
      <c r="F145" s="40" t="inlineStr">
        <is>
          <t>REQ-CASE-DELETE-142</t>
        </is>
      </c>
      <c r="G145" s="40" t="inlineStr">
        <is>
          <t>Use case testing</t>
        </is>
      </c>
      <c r="H145" s="40" t="inlineStr">
        <is>
          <t>Cao</t>
        </is>
      </c>
      <c r="I145" s="43" t="inlineStr">
        <is>
          <t>1. User đã login
2. Token JWT hợp lệ</t>
        </is>
      </c>
      <c r="J145" s="43" t="inlineStr">
        <is>
          <t>DELETE không body</t>
        </is>
      </c>
      <c r="K145" s="43" t="inlineStr">
        <is>
          <t>{}</t>
        </is>
      </c>
      <c r="L145" s="43" t="inlineStr">
        <is>
          <t>Error</t>
        </is>
      </c>
      <c r="M145" s="43" t="inlineStr">
        <is>
          <t>400 reason required</t>
        </is>
      </c>
      <c r="N145" s="43" t="inlineStr">
        <is>
          <t>-</t>
        </is>
      </c>
      <c r="O145" s="40" t="inlineStr">
        <is>
          <t>High</t>
        </is>
      </c>
      <c r="P145" s="43" t="inlineStr">
        <is>
          <t>Thời gian: 823ms</t>
        </is>
      </c>
      <c r="Q145" s="40" t="inlineStr">
        <is>
          <t>Không đạt</t>
        </is>
      </c>
      <c r="R145" s="40" t="inlineStr">
        <is>
          <t>BUG-131</t>
        </is>
      </c>
      <c r="S145" s="40" t="inlineStr">
        <is>
          <t>23/05/2026 19:06</t>
        </is>
      </c>
      <c r="T145" s="43" t="inlineStr">
        <is>
          <t>R1:Không đạt</t>
        </is>
      </c>
      <c r="U145" s="40" t="inlineStr"/>
      <c r="V145" s="43" t="inlineStr"/>
    </row>
    <row r="146" ht="80" customHeight="1">
      <c r="A146" s="40" t="inlineStr">
        <is>
          <t>TC-143</t>
        </is>
      </c>
      <c r="B146" s="45" t="inlineStr">
        <is>
          <t>RED</t>
        </is>
      </c>
      <c r="C146" s="42" t="inlineStr">
        <is>
          <t>P0</t>
        </is>
      </c>
      <c r="D146" s="43" t="inlineStr">
        <is>
          <t>Delete</t>
        </is>
      </c>
      <c r="E146" s="43" t="inlineStr">
        <is>
          <t>Reason rỗng '' → 400</t>
        </is>
      </c>
      <c r="F146" s="40" t="inlineStr">
        <is>
          <t>REQ-CASE-DELETE-143</t>
        </is>
      </c>
      <c r="G146" s="40" t="inlineStr">
        <is>
          <t>Use case testing</t>
        </is>
      </c>
      <c r="H146" s="40" t="inlineStr">
        <is>
          <t>Cao</t>
        </is>
      </c>
      <c r="I146" s="43" t="inlineStr">
        <is>
          <t>1. User đã login
2. Token JWT hợp lệ</t>
        </is>
      </c>
      <c r="J146" s="43" t="inlineStr">
        <is>
          <t>DELETE reason=''</t>
        </is>
      </c>
      <c r="K146" s="43" t="inlineStr">
        <is>
          <t>reason=''</t>
        </is>
      </c>
      <c r="L146" s="43" t="inlineStr">
        <is>
          <t>-</t>
        </is>
      </c>
      <c r="M146" s="43" t="inlineStr">
        <is>
          <t>400</t>
        </is>
      </c>
      <c r="N146" s="43" t="inlineStr">
        <is>
          <t>-</t>
        </is>
      </c>
      <c r="O146" s="40" t="inlineStr">
        <is>
          <t>High</t>
        </is>
      </c>
      <c r="P146" s="43" t="inlineStr">
        <is>
          <t>Thời gian: 836ms</t>
        </is>
      </c>
      <c r="Q146" s="40" t="inlineStr">
        <is>
          <t>Không đạt</t>
        </is>
      </c>
      <c r="R146" s="40" t="inlineStr">
        <is>
          <t>BUG-132</t>
        </is>
      </c>
      <c r="S146" s="40" t="inlineStr">
        <is>
          <t>23/05/2026 19:06</t>
        </is>
      </c>
      <c r="T146" s="43" t="inlineStr">
        <is>
          <t>R1:Không đạt</t>
        </is>
      </c>
      <c r="U146" s="40" t="inlineStr"/>
      <c r="V146" s="43" t="inlineStr"/>
    </row>
    <row r="147" ht="80" customHeight="1">
      <c r="A147" s="40" t="inlineStr">
        <is>
          <t>TC-144</t>
        </is>
      </c>
      <c r="B147" s="45" t="inlineStr">
        <is>
          <t>RED</t>
        </is>
      </c>
      <c r="C147" s="42" t="inlineStr">
        <is>
          <t>P0</t>
        </is>
      </c>
      <c r="D147" s="43" t="inlineStr">
        <is>
          <t>Delete</t>
        </is>
      </c>
      <c r="E147" s="43" t="inlineStr">
        <is>
          <t>Reason chỉ whitespace '          ' → 400 (Transform trim)</t>
        </is>
      </c>
      <c r="F147" s="40" t="inlineStr">
        <is>
          <t>REQ-CASE-DELETE-144</t>
        </is>
      </c>
      <c r="G147" s="40" t="inlineStr">
        <is>
          <t>Use case testing</t>
        </is>
      </c>
      <c r="H147" s="40" t="inlineStr">
        <is>
          <t>Cao</t>
        </is>
      </c>
      <c r="I147" s="43" t="inlineStr">
        <is>
          <t>1. User đã login
2. Token JWT hợp lệ</t>
        </is>
      </c>
      <c r="J147" s="43" t="inlineStr">
        <is>
          <t>DELETE reason='          '</t>
        </is>
      </c>
      <c r="K147" s="43" t="inlineStr">
        <is>
          <t>reason='          '</t>
        </is>
      </c>
      <c r="L147" s="43" t="inlineStr">
        <is>
          <t>Error 'Reason bắt buộc'</t>
        </is>
      </c>
      <c r="M147" s="43" t="inlineStr">
        <is>
          <t>400 sau Transform trim</t>
        </is>
      </c>
      <c r="N147" s="43" t="inlineStr">
        <is>
          <t>-</t>
        </is>
      </c>
      <c r="O147" s="40" t="inlineStr">
        <is>
          <t>High</t>
        </is>
      </c>
      <c r="P147" s="43" t="inlineStr">
        <is>
          <t>Thời gian: 151ms</t>
        </is>
      </c>
      <c r="Q147" s="40" t="inlineStr">
        <is>
          <t>Không đạt</t>
        </is>
      </c>
      <c r="R147" s="40" t="inlineStr">
        <is>
          <t>BUG-133</t>
        </is>
      </c>
      <c r="S147" s="40" t="inlineStr">
        <is>
          <t>23/05/2026 19:06</t>
        </is>
      </c>
      <c r="T147" s="43" t="inlineStr">
        <is>
          <t>R1:Không đạt</t>
        </is>
      </c>
      <c r="U147" s="40" t="inlineStr"/>
      <c r="V147" s="43" t="inlineStr">
        <is>
          <t>Tương tự BUG-001 cho name field</t>
        </is>
      </c>
    </row>
    <row r="148" ht="80" customHeight="1">
      <c r="A148" s="40" t="inlineStr">
        <is>
          <t>TC-145</t>
        </is>
      </c>
      <c r="B148" s="45" t="inlineStr">
        <is>
          <t>RED</t>
        </is>
      </c>
      <c r="C148" s="42" t="inlineStr">
        <is>
          <t>P0</t>
        </is>
      </c>
      <c r="D148" s="43" t="inlineStr">
        <is>
          <t>Delete</t>
        </is>
      </c>
      <c r="E148" s="43" t="inlineStr">
        <is>
          <t>Status ≠ TIEP_NHAN (DANG_DIEU_TRA) → 400 'Chỉ xóa được vụ án ở trạng thái Tiếp nhận'</t>
        </is>
      </c>
      <c r="F148" s="40" t="inlineStr">
        <is>
          <t>REQ-CASE-DELETE-145</t>
        </is>
      </c>
      <c r="G148" s="40" t="inlineStr">
        <is>
          <t>Use case testing</t>
        </is>
      </c>
      <c r="H148" s="40" t="inlineStr">
        <is>
          <t>Cao</t>
        </is>
      </c>
      <c r="I148" s="43" t="inlineStr">
        <is>
          <t>CASE-002 status=DANG_DIEU_TRA</t>
        </is>
      </c>
      <c r="J148" s="43" t="inlineStr">
        <is>
          <t>DELETE /cases/CASE-002 reason='Sai dữ liệu cần xóa'</t>
        </is>
      </c>
      <c r="K148" s="43" t="inlineStr">
        <is>
          <t>-</t>
        </is>
      </c>
      <c r="L148" s="43" t="inlineStr">
        <is>
          <t>Toast '... Vụ án đã chuyển trạng thái không thể xóa'</t>
        </is>
      </c>
      <c r="M148" s="43" t="inlineStr">
        <is>
          <t>400 BadRequestException</t>
        </is>
      </c>
      <c r="N148" s="43" t="inlineStr">
        <is>
          <t>Không soft-delete</t>
        </is>
      </c>
      <c r="O148" s="40" t="inlineStr">
        <is>
          <t>Critical</t>
        </is>
      </c>
      <c r="P148" s="43" t="inlineStr">
        <is>
          <t>Thời gian: 159ms</t>
        </is>
      </c>
      <c r="Q148" s="40" t="inlineStr">
        <is>
          <t>Không đạt</t>
        </is>
      </c>
      <c r="R148" s="40" t="inlineStr">
        <is>
          <t>BUG-134</t>
        </is>
      </c>
      <c r="S148" s="40" t="inlineStr">
        <is>
          <t>23/05/2026 19:06</t>
        </is>
      </c>
      <c r="T148" s="43" t="inlineStr">
        <is>
          <t>R1:Không đạt</t>
        </is>
      </c>
      <c r="U148" s="40" t="inlineStr"/>
      <c r="V148" s="43" t="inlineStr"/>
    </row>
    <row r="149" ht="80" customHeight="1">
      <c r="A149" s="40" t="inlineStr">
        <is>
          <t>TC-146</t>
        </is>
      </c>
      <c r="B149" s="45" t="inlineStr">
        <is>
          <t>RED</t>
        </is>
      </c>
      <c r="C149" s="42" t="inlineStr">
        <is>
          <t>P0</t>
        </is>
      </c>
      <c r="D149" s="43" t="inlineStr">
        <is>
          <t>Delete</t>
        </is>
      </c>
      <c r="E149" s="43" t="inlineStr">
        <is>
          <t>Có ≥1 subject linked → 400 'có N đối tượng. Xóa các đối tượng trước'</t>
        </is>
      </c>
      <c r="F149" s="40" t="inlineStr">
        <is>
          <t>REQ-CASE-DELETE-146</t>
        </is>
      </c>
      <c r="G149" s="40" t="inlineStr">
        <is>
          <t>Use case testing</t>
        </is>
      </c>
      <c r="H149" s="40" t="inlineStr">
        <is>
          <t>Cao</t>
        </is>
      </c>
      <c r="I149" s="43" t="inlineStr">
        <is>
          <t>CASE-001 có 2 subjects deletedAt=null</t>
        </is>
      </c>
      <c r="J149" s="43" t="inlineStr">
        <is>
          <t>DELETE /cases/CASE-001 reason='...'</t>
        </is>
      </c>
      <c r="K149" s="43" t="inlineStr">
        <is>
          <t>-</t>
        </is>
      </c>
      <c r="L149" s="43" t="inlineStr">
        <is>
          <t>'Không thể xóa: vụ án có 2 đối tượng. Xóa các đối tượng trước.'</t>
        </is>
      </c>
      <c r="M149" s="43" t="inlineStr">
        <is>
          <t>400</t>
        </is>
      </c>
      <c r="N149" s="43" t="inlineStr">
        <is>
          <t>-</t>
        </is>
      </c>
      <c r="O149" s="40" t="inlineStr">
        <is>
          <t>High</t>
        </is>
      </c>
      <c r="P149" s="43" t="inlineStr">
        <is>
          <t>Thời gian: 165ms</t>
        </is>
      </c>
      <c r="Q149" s="40" t="inlineStr">
        <is>
          <t>Không đạt</t>
        </is>
      </c>
      <c r="R149" s="40" t="inlineStr">
        <is>
          <t>BUG-135</t>
        </is>
      </c>
      <c r="S149" s="40" t="inlineStr">
        <is>
          <t>23/05/2026 19:06</t>
        </is>
      </c>
      <c r="T149" s="43" t="inlineStr">
        <is>
          <t>R1:Không đạt</t>
        </is>
      </c>
      <c r="U149" s="40" t="inlineStr"/>
      <c r="V149" s="43" t="inlineStr"/>
    </row>
    <row r="150" ht="80" customHeight="1">
      <c r="A150" s="40" t="inlineStr">
        <is>
          <t>TC-147</t>
        </is>
      </c>
      <c r="B150" s="45" t="inlineStr">
        <is>
          <t>RED</t>
        </is>
      </c>
      <c r="C150" s="42" t="inlineStr">
        <is>
          <t>P0</t>
        </is>
      </c>
      <c r="D150" s="43" t="inlineStr">
        <is>
          <t>Delete</t>
        </is>
      </c>
      <c r="E150" s="43" t="inlineStr">
        <is>
          <t>Có ≥1 lawyer linked → 400 'có N luật sư'</t>
        </is>
      </c>
      <c r="F150" s="40" t="inlineStr">
        <is>
          <t>REQ-CASE-DELETE-147</t>
        </is>
      </c>
      <c r="G150" s="40" t="inlineStr">
        <is>
          <t>Use case testing</t>
        </is>
      </c>
      <c r="H150" s="40" t="inlineStr">
        <is>
          <t>Cao</t>
        </is>
      </c>
      <c r="I150" s="43" t="inlineStr">
        <is>
          <t>CASE-001 có 1 lawyer</t>
        </is>
      </c>
      <c r="J150" s="43" t="inlineStr">
        <is>
          <t>DELETE reason='...'</t>
        </is>
      </c>
      <c r="K150" s="43" t="inlineStr">
        <is>
          <t>-</t>
        </is>
      </c>
      <c r="L150" s="43" t="inlineStr">
        <is>
          <t>'Không thể xóa: vụ án có 1 luật sư đăng ký. Xóa các luật sư trước.'</t>
        </is>
      </c>
      <c r="M150" s="43" t="inlineStr">
        <is>
          <t>400</t>
        </is>
      </c>
      <c r="N150" s="43" t="inlineStr">
        <is>
          <t>-</t>
        </is>
      </c>
      <c r="O150" s="40" t="inlineStr">
        <is>
          <t>High</t>
        </is>
      </c>
      <c r="P150" s="43" t="inlineStr">
        <is>
          <t>Thời gian: 199ms</t>
        </is>
      </c>
      <c r="Q150" s="40" t="inlineStr">
        <is>
          <t>Không đạt</t>
        </is>
      </c>
      <c r="R150" s="40" t="inlineStr">
        <is>
          <t>BUG-136</t>
        </is>
      </c>
      <c r="S150" s="40" t="inlineStr">
        <is>
          <t>23/05/2026 19:06</t>
        </is>
      </c>
      <c r="T150" s="43" t="inlineStr">
        <is>
          <t>R1:Không đạt</t>
        </is>
      </c>
      <c r="U150" s="40" t="inlineStr"/>
      <c r="V150" s="43" t="inlineStr"/>
    </row>
    <row r="151" ht="80" customHeight="1">
      <c r="A151" s="40" t="inlineStr">
        <is>
          <t>TC-148</t>
        </is>
      </c>
      <c r="B151" s="45" t="inlineStr">
        <is>
          <t>RED</t>
        </is>
      </c>
      <c r="C151" s="42" t="inlineStr">
        <is>
          <t>P0</t>
        </is>
      </c>
      <c r="D151" s="43" t="inlineStr">
        <is>
          <t>Delete</t>
        </is>
      </c>
      <c r="E151" s="43" t="inlineStr">
        <is>
          <t>Có ≥1 conclusion → 400</t>
        </is>
      </c>
      <c r="F151" s="40" t="inlineStr">
        <is>
          <t>REQ-CASE-DELETE-148</t>
        </is>
      </c>
      <c r="G151" s="40" t="inlineStr">
        <is>
          <t>Use case testing</t>
        </is>
      </c>
      <c r="H151" s="40" t="inlineStr">
        <is>
          <t>Cao</t>
        </is>
      </c>
      <c r="I151" s="43" t="inlineStr">
        <is>
          <t>CASE-001 có 1 conclusion</t>
        </is>
      </c>
      <c r="J151" s="43" t="inlineStr">
        <is>
          <t>DELETE</t>
        </is>
      </c>
      <c r="K151" s="43" t="inlineStr"/>
      <c r="L151" s="43" t="inlineStr">
        <is>
          <t>'... có 1 kết luận điều tra'</t>
        </is>
      </c>
      <c r="M151" s="43" t="inlineStr">
        <is>
          <t>400</t>
        </is>
      </c>
      <c r="N151" s="43" t="inlineStr">
        <is>
          <t>-</t>
        </is>
      </c>
      <c r="O151" s="40" t="inlineStr">
        <is>
          <t>High</t>
        </is>
      </c>
      <c r="P151" s="43" t="inlineStr">
        <is>
          <t>Thời gian: 161ms</t>
        </is>
      </c>
      <c r="Q151" s="40" t="inlineStr">
        <is>
          <t>Không đạt</t>
        </is>
      </c>
      <c r="R151" s="40" t="inlineStr">
        <is>
          <t>BUG-137</t>
        </is>
      </c>
      <c r="S151" s="40" t="inlineStr">
        <is>
          <t>23/05/2026 19:06</t>
        </is>
      </c>
      <c r="T151" s="43" t="inlineStr">
        <is>
          <t>R1:Không đạt</t>
        </is>
      </c>
      <c r="U151" s="40" t="inlineStr"/>
      <c r="V151" s="43" t="inlineStr"/>
    </row>
    <row r="152" ht="80" customHeight="1">
      <c r="A152" s="40" t="inlineStr">
        <is>
          <t>TC-149</t>
        </is>
      </c>
      <c r="B152" s="45" t="inlineStr">
        <is>
          <t>RED</t>
        </is>
      </c>
      <c r="C152" s="42" t="inlineStr">
        <is>
          <t>P0</t>
        </is>
      </c>
      <c r="D152" s="43" t="inlineStr">
        <is>
          <t>Delete</t>
        </is>
      </c>
      <c r="E152" s="43" t="inlineStr">
        <is>
          <t>Có ≥1 document → 400</t>
        </is>
      </c>
      <c r="F152" s="40" t="inlineStr">
        <is>
          <t>REQ-CASE-DELETE-149</t>
        </is>
      </c>
      <c r="G152" s="40" t="inlineStr">
        <is>
          <t>Use case testing</t>
        </is>
      </c>
      <c r="H152" s="40" t="inlineStr">
        <is>
          <t>Cao</t>
        </is>
      </c>
      <c r="I152" s="43" t="inlineStr">
        <is>
          <t>CASE-001 có 3 documents</t>
        </is>
      </c>
      <c r="J152" s="43" t="inlineStr">
        <is>
          <t>DELETE</t>
        </is>
      </c>
      <c r="K152" s="43" t="inlineStr"/>
      <c r="L152" s="43" t="inlineStr">
        <is>
          <t>'... 3 tài liệu đính kèm'</t>
        </is>
      </c>
      <c r="M152" s="43" t="inlineStr">
        <is>
          <t>400</t>
        </is>
      </c>
      <c r="N152" s="43" t="inlineStr">
        <is>
          <t>-</t>
        </is>
      </c>
      <c r="O152" s="40" t="inlineStr">
        <is>
          <t>High</t>
        </is>
      </c>
      <c r="P152" s="43" t="inlineStr">
        <is>
          <t>Thời gian: 130ms</t>
        </is>
      </c>
      <c r="Q152" s="40" t="inlineStr">
        <is>
          <t>Không đạt</t>
        </is>
      </c>
      <c r="R152" s="40" t="inlineStr">
        <is>
          <t>BUG-138</t>
        </is>
      </c>
      <c r="S152" s="40" t="inlineStr">
        <is>
          <t>23/05/2026 19:06</t>
        </is>
      </c>
      <c r="T152" s="43" t="inlineStr">
        <is>
          <t>R1:Không đạt</t>
        </is>
      </c>
      <c r="U152" s="40" t="inlineStr"/>
      <c r="V152" s="43" t="inlineStr"/>
    </row>
    <row r="153" ht="80" customHeight="1">
      <c r="A153" s="40" t="inlineStr">
        <is>
          <t>TC-150</t>
        </is>
      </c>
      <c r="B153" s="45" t="inlineStr">
        <is>
          <t>RED</t>
        </is>
      </c>
      <c r="C153" s="42" t="inlineStr">
        <is>
          <t>P0</t>
        </is>
      </c>
      <c r="D153" s="43" t="inlineStr">
        <is>
          <t>Delete</t>
        </is>
      </c>
      <c r="E153" s="43" t="inlineStr">
        <is>
          <t>Có ≥1 linkedIncident → 400</t>
        </is>
      </c>
      <c r="F153" s="40" t="inlineStr">
        <is>
          <t>REQ-CASE-DELETE-150</t>
        </is>
      </c>
      <c r="G153" s="40" t="inlineStr">
        <is>
          <t>Use case testing</t>
        </is>
      </c>
      <c r="H153" s="40" t="inlineStr">
        <is>
          <t>Cao</t>
        </is>
      </c>
      <c r="I153" s="43" t="inlineStr">
        <is>
          <t>CASE-001 link với 1 Incident</t>
        </is>
      </c>
      <c r="J153" s="43" t="inlineStr">
        <is>
          <t>DELETE</t>
        </is>
      </c>
      <c r="K153" s="43" t="inlineStr"/>
      <c r="L153" s="43" t="inlineStr">
        <is>
          <t>'... 1 vụ việc liên kết'</t>
        </is>
      </c>
      <c r="M153" s="43" t="inlineStr">
        <is>
          <t>400</t>
        </is>
      </c>
      <c r="N153" s="43" t="inlineStr">
        <is>
          <t>-</t>
        </is>
      </c>
      <c r="O153" s="40" t="inlineStr">
        <is>
          <t>High</t>
        </is>
      </c>
      <c r="P153" s="43" t="inlineStr">
        <is>
          <t>Thời gian: 278ms</t>
        </is>
      </c>
      <c r="Q153" s="40" t="inlineStr">
        <is>
          <t>Không đạt</t>
        </is>
      </c>
      <c r="R153" s="40" t="inlineStr">
        <is>
          <t>BUG-139</t>
        </is>
      </c>
      <c r="S153" s="40" t="inlineStr">
        <is>
          <t>23/05/2026 19:06</t>
        </is>
      </c>
      <c r="T153" s="43" t="inlineStr">
        <is>
          <t>R1:Không đạt</t>
        </is>
      </c>
      <c r="U153" s="40" t="inlineStr"/>
      <c r="V153" s="43" t="inlineStr"/>
    </row>
    <row r="154" ht="80" customHeight="1">
      <c r="A154" s="40" t="inlineStr">
        <is>
          <t>TC-151</t>
        </is>
      </c>
      <c r="B154" s="45" t="inlineStr">
        <is>
          <t>RED</t>
        </is>
      </c>
      <c r="C154" s="42" t="inlineStr">
        <is>
          <t>P0</t>
        </is>
      </c>
      <c r="D154" s="43" t="inlineStr">
        <is>
          <t>Delete</t>
        </is>
      </c>
      <c r="E154" s="43" t="inlineStr">
        <is>
          <t>User không phải creator + không phải ADMIN → 403</t>
        </is>
      </c>
      <c r="F154" s="40" t="inlineStr">
        <is>
          <t>REQ-CASE-DELETE-151</t>
        </is>
      </c>
      <c r="G154" s="40" t="inlineStr">
        <is>
          <t>Use case testing</t>
        </is>
      </c>
      <c r="H154" s="40" t="inlineStr">
        <is>
          <t>Cao</t>
        </is>
      </c>
      <c r="I154" s="43" t="inlineStr">
        <is>
          <t>CASE-001 createdById=dieuTra1, login bằng dieuTra2</t>
        </is>
      </c>
      <c r="J154" s="43" t="inlineStr">
        <is>
          <t>DELETE</t>
        </is>
      </c>
      <c r="K154" s="43" t="inlineStr"/>
      <c r="L154" s="43" t="inlineStr">
        <is>
          <t>'Chỉ người tạo vụ án hoặc quản trị viên mới được xóa.'</t>
        </is>
      </c>
      <c r="M154" s="43" t="inlineStr">
        <is>
          <t>403 ForbiddenException</t>
        </is>
      </c>
      <c r="N154" s="43" t="inlineStr">
        <is>
          <t>-</t>
        </is>
      </c>
      <c r="O154" s="40" t="inlineStr">
        <is>
          <t>Critical</t>
        </is>
      </c>
      <c r="P154" s="43" t="inlineStr">
        <is>
          <t>Thời gian: 221ms</t>
        </is>
      </c>
      <c r="Q154" s="40" t="inlineStr">
        <is>
          <t>Không đạt</t>
        </is>
      </c>
      <c r="R154" s="40" t="inlineStr">
        <is>
          <t>BUG-140</t>
        </is>
      </c>
      <c r="S154" s="40" t="inlineStr">
        <is>
          <t>23/05/2026 19:06</t>
        </is>
      </c>
      <c r="T154" s="43" t="inlineStr">
        <is>
          <t>R1:Không đạt</t>
        </is>
      </c>
      <c r="U154" s="40" t="inlineStr"/>
      <c r="V154" s="43" t="inlineStr"/>
    </row>
    <row r="155" ht="80" customHeight="1">
      <c r="A155" s="40" t="inlineStr">
        <is>
          <t>TC-152</t>
        </is>
      </c>
      <c r="B155" s="45" t="inlineStr">
        <is>
          <t>RED</t>
        </is>
      </c>
      <c r="C155" s="42" t="inlineStr">
        <is>
          <t>P0</t>
        </is>
      </c>
      <c r="D155" s="43" t="inlineStr">
        <is>
          <t>Delete</t>
        </is>
      </c>
      <c r="E155" s="43" t="inlineStr">
        <is>
          <t>createdById=NULL (legacy data) + user không ADMIN → 403 message riêng</t>
        </is>
      </c>
      <c r="F155" s="40" t="inlineStr">
        <is>
          <t>REQ-CASE-DELETE-152</t>
        </is>
      </c>
      <c r="G155" s="40" t="inlineStr">
        <is>
          <t>Use case testing</t>
        </is>
      </c>
      <c r="H155" s="40" t="inlineStr">
        <is>
          <t>Cao</t>
        </is>
      </c>
      <c r="I155" s="43" t="inlineStr">
        <is>
          <t>CASE-LEGACY createdById=NULL</t>
        </is>
      </c>
      <c r="J155" s="43" t="inlineStr">
        <is>
          <t>Login dieuTra1, DELETE</t>
        </is>
      </c>
      <c r="K155" s="43" t="inlineStr"/>
      <c r="L155" s="43" t="inlineStr">
        <is>
          <t>'Vụ án không có thông tin người tạo (dữ liệu cũ). Chỉ quản trị viên mới được xóa.'</t>
        </is>
      </c>
      <c r="M155" s="43" t="inlineStr">
        <is>
          <t>403</t>
        </is>
      </c>
      <c r="N155" s="43" t="inlineStr">
        <is>
          <t>-</t>
        </is>
      </c>
      <c r="O155" s="40" t="inlineStr">
        <is>
          <t>High</t>
        </is>
      </c>
      <c r="P155" s="43" t="inlineStr">
        <is>
          <t>Thời gian: 226ms</t>
        </is>
      </c>
      <c r="Q155" s="40" t="inlineStr">
        <is>
          <t>Không đạt</t>
        </is>
      </c>
      <c r="R155" s="40" t="inlineStr">
        <is>
          <t>BUG-141</t>
        </is>
      </c>
      <c r="S155" s="40" t="inlineStr">
        <is>
          <t>23/05/2026 19:06</t>
        </is>
      </c>
      <c r="T155" s="43" t="inlineStr">
        <is>
          <t>R1:Không đạt</t>
        </is>
      </c>
      <c r="U155" s="40" t="inlineStr"/>
      <c r="V155" s="43" t="inlineStr"/>
    </row>
    <row r="156" ht="80" customHeight="1">
      <c r="A156" s="40" t="inlineStr">
        <is>
          <t>TC-153</t>
        </is>
      </c>
      <c r="B156" s="41" t="inlineStr">
        <is>
          <t>GREEN</t>
        </is>
      </c>
      <c r="C156" s="42" t="inlineStr">
        <is>
          <t>P0</t>
        </is>
      </c>
      <c r="D156" s="43" t="inlineStr">
        <is>
          <t>Delete</t>
        </is>
      </c>
      <c r="E156" s="43" t="inlineStr">
        <is>
          <t>ADMIN xóa được Case của bất kỳ ai trong window</t>
        </is>
      </c>
      <c r="F156" s="40" t="inlineStr">
        <is>
          <t>REQ-CASE-DELETE-153</t>
        </is>
      </c>
      <c r="G156" s="40" t="inlineStr">
        <is>
          <t>Use case testing</t>
        </is>
      </c>
      <c r="H156" s="40" t="inlineStr">
        <is>
          <t>Cao</t>
        </is>
      </c>
      <c r="I156" s="43" t="inlineStr">
        <is>
          <t>Login admin@, CASE-X createdById=dieuTra1</t>
        </is>
      </c>
      <c r="J156" s="43" t="inlineStr">
        <is>
          <t>DELETE reason='ADMIN cleanup test data'</t>
        </is>
      </c>
      <c r="K156" s="43" t="inlineStr">
        <is>
          <t>-</t>
        </is>
      </c>
      <c r="L156" s="43" t="inlineStr">
        <is>
          <t>Success</t>
        </is>
      </c>
      <c r="M156" s="43" t="inlineStr">
        <is>
          <t>200</t>
        </is>
      </c>
      <c r="N156" s="43" t="inlineStr">
        <is>
          <t>Soft-deleted + Audit</t>
        </is>
      </c>
      <c r="O156" s="40" t="inlineStr">
        <is>
          <t>High</t>
        </is>
      </c>
      <c r="P156" s="43" t="inlineStr">
        <is>
          <t>Thời gian: 197ms</t>
        </is>
      </c>
      <c r="Q156" s="40" t="inlineStr">
        <is>
          <t>Không đạt</t>
        </is>
      </c>
      <c r="R156" s="40" t="inlineStr">
        <is>
          <t>BUG-142</t>
        </is>
      </c>
      <c r="S156" s="40" t="inlineStr">
        <is>
          <t>23/05/2026 19:06</t>
        </is>
      </c>
      <c r="T156" s="43" t="inlineStr">
        <is>
          <t>R1:Không đạt</t>
        </is>
      </c>
      <c r="U156" s="40" t="inlineStr"/>
      <c r="V156" s="43" t="inlineStr"/>
    </row>
    <row r="157" ht="80" customHeight="1">
      <c r="A157" s="40" t="inlineStr">
        <is>
          <t>TC-154</t>
        </is>
      </c>
      <c r="B157" s="45" t="inlineStr">
        <is>
          <t>RED</t>
        </is>
      </c>
      <c r="C157" s="42" t="inlineStr">
        <is>
          <t>P0</t>
        </is>
      </c>
      <c r="D157" s="43" t="inlineStr">
        <is>
          <t>Delete</t>
        </is>
      </c>
      <c r="E157" s="43" t="inlineStr">
        <is>
          <t>Quá window (THOI_HAN_XOA_VU_AN=72h default) + không ADMIN → 400</t>
        </is>
      </c>
      <c r="F157" s="40" t="inlineStr">
        <is>
          <t>REQ-CASE-DELETE-154</t>
        </is>
      </c>
      <c r="G157" s="40" t="inlineStr">
        <is>
          <t>Use case testing</t>
        </is>
      </c>
      <c r="H157" s="40" t="inlineStr">
        <is>
          <t>Cao</t>
        </is>
      </c>
      <c r="I157" s="43" t="inlineStr">
        <is>
          <t>CASE-OLD createdAt='2026-05-19' (&gt;72h trước), createdById=dieuTra1</t>
        </is>
      </c>
      <c r="J157" s="43" t="inlineStr">
        <is>
          <t>Login dieuTra1, DELETE</t>
        </is>
      </c>
      <c r="K157" s="43" t="inlineStr">
        <is>
          <t>-</t>
        </is>
      </c>
      <c r="L157" s="43" t="inlineStr">
        <is>
          <t>'Đã quá 72 giờ kể từ khi tạo vụ án. Chỉ quản trị viên mới xóa được.'</t>
        </is>
      </c>
      <c r="M157" s="43" t="inlineStr">
        <is>
          <t>400</t>
        </is>
      </c>
      <c r="N157" s="43" t="inlineStr">
        <is>
          <t>-</t>
        </is>
      </c>
      <c r="O157" s="40" t="inlineStr">
        <is>
          <t>High</t>
        </is>
      </c>
      <c r="P157" s="43" t="inlineStr">
        <is>
          <t>Thời gian: 207ms</t>
        </is>
      </c>
      <c r="Q157" s="40" t="inlineStr">
        <is>
          <t>Không đạt</t>
        </is>
      </c>
      <c r="R157" s="40" t="inlineStr">
        <is>
          <t>BUG-143</t>
        </is>
      </c>
      <c r="S157" s="40" t="inlineStr">
        <is>
          <t>23/05/2026 19:06</t>
        </is>
      </c>
      <c r="T157" s="43" t="inlineStr">
        <is>
          <t>R1:Không đạt</t>
        </is>
      </c>
      <c r="U157" s="40" t="inlineStr"/>
      <c r="V157" s="43" t="inlineStr"/>
    </row>
    <row r="158" ht="80" customHeight="1">
      <c r="A158" s="40" t="inlineStr">
        <is>
          <t>TC-155</t>
        </is>
      </c>
      <c r="B158" s="41" t="inlineStr">
        <is>
          <t>GREEN</t>
        </is>
      </c>
      <c r="C158" s="42" t="inlineStr">
        <is>
          <t>P0</t>
        </is>
      </c>
      <c r="D158" s="43" t="inlineStr">
        <is>
          <t>Delete</t>
        </is>
      </c>
      <c r="E158" s="43" t="inlineStr">
        <is>
          <t>ADMIN có thể xóa Case quá 72h window</t>
        </is>
      </c>
      <c r="F158" s="40" t="inlineStr">
        <is>
          <t>REQ-CASE-DELETE-155</t>
        </is>
      </c>
      <c r="G158" s="40" t="inlineStr">
        <is>
          <t>Use case testing</t>
        </is>
      </c>
      <c r="H158" s="40" t="inlineStr">
        <is>
          <t>Cao</t>
        </is>
      </c>
      <c r="I158" s="43" t="inlineStr">
        <is>
          <t>CASE-OLD &gt;72h</t>
        </is>
      </c>
      <c r="J158" s="43" t="inlineStr">
        <is>
          <t>Login admin@, DELETE</t>
        </is>
      </c>
      <c r="K158" s="43" t="inlineStr">
        <is>
          <t>reason='ADMIN xóa sau window'</t>
        </is>
      </c>
      <c r="L158" s="43" t="inlineStr">
        <is>
          <t>Success</t>
        </is>
      </c>
      <c r="M158" s="43" t="inlineStr">
        <is>
          <t>200</t>
        </is>
      </c>
      <c r="N158" s="43" t="inlineStr">
        <is>
          <t>Bypass window check (isAdmin branch)</t>
        </is>
      </c>
      <c r="O158" s="40" t="inlineStr">
        <is>
          <t>High</t>
        </is>
      </c>
      <c r="P158" s="43" t="inlineStr">
        <is>
          <t>Thời gian: 202ms</t>
        </is>
      </c>
      <c r="Q158" s="40" t="inlineStr">
        <is>
          <t>Không đạt</t>
        </is>
      </c>
      <c r="R158" s="40" t="inlineStr">
        <is>
          <t>BUG-144</t>
        </is>
      </c>
      <c r="S158" s="40" t="inlineStr">
        <is>
          <t>23/05/2026 19:06</t>
        </is>
      </c>
      <c r="T158" s="43" t="inlineStr">
        <is>
          <t>R1:Không đạt</t>
        </is>
      </c>
      <c r="U158" s="40" t="inlineStr"/>
      <c r="V158" s="43" t="inlineStr"/>
    </row>
    <row r="159" ht="80" customHeight="1">
      <c r="A159" s="40" t="inlineStr">
        <is>
          <t>TC-156</t>
        </is>
      </c>
      <c r="B159" s="45" t="inlineStr">
        <is>
          <t>RED</t>
        </is>
      </c>
      <c r="C159" s="42" t="inlineStr">
        <is>
          <t>P0</t>
        </is>
      </c>
      <c r="D159" s="43" t="inlineStr">
        <is>
          <t>Delete</t>
        </is>
      </c>
      <c r="E159" s="43" t="inlineStr">
        <is>
          <t>Race condition: status đổi trong lúc DELETE → P2025 catch → 400 friendly</t>
        </is>
      </c>
      <c r="F159" s="40" t="inlineStr">
        <is>
          <t>REQ-CASE-DELETE-156</t>
        </is>
      </c>
      <c r="G159" s="40" t="inlineStr">
        <is>
          <t>Use case testing</t>
        </is>
      </c>
      <c r="H159" s="40" t="inlineStr">
        <is>
          <t>Cao</t>
        </is>
      </c>
      <c r="I159" s="43" t="inlineStr">
        <is>
          <t>1. User đã login
2. Token JWT hợp lệ</t>
        </is>
      </c>
      <c r="J159" s="43" t="inlineStr">
        <is>
          <t>DELETE while another user updates status TIEP_NHAN→DANG_XAC_MINH</t>
        </is>
      </c>
      <c r="K159" s="43" t="inlineStr">
        <is>
          <t>-</t>
        </is>
      </c>
      <c r="L159" s="43" t="inlineStr">
        <is>
          <t>'Vụ án đã đổi trạng thái trong lúc thực hiện. Vui lòng tải lại danh sách.'</t>
        </is>
      </c>
      <c r="M159" s="43" t="inlineStr">
        <is>
          <t>400 (P2025 catch)</t>
        </is>
      </c>
      <c r="N159" s="43" t="inlineStr">
        <is>
          <t>Atomic status guard fired</t>
        </is>
      </c>
      <c r="O159" s="40" t="inlineStr">
        <is>
          <t>High</t>
        </is>
      </c>
      <c r="P159" s="43" t="inlineStr">
        <is>
          <t>Thời gian: 215ms</t>
        </is>
      </c>
      <c r="Q159" s="40" t="inlineStr">
        <is>
          <t>Không đạt</t>
        </is>
      </c>
      <c r="R159" s="40" t="inlineStr">
        <is>
          <t>BUG-145</t>
        </is>
      </c>
      <c r="S159" s="40" t="inlineStr">
        <is>
          <t>23/05/2026 19:06</t>
        </is>
      </c>
      <c r="T159" s="43" t="inlineStr">
        <is>
          <t>R1:Không đạt</t>
        </is>
      </c>
      <c r="U159" s="40" t="inlineStr"/>
      <c r="V159" s="43" t="inlineStr">
        <is>
          <t>Where: id, status=TIEP_NHAN, deletedAt=null</t>
        </is>
      </c>
    </row>
    <row r="160" ht="80" customHeight="1">
      <c r="A160" s="40" t="inlineStr">
        <is>
          <t>TC-157</t>
        </is>
      </c>
      <c r="B160" s="45" t="inlineStr">
        <is>
          <t>RED</t>
        </is>
      </c>
      <c r="C160" s="42" t="inlineStr">
        <is>
          <t>P0</t>
        </is>
      </c>
      <c r="D160" s="43" t="inlineStr">
        <is>
          <t>Delete</t>
        </is>
      </c>
      <c r="E160" s="43" t="inlineStr">
        <is>
          <t>TOCTOU: subject vừa được insert giữa initial check và transaction → 400 trong tx</t>
        </is>
      </c>
      <c r="F160" s="40" t="inlineStr">
        <is>
          <t>REQ-CASE-DELETE-157</t>
        </is>
      </c>
      <c r="G160" s="40" t="inlineStr">
        <is>
          <t>Use case testing</t>
        </is>
      </c>
      <c r="H160" s="40" t="inlineStr">
        <is>
          <t>Cao</t>
        </is>
      </c>
      <c r="I160" s="43" t="inlineStr">
        <is>
          <t>1. User đã login
2. Token JWT hợp lệ</t>
        </is>
      </c>
      <c r="J160" s="43" t="inlineStr">
        <is>
          <t>Initial check pass (subjects=0), insert subject, transaction re-check (subjects=1)</t>
        </is>
      </c>
      <c r="K160" s="43" t="inlineStr">
        <is>
          <t>-</t>
        </is>
      </c>
      <c r="L160" s="43" t="inlineStr">
        <is>
          <t>'Không thể xóa: vụ án có 1 đối tượng (vừa được thêm). Tải lại danh sách.'</t>
        </is>
      </c>
      <c r="M160" s="43" t="inlineStr">
        <is>
          <t>400 trong transaction</t>
        </is>
      </c>
      <c r="N160" s="43" t="inlineStr">
        <is>
          <t>Atomic — không orphan delete</t>
        </is>
      </c>
      <c r="O160" s="40" t="inlineStr">
        <is>
          <t>Critical</t>
        </is>
      </c>
      <c r="P160" s="43" t="inlineStr">
        <is>
          <t>Thời gian: 155ms</t>
        </is>
      </c>
      <c r="Q160" s="40" t="inlineStr">
        <is>
          <t>Không đạt</t>
        </is>
      </c>
      <c r="R160" s="40" t="inlineStr">
        <is>
          <t>BUG-146</t>
        </is>
      </c>
      <c r="S160" s="40" t="inlineStr">
        <is>
          <t>23/05/2026 19:06</t>
        </is>
      </c>
      <c r="T160" s="43" t="inlineStr">
        <is>
          <t>R1:Không đạt</t>
        </is>
      </c>
      <c r="U160" s="40" t="inlineStr"/>
      <c r="V160" s="43" t="inlineStr">
        <is>
          <t>TOCTOU fix per codex P1</t>
        </is>
      </c>
    </row>
    <row r="161" ht="80" customHeight="1">
      <c r="A161" s="40" t="inlineStr">
        <is>
          <t>TC-158</t>
        </is>
      </c>
      <c r="B161" s="41" t="inlineStr">
        <is>
          <t>GREEN</t>
        </is>
      </c>
      <c r="C161" s="42" t="inlineStr">
        <is>
          <t>P0</t>
        </is>
      </c>
      <c r="D161" s="43" t="inlineStr">
        <is>
          <t>DeletePreflight</t>
        </is>
      </c>
      <c r="E161" s="43" t="inlineStr">
        <is>
          <t>GET /cases/:id/delete-preflight trả canDelete=true cho TIEP_NHAN + không blocker</t>
        </is>
      </c>
      <c r="F161" s="40" t="inlineStr">
        <is>
          <t>REQ-CASE-DELETEPREFLIGHT-158</t>
        </is>
      </c>
      <c r="G161" s="40" t="inlineStr">
        <is>
          <t>Use case testing</t>
        </is>
      </c>
      <c r="H161" s="40" t="inlineStr">
        <is>
          <t>Cao</t>
        </is>
      </c>
      <c r="I161" s="43" t="inlineStr">
        <is>
          <t>CASE-001 TIEP_NHAN, không sub-resource</t>
        </is>
      </c>
      <c r="J161" s="43" t="inlineStr">
        <is>
          <t>GET /cases/CASE-001/delete-preflight</t>
        </is>
      </c>
      <c r="K161" s="43" t="inlineStr">
        <is>
          <t>-</t>
        </is>
      </c>
      <c r="L161" s="43" t="inlineStr">
        <is>
          <t>Modal show 'Có thể xóa', nút 'Xóa' enable</t>
        </is>
      </c>
      <c r="M161" s="43" t="inlineStr">
        <is>
          <t>200, {canDelete:true, status:'TIEP_NHAN', blockers:{subjects:0,lawyers:0,...}, reasonsIfBlocked:[]}</t>
        </is>
      </c>
      <c r="N161" s="43" t="inlineStr">
        <is>
          <t>-</t>
        </is>
      </c>
      <c r="O161" s="40" t="inlineStr">
        <is>
          <t>High</t>
        </is>
      </c>
      <c r="P161" s="43" t="inlineStr">
        <is>
          <t>Đạt như expected. Thời gian: 96ms</t>
        </is>
      </c>
      <c r="Q161" s="40" t="inlineStr">
        <is>
          <t>Đạt</t>
        </is>
      </c>
      <c r="R161" s="40" t="inlineStr"/>
      <c r="S161" s="40" t="inlineStr">
        <is>
          <t>23/05/2026 19:06</t>
        </is>
      </c>
      <c r="T161" s="43" t="inlineStr">
        <is>
          <t>R1:Đạt</t>
        </is>
      </c>
      <c r="U161" s="40" t="inlineStr"/>
      <c r="V161" s="43" t="inlineStr"/>
    </row>
    <row r="162" ht="80" customHeight="1">
      <c r="A162" s="40" t="inlineStr">
        <is>
          <t>TC-159</t>
        </is>
      </c>
      <c r="B162" s="45" t="inlineStr">
        <is>
          <t>RED</t>
        </is>
      </c>
      <c r="C162" s="42" t="inlineStr">
        <is>
          <t>P0</t>
        </is>
      </c>
      <c r="D162" s="43" t="inlineStr">
        <is>
          <t>DeletePreflight</t>
        </is>
      </c>
      <c r="E162" s="43" t="inlineStr">
        <is>
          <t>Preflight Case status=DA_KET_LUAN trả canDelete=false + reason</t>
        </is>
      </c>
      <c r="F162" s="40" t="inlineStr">
        <is>
          <t>REQ-CASE-DELETEPREFLIGHT-159</t>
        </is>
      </c>
      <c r="G162" s="40" t="inlineStr">
        <is>
          <t>Use case testing</t>
        </is>
      </c>
      <c r="H162" s="40" t="inlineStr">
        <is>
          <t>Cao</t>
        </is>
      </c>
      <c r="I162" s="43" t="inlineStr">
        <is>
          <t>CASE-003 status=DA_KET_LUAN</t>
        </is>
      </c>
      <c r="J162" s="43" t="inlineStr">
        <is>
          <t>GET preflight</t>
        </is>
      </c>
      <c r="K162" s="43" t="inlineStr">
        <is>
          <t>-</t>
        </is>
      </c>
      <c r="L162" s="43" t="inlineStr">
        <is>
          <t>Modal hiện 'Không thể xóa', list reasons</t>
        </is>
      </c>
      <c r="M162" s="43" t="inlineStr">
        <is>
          <t>canDelete=false, reasonsIfBlocked includes 'Trạng thái hiện tại không cho phép xóa (chỉ Tiếp nhận). Hiện: Đã kết luận.'</t>
        </is>
      </c>
      <c r="N162" s="43" t="inlineStr">
        <is>
          <t>-</t>
        </is>
      </c>
      <c r="O162" s="40" t="inlineStr">
        <is>
          <t>High</t>
        </is>
      </c>
      <c r="P162" s="43" t="inlineStr">
        <is>
          <t>Đạt như expected. Thời gian: 91ms</t>
        </is>
      </c>
      <c r="Q162" s="40" t="inlineStr">
        <is>
          <t>Đạt</t>
        </is>
      </c>
      <c r="R162" s="40" t="inlineStr"/>
      <c r="S162" s="40" t="inlineStr">
        <is>
          <t>23/05/2026 19:06</t>
        </is>
      </c>
      <c r="T162" s="43" t="inlineStr">
        <is>
          <t>R1:Đạt</t>
        </is>
      </c>
      <c r="U162" s="40" t="inlineStr"/>
      <c r="V162" s="43" t="inlineStr"/>
    </row>
    <row r="163" ht="80" customHeight="1">
      <c r="A163" s="40" t="inlineStr">
        <is>
          <t>TC-160</t>
        </is>
      </c>
      <c r="B163" s="45" t="inlineStr">
        <is>
          <t>RED</t>
        </is>
      </c>
      <c r="C163" s="42" t="inlineStr">
        <is>
          <t>P0</t>
        </is>
      </c>
      <c r="D163" s="43" t="inlineStr">
        <is>
          <t>DeletePreflight</t>
        </is>
      </c>
      <c r="E163" s="43" t="inlineStr">
        <is>
          <t>Preflight Case có 2 subjects + 1 document → reasons detailed</t>
        </is>
      </c>
      <c r="F163" s="40" t="inlineStr">
        <is>
          <t>REQ-CASE-DELETEPREFLIGHT-160</t>
        </is>
      </c>
      <c r="G163" s="40" t="inlineStr">
        <is>
          <t>Use case testing</t>
        </is>
      </c>
      <c r="H163" s="40" t="inlineStr">
        <is>
          <t>Cao</t>
        </is>
      </c>
      <c r="I163" s="43" t="inlineStr">
        <is>
          <t>1. User đã login
2. Token JWT hợp lệ</t>
        </is>
      </c>
      <c r="J163" s="43" t="inlineStr">
        <is>
          <t>GET preflight</t>
        </is>
      </c>
      <c r="K163" s="43" t="inlineStr">
        <is>
          <t>-</t>
        </is>
      </c>
      <c r="L163" s="43" t="inlineStr">
        <is>
          <t>2 reasons displayed</t>
        </is>
      </c>
      <c r="M163" s="43" t="inlineStr">
        <is>
          <t>reasonsIfBlocked includes both</t>
        </is>
      </c>
      <c r="N163" s="43" t="inlineStr">
        <is>
          <t>-</t>
        </is>
      </c>
      <c r="O163" s="40" t="inlineStr">
        <is>
          <t>Medium</t>
        </is>
      </c>
      <c r="P163" s="43" t="inlineStr">
        <is>
          <t>Đạt như expected. Thời gian: 103ms</t>
        </is>
      </c>
      <c r="Q163" s="40" t="inlineStr">
        <is>
          <t>Đạt</t>
        </is>
      </c>
      <c r="R163" s="40" t="inlineStr"/>
      <c r="S163" s="40" t="inlineStr">
        <is>
          <t>23/05/2026 19:06</t>
        </is>
      </c>
      <c r="T163" s="43" t="inlineStr">
        <is>
          <t>R1:Đạt</t>
        </is>
      </c>
      <c r="U163" s="40" t="inlineStr"/>
      <c r="V163" s="43" t="inlineStr"/>
    </row>
    <row r="164" ht="80" customHeight="1">
      <c r="A164" s="40" t="inlineStr">
        <is>
          <t>TC-161</t>
        </is>
      </c>
      <c r="B164" s="45" t="inlineStr">
        <is>
          <t>RED</t>
        </is>
      </c>
      <c r="C164" s="42" t="inlineStr">
        <is>
          <t>P0</t>
        </is>
      </c>
      <c r="D164" s="43" t="inlineStr">
        <is>
          <t>DeletePreflight</t>
        </is>
      </c>
      <c r="E164" s="43" t="inlineStr">
        <is>
          <t>Preflight Case ngoài scope → 403 (checkRecordInScope)</t>
        </is>
      </c>
      <c r="F164" s="40" t="inlineStr">
        <is>
          <t>REQ-CASE-DELETEPREFLIGHT-161</t>
        </is>
      </c>
      <c r="G164" s="40" t="inlineStr">
        <is>
          <t>Use case testing</t>
        </is>
      </c>
      <c r="H164" s="40" t="inlineStr">
        <is>
          <t>Cao</t>
        </is>
      </c>
      <c r="I164" s="43" t="inlineStr">
        <is>
          <t>Login wardOfficer-Q1, CASE-Q3</t>
        </is>
      </c>
      <c r="J164" s="43" t="inlineStr">
        <is>
          <t>GET preflight</t>
        </is>
      </c>
      <c r="K164" s="43" t="inlineStr">
        <is>
          <t>-</t>
        </is>
      </c>
      <c r="L164" s="43" t="inlineStr">
        <is>
          <t>-</t>
        </is>
      </c>
      <c r="M164" s="43" t="inlineStr">
        <is>
          <t>403</t>
        </is>
      </c>
      <c r="N164" s="43" t="inlineStr">
        <is>
          <t>-</t>
        </is>
      </c>
      <c r="O164" s="40" t="inlineStr">
        <is>
          <t>High</t>
        </is>
      </c>
      <c r="P164" s="43" t="inlineStr">
        <is>
          <t>Thời gian: 147ms</t>
        </is>
      </c>
      <c r="Q164" s="40" t="inlineStr">
        <is>
          <t>Không đạt</t>
        </is>
      </c>
      <c r="R164" s="40" t="inlineStr">
        <is>
          <t>BUG-147</t>
        </is>
      </c>
      <c r="S164" s="40" t="inlineStr">
        <is>
          <t>23/05/2026 19:06</t>
        </is>
      </c>
      <c r="T164" s="43" t="inlineStr">
        <is>
          <t>R1:Không đạt</t>
        </is>
      </c>
      <c r="U164" s="40" t="inlineStr"/>
      <c r="V164" s="43" t="inlineStr"/>
    </row>
    <row r="165" ht="80" customHeight="1">
      <c r="A165" s="40" t="inlineStr">
        <is>
          <t>TC-162</t>
        </is>
      </c>
      <c r="B165" s="41" t="inlineStr">
        <is>
          <t>GREEN</t>
        </is>
      </c>
      <c r="C165" s="42" t="inlineStr">
        <is>
          <t>P0</t>
        </is>
      </c>
      <c r="D165" s="43" t="inlineStr">
        <is>
          <t>Restore</t>
        </is>
      </c>
      <c r="E165" s="43" t="inlineStr">
        <is>
          <t>ADMIN khôi phục Case đã soft-deleted</t>
        </is>
      </c>
      <c r="F165" s="40" t="inlineStr">
        <is>
          <t>REQ-CASE-RESTORE-162</t>
        </is>
      </c>
      <c r="G165" s="40" t="inlineStr">
        <is>
          <t>Use case testing</t>
        </is>
      </c>
      <c r="H165" s="40" t="inlineStr">
        <is>
          <t>Cao</t>
        </is>
      </c>
      <c r="I165" s="43" t="inlineStr">
        <is>
          <t>CASE-DEL deletedAt set, login admin@</t>
        </is>
      </c>
      <c r="J165" s="43" t="inlineStr">
        <is>
          <t>POST /cases/CASE-DEL/restore body {reason:'Sai sót xóa nhầm'}</t>
        </is>
      </c>
      <c r="K165" s="43" t="inlineStr">
        <is>
          <t>reason='Sai sót xóa nhầm cần khôi phục lại'</t>
        </is>
      </c>
      <c r="L165" s="43" t="inlineStr">
        <is>
          <t>Toast 'Khôi phục vụ án thành công'</t>
        </is>
      </c>
      <c r="M165" s="43" t="inlineStr">
        <is>
          <t>200 message</t>
        </is>
      </c>
      <c r="N165" s="43" t="inlineStr">
        <is>
          <t>1. cases.deletedAt=NULL
2. Audit CASE_RESTORED metadata.reason + hoursAfterDeletion</t>
        </is>
      </c>
      <c r="O165" s="40" t="inlineStr">
        <is>
          <t>Critical</t>
        </is>
      </c>
      <c r="P165" s="43" t="inlineStr">
        <is>
          <t>Thời gian: 263ms</t>
        </is>
      </c>
      <c r="Q165" s="40" t="inlineStr">
        <is>
          <t>Không đạt</t>
        </is>
      </c>
      <c r="R165" s="40" t="inlineStr">
        <is>
          <t>BUG-391</t>
        </is>
      </c>
      <c r="S165" s="40" t="inlineStr">
        <is>
          <t>23/05/2026 19:06</t>
        </is>
      </c>
      <c r="T165" s="43" t="inlineStr">
        <is>
          <t>R1:Không đạt</t>
        </is>
      </c>
      <c r="U165" s="40" t="inlineStr"/>
      <c r="V165" s="43" t="inlineStr"/>
    </row>
    <row r="166" ht="80" customHeight="1">
      <c r="A166" s="40" t="inlineStr">
        <is>
          <t>TC-163</t>
        </is>
      </c>
      <c r="B166" s="45" t="inlineStr">
        <is>
          <t>RED</t>
        </is>
      </c>
      <c r="C166" s="42" t="inlineStr">
        <is>
          <t>P0</t>
        </is>
      </c>
      <c r="D166" s="43" t="inlineStr">
        <is>
          <t>Restore</t>
        </is>
      </c>
      <c r="E166" s="43" t="inlineStr">
        <is>
          <t>Non-ADMIN gọi restore → 403 PermissionsGuard (action=restore)</t>
        </is>
      </c>
      <c r="F166" s="40" t="inlineStr">
        <is>
          <t>REQ-CASE-RESTORE-163</t>
        </is>
      </c>
      <c r="G166" s="40" t="inlineStr">
        <is>
          <t>Use case testing</t>
        </is>
      </c>
      <c r="H166" s="40" t="inlineStr">
        <is>
          <t>Cao</t>
        </is>
      </c>
      <c r="I166" s="43" t="inlineStr">
        <is>
          <t>Login dieuTra1@</t>
        </is>
      </c>
      <c r="J166" s="43" t="inlineStr">
        <is>
          <t>POST /cases/X/restore</t>
        </is>
      </c>
      <c r="K166" s="43" t="inlineStr">
        <is>
          <t>reason='try'</t>
        </is>
      </c>
      <c r="L166" s="43" t="inlineStr">
        <is>
          <t>403</t>
        </is>
      </c>
      <c r="M166" s="43" t="inlineStr">
        <is>
          <t>403 PermissionsGuard ('restore' permission)</t>
        </is>
      </c>
      <c r="N166" s="43" t="inlineStr">
        <is>
          <t>-</t>
        </is>
      </c>
      <c r="O166" s="40" t="inlineStr">
        <is>
          <t>Critical</t>
        </is>
      </c>
      <c r="P166" s="43" t="inlineStr">
        <is>
          <t>Thời gian: 211ms</t>
        </is>
      </c>
      <c r="Q166" s="40" t="inlineStr">
        <is>
          <t>Không đạt</t>
        </is>
      </c>
      <c r="R166" s="40" t="inlineStr">
        <is>
          <t>BUG-392</t>
        </is>
      </c>
      <c r="S166" s="40" t="inlineStr">
        <is>
          <t>23/05/2026 19:06</t>
        </is>
      </c>
      <c r="T166" s="43" t="inlineStr">
        <is>
          <t>R1:Không đạt</t>
        </is>
      </c>
      <c r="U166" s="40" t="inlineStr"/>
      <c r="V166" s="43" t="inlineStr"/>
    </row>
    <row r="167" ht="80" customHeight="1">
      <c r="A167" s="40" t="inlineStr">
        <is>
          <t>TC-164</t>
        </is>
      </c>
      <c r="B167" s="45" t="inlineStr">
        <is>
          <t>RED</t>
        </is>
      </c>
      <c r="C167" s="42" t="inlineStr">
        <is>
          <t>P0</t>
        </is>
      </c>
      <c r="D167" s="43" t="inlineStr">
        <is>
          <t>Restore</t>
        </is>
      </c>
      <c r="E167" s="43" t="inlineStr">
        <is>
          <t>Restore Case chưa từng bị xóa (deletedAt=null) → 404</t>
        </is>
      </c>
      <c r="F167" s="40" t="inlineStr">
        <is>
          <t>REQ-CASE-RESTORE-164</t>
        </is>
      </c>
      <c r="G167" s="40" t="inlineStr">
        <is>
          <t>Use case testing</t>
        </is>
      </c>
      <c r="H167" s="40" t="inlineStr">
        <is>
          <t>Cao</t>
        </is>
      </c>
      <c r="I167" s="43" t="inlineStr">
        <is>
          <t>CASE-ACTIVE deletedAt=null</t>
        </is>
      </c>
      <c r="J167" s="43" t="inlineStr">
        <is>
          <t>POST /cases/CASE-ACTIVE/restore</t>
        </is>
      </c>
      <c r="K167" s="43" t="inlineStr">
        <is>
          <t>reason='try restore'</t>
        </is>
      </c>
      <c r="L167" s="43" t="inlineStr">
        <is>
          <t>'Vụ án không tồn tại hoặc chưa bị xóa'</t>
        </is>
      </c>
      <c r="M167" s="43" t="inlineStr">
        <is>
          <t>404</t>
        </is>
      </c>
      <c r="N167" s="43" t="inlineStr">
        <is>
          <t>-</t>
        </is>
      </c>
      <c r="O167" s="40" t="inlineStr">
        <is>
          <t>High</t>
        </is>
      </c>
      <c r="P167" s="43" t="inlineStr">
        <is>
          <t>Đạt như expected. Thời gian: 858ms</t>
        </is>
      </c>
      <c r="Q167" s="40" t="inlineStr">
        <is>
          <t>Đạt</t>
        </is>
      </c>
      <c r="R167" s="40" t="inlineStr"/>
      <c r="S167" s="40" t="inlineStr">
        <is>
          <t>23/05/2026 19:06</t>
        </is>
      </c>
      <c r="T167" s="43" t="inlineStr">
        <is>
          <t>R1:Đạt</t>
        </is>
      </c>
      <c r="U167" s="40" t="inlineStr"/>
      <c r="V167" s="43" t="inlineStr"/>
    </row>
    <row r="168" ht="80" customHeight="1">
      <c r="A168" s="40" t="inlineStr">
        <is>
          <t>TC-165</t>
        </is>
      </c>
      <c r="B168" s="45" t="inlineStr">
        <is>
          <t>RED</t>
        </is>
      </c>
      <c r="C168" s="42" t="inlineStr">
        <is>
          <t>P0</t>
        </is>
      </c>
      <c r="D168" s="43" t="inlineStr">
        <is>
          <t>Restore</t>
        </is>
      </c>
      <c r="E168" s="43" t="inlineStr">
        <is>
          <t>Race: 2 ADMIN restore cùng case → 1 ConflictException friendly</t>
        </is>
      </c>
      <c r="F168" s="40" t="inlineStr">
        <is>
          <t>REQ-CASE-RESTORE-165</t>
        </is>
      </c>
      <c r="G168" s="40" t="inlineStr">
        <is>
          <t>Use case testing</t>
        </is>
      </c>
      <c r="H168" s="40" t="inlineStr">
        <is>
          <t>Cao</t>
        </is>
      </c>
      <c r="I168" s="43" t="inlineStr">
        <is>
          <t>1. User đã login
2. Token JWT hợp lệ</t>
        </is>
      </c>
      <c r="J168" s="43" t="inlineStr">
        <is>
          <t>Đồng thời ADMIN-A và ADMIN-B gọi restore</t>
        </is>
      </c>
      <c r="K168" s="43" t="inlineStr">
        <is>
          <t>-</t>
        </is>
      </c>
      <c r="L168" s="43" t="inlineStr">
        <is>
          <t>1 success, 1 'Vụ án đã được khôi phục bởi quản trị viên khác. Tải lại danh sách.'</t>
        </is>
      </c>
      <c r="M168" s="43" t="inlineStr">
        <is>
          <t>1×200 + 1×400 (P2025 catch)</t>
        </is>
      </c>
      <c r="N168" s="43" t="inlineStr">
        <is>
          <t>Chỉ 1 audit log</t>
        </is>
      </c>
      <c r="O168" s="40" t="inlineStr">
        <is>
          <t>High</t>
        </is>
      </c>
      <c r="P168" s="43" t="inlineStr">
        <is>
          <t>Thời gian: 206ms</t>
        </is>
      </c>
      <c r="Q168" s="40" t="inlineStr">
        <is>
          <t>Không đạt</t>
        </is>
      </c>
      <c r="R168" s="40" t="inlineStr">
        <is>
          <t>BUG-393</t>
        </is>
      </c>
      <c r="S168" s="40" t="inlineStr">
        <is>
          <t>23/05/2026 19:06</t>
        </is>
      </c>
      <c r="T168" s="43" t="inlineStr">
        <is>
          <t>R1:Không đạt</t>
        </is>
      </c>
      <c r="U168" s="40" t="inlineStr"/>
      <c r="V168" s="43" t="inlineStr"/>
    </row>
    <row r="169" ht="80" customHeight="1">
      <c r="A169" s="40" t="inlineStr">
        <is>
          <t>TC-166</t>
        </is>
      </c>
      <c r="B169" s="45" t="inlineStr">
        <is>
          <t>RED</t>
        </is>
      </c>
      <c r="C169" s="44" t="inlineStr">
        <is>
          <t>P1</t>
        </is>
      </c>
      <c r="D169" s="43" t="inlineStr">
        <is>
          <t>Restore</t>
        </is>
      </c>
      <c r="E169" s="43" t="inlineStr">
        <is>
          <t>Reason rỗng → 400 DTO validation</t>
        </is>
      </c>
      <c r="F169" s="40" t="inlineStr">
        <is>
          <t>REQ-CASE-RESTORE-166</t>
        </is>
      </c>
      <c r="G169" s="40" t="inlineStr">
        <is>
          <t>Use case testing</t>
        </is>
      </c>
      <c r="H169" s="40" t="inlineStr">
        <is>
          <t>TB</t>
        </is>
      </c>
      <c r="I169" s="43" t="inlineStr">
        <is>
          <t>1. User đã login
2. Token JWT hợp lệ</t>
        </is>
      </c>
      <c r="J169" s="43" t="inlineStr">
        <is>
          <t>POST restore reason=''</t>
        </is>
      </c>
      <c r="K169" s="43" t="inlineStr">
        <is>
          <t>reason=''</t>
        </is>
      </c>
      <c r="L169" s="43" t="inlineStr">
        <is>
          <t>Error</t>
        </is>
      </c>
      <c r="M169" s="43" t="inlineStr">
        <is>
          <t>400</t>
        </is>
      </c>
      <c r="N169" s="43" t="inlineStr">
        <is>
          <t>-</t>
        </is>
      </c>
      <c r="O169" s="40" t="inlineStr">
        <is>
          <t>Medium</t>
        </is>
      </c>
      <c r="P169" s="43" t="inlineStr">
        <is>
          <t>Thời gian: 891ms</t>
        </is>
      </c>
      <c r="Q169" s="40" t="inlineStr">
        <is>
          <t>Không đạt</t>
        </is>
      </c>
      <c r="R169" s="40" t="inlineStr">
        <is>
          <t>BUG-394</t>
        </is>
      </c>
      <c r="S169" s="40" t="inlineStr">
        <is>
          <t>23/05/2026 19:06</t>
        </is>
      </c>
      <c r="T169" s="43" t="inlineStr">
        <is>
          <t>R1:Không đạt</t>
        </is>
      </c>
      <c r="U169" s="40" t="inlineStr"/>
      <c r="V169" s="43" t="inlineStr"/>
    </row>
    <row r="170" ht="80" customHeight="1">
      <c r="A170" s="40" t="inlineStr">
        <is>
          <t>TC-167</t>
        </is>
      </c>
      <c r="B170" s="41" t="inlineStr">
        <is>
          <t>GREEN</t>
        </is>
      </c>
      <c r="C170" s="42" t="inlineStr">
        <is>
          <t>P0</t>
        </is>
      </c>
      <c r="D170" s="43" t="inlineStr">
        <is>
          <t>ListDeleted</t>
        </is>
      </c>
      <c r="E170" s="43" t="inlineStr">
        <is>
          <t>ADMIN GET /cases/admin/deleted trả paginated deleted cases với deleteAudit</t>
        </is>
      </c>
      <c r="F170" s="40" t="inlineStr">
        <is>
          <t>REQ-CASE-LISTDELETED-167</t>
        </is>
      </c>
      <c r="G170" s="40" t="inlineStr">
        <is>
          <t>Use case testing</t>
        </is>
      </c>
      <c r="H170" s="40" t="inlineStr">
        <is>
          <t>Cao</t>
        </is>
      </c>
      <c r="I170" s="43" t="inlineStr">
        <is>
          <t>DB có 5 case deleted</t>
        </is>
      </c>
      <c r="J170" s="43" t="inlineStr">
        <is>
          <t>Login admin@, GET /cases/admin/deleted</t>
        </is>
      </c>
      <c r="K170" s="43" t="inlineStr">
        <is>
          <t>-</t>
        </is>
      </c>
      <c r="L170" s="43" t="inlineStr">
        <is>
          <t>Bảng danh sách xóa, mỗi row show người xóa + lý do</t>
        </is>
      </c>
      <c r="M170" s="43" t="inlineStr">
        <is>
          <t>200, data[].deleteAudit{userId, metadata:{reason, ...}}</t>
        </is>
      </c>
      <c r="N170" s="43" t="inlineStr">
        <is>
          <t>-</t>
        </is>
      </c>
      <c r="O170" s="40" t="inlineStr">
        <is>
          <t>High</t>
        </is>
      </c>
      <c r="P170" s="43" t="inlineStr">
        <is>
          <t>Đạt như expected. Thời gian: 146ms</t>
        </is>
      </c>
      <c r="Q170" s="40" t="inlineStr">
        <is>
          <t>Đạt</t>
        </is>
      </c>
      <c r="R170" s="40" t="inlineStr"/>
      <c r="S170" s="40" t="inlineStr">
        <is>
          <t>23/05/2026 19:06</t>
        </is>
      </c>
      <c r="T170" s="43" t="inlineStr">
        <is>
          <t>R1:Đạt</t>
        </is>
      </c>
      <c r="U170" s="40" t="inlineStr"/>
      <c r="V170" s="43" t="inlineStr"/>
    </row>
    <row r="171" ht="80" customHeight="1">
      <c r="A171" s="40" t="inlineStr">
        <is>
          <t>TC-168</t>
        </is>
      </c>
      <c r="B171" s="45" t="inlineStr">
        <is>
          <t>RED</t>
        </is>
      </c>
      <c r="C171" s="42" t="inlineStr">
        <is>
          <t>P0</t>
        </is>
      </c>
      <c r="D171" s="43" t="inlineStr">
        <is>
          <t>ListDeleted</t>
        </is>
      </c>
      <c r="E171" s="43" t="inlineStr">
        <is>
          <t>Non-ADMIN gọi /cases/admin/deleted → 403</t>
        </is>
      </c>
      <c r="F171" s="40" t="inlineStr">
        <is>
          <t>REQ-CASE-LISTDELETED-168</t>
        </is>
      </c>
      <c r="G171" s="40" t="inlineStr">
        <is>
          <t>Use case testing</t>
        </is>
      </c>
      <c r="H171" s="40" t="inlineStr">
        <is>
          <t>Cao</t>
        </is>
      </c>
      <c r="I171" s="43" t="inlineStr">
        <is>
          <t>dieuTra1</t>
        </is>
      </c>
      <c r="J171" s="43" t="inlineStr">
        <is>
          <t>GET /cases/admin/deleted</t>
        </is>
      </c>
      <c r="K171" s="43" t="inlineStr">
        <is>
          <t>-</t>
        </is>
      </c>
      <c r="L171" s="43" t="inlineStr">
        <is>
          <t>-</t>
        </is>
      </c>
      <c r="M171" s="43" t="inlineStr">
        <is>
          <t>403 PermissionsGuard (restore action gate)</t>
        </is>
      </c>
      <c r="N171" s="43" t="inlineStr">
        <is>
          <t>-</t>
        </is>
      </c>
      <c r="O171" s="40" t="inlineStr">
        <is>
          <t>Critical</t>
        </is>
      </c>
      <c r="P171" s="43" t="inlineStr">
        <is>
          <t>Thời gian: 159ms</t>
        </is>
      </c>
      <c r="Q171" s="40" t="inlineStr">
        <is>
          <t>Không đạt</t>
        </is>
      </c>
      <c r="R171" s="40" t="inlineStr">
        <is>
          <t>BUG-321</t>
        </is>
      </c>
      <c r="S171" s="40" t="inlineStr">
        <is>
          <t>23/05/2026 19:06</t>
        </is>
      </c>
      <c r="T171" s="43" t="inlineStr">
        <is>
          <t>R1:Không đạt</t>
        </is>
      </c>
      <c r="U171" s="40" t="inlineStr"/>
      <c r="V171" s="43" t="inlineStr"/>
    </row>
    <row r="172" ht="80" customHeight="1">
      <c r="A172" s="40" t="inlineStr">
        <is>
          <t>TC-169</t>
        </is>
      </c>
      <c r="B172" s="41" t="inlineStr">
        <is>
          <t>GREEN</t>
        </is>
      </c>
      <c r="C172" s="42" t="inlineStr">
        <is>
          <t>P0</t>
        </is>
      </c>
      <c r="D172" s="43" t="inlineStr">
        <is>
          <t>Assign</t>
        </is>
      </c>
      <c r="E172" s="43" t="inlineStr">
        <is>
          <t>Dispatcher phân công Case sang Team-Q2 + investigator của team</t>
        </is>
      </c>
      <c r="F172" s="40" t="inlineStr">
        <is>
          <t>REQ-CASE-ASSIGN-169</t>
        </is>
      </c>
      <c r="G172" s="40" t="inlineStr">
        <is>
          <t>Use case testing</t>
        </is>
      </c>
      <c r="H172" s="40" t="inlineStr">
        <is>
          <t>Cao</t>
        </is>
      </c>
      <c r="I172" s="43" t="inlineStr">
        <is>
          <t>Login dispatcher@, CASE-001 assignedTeamId=Team-Q1, dieuTra-Q2 thuộc Team-Q2</t>
        </is>
      </c>
      <c r="J172" s="43" t="inlineStr">
        <is>
          <t>PATCH /cases/CASE-001/assign {assignedTeamId:'Team-Q2', investigatorId:'&lt;dieuTra-Q2&gt;'}</t>
        </is>
      </c>
      <c r="K172" s="43" t="inlineStr">
        <is>
          <t>assignedTeamId='Team-Q2', investigatorId='&lt;dieuTra-Q2.id&gt;'</t>
        </is>
      </c>
      <c r="L172" s="43" t="inlineStr">
        <is>
          <t>Toast 'Phân công vụ án thành công', detail show team mới</t>
        </is>
      </c>
      <c r="M172" s="43" t="inlineStr">
        <is>
          <t>200</t>
        </is>
      </c>
      <c r="N172" s="43" t="inlineStr">
        <is>
          <t>1. cases.assignedTeamId='Team-Q2'
2. Audit CASE_ASSIGNED metadata.fromTeamId, toTeamId, fromInvestigatorId, toInvestigatorId</t>
        </is>
      </c>
      <c r="O172" s="40" t="inlineStr">
        <is>
          <t>Critical</t>
        </is>
      </c>
      <c r="P172" s="43" t="inlineStr">
        <is>
          <t>Thời gian: 669ms</t>
        </is>
      </c>
      <c r="Q172" s="40" t="inlineStr">
        <is>
          <t>Không đạt</t>
        </is>
      </c>
      <c r="R172" s="40" t="inlineStr">
        <is>
          <t>BUG-001</t>
        </is>
      </c>
      <c r="S172" s="40" t="inlineStr">
        <is>
          <t>23/05/2026 19:06</t>
        </is>
      </c>
      <c r="T172" s="43" t="inlineStr">
        <is>
          <t>R1:Không đạt</t>
        </is>
      </c>
      <c r="U172" s="40" t="inlineStr"/>
      <c r="V172" s="43" t="inlineStr"/>
    </row>
    <row r="173" ht="80" customHeight="1">
      <c r="A173" s="40" t="inlineStr">
        <is>
          <t>TC-170</t>
        </is>
      </c>
      <c r="B173" s="45" t="inlineStr">
        <is>
          <t>RED</t>
        </is>
      </c>
      <c r="C173" s="42" t="inlineStr">
        <is>
          <t>P0</t>
        </is>
      </c>
      <c r="D173" s="43" t="inlineStr">
        <is>
          <t>Assign</t>
        </is>
      </c>
      <c r="E173" s="43" t="inlineStr">
        <is>
          <t>Non-dispatcher gọi assign → 403 DispatchGuard</t>
        </is>
      </c>
      <c r="F173" s="40" t="inlineStr">
        <is>
          <t>REQ-CASE-ASSIGN-170</t>
        </is>
      </c>
      <c r="G173" s="40" t="inlineStr">
        <is>
          <t>Use case testing</t>
        </is>
      </c>
      <c r="H173" s="40" t="inlineStr">
        <is>
          <t>Cao</t>
        </is>
      </c>
      <c r="I173" s="43" t="inlineStr">
        <is>
          <t>Login dieuTra1@ (canDispatch=false)</t>
        </is>
      </c>
      <c r="J173" s="43" t="inlineStr">
        <is>
          <t>PATCH /cases/CASE-001/assign</t>
        </is>
      </c>
      <c r="K173" s="43" t="inlineStr">
        <is>
          <t>-</t>
        </is>
      </c>
      <c r="L173" s="43" t="inlineStr">
        <is>
          <t>403</t>
        </is>
      </c>
      <c r="M173" s="43" t="inlineStr">
        <is>
          <t>403 DispatchGuard</t>
        </is>
      </c>
      <c r="N173" s="43" t="inlineStr">
        <is>
          <t>-</t>
        </is>
      </c>
      <c r="O173" s="40" t="inlineStr">
        <is>
          <t>Critical</t>
        </is>
      </c>
      <c r="P173" s="43" t="inlineStr">
        <is>
          <t>Đạt như expected. Thời gian: 1452ms</t>
        </is>
      </c>
      <c r="Q173" s="40" t="inlineStr">
        <is>
          <t>Đạt</t>
        </is>
      </c>
      <c r="R173" s="40" t="inlineStr"/>
      <c r="S173" s="40" t="inlineStr">
        <is>
          <t>23/05/2026 19:06</t>
        </is>
      </c>
      <c r="T173" s="43" t="inlineStr">
        <is>
          <t>R1:Đạt</t>
        </is>
      </c>
      <c r="U173" s="40" t="inlineStr"/>
      <c r="V173" s="43" t="inlineStr"/>
    </row>
    <row r="174" ht="80" customHeight="1">
      <c r="A174" s="40" t="inlineStr">
        <is>
          <t>TC-171</t>
        </is>
      </c>
      <c r="B174" s="45" t="inlineStr">
        <is>
          <t>RED</t>
        </is>
      </c>
      <c r="C174" s="42" t="inlineStr">
        <is>
          <t>P0</t>
        </is>
      </c>
      <c r="D174" s="43" t="inlineStr">
        <is>
          <t>Assign</t>
        </is>
      </c>
      <c r="E174" s="43" t="inlineStr">
        <is>
          <t>Case ngoài scope của dispatcher (nếu dispatcher có scope giới hạn) → ?</t>
        </is>
      </c>
      <c r="F174" s="40" t="inlineStr">
        <is>
          <t>REQ-CASE-ASSIGN-171</t>
        </is>
      </c>
      <c r="G174" s="40" t="inlineStr">
        <is>
          <t>Use case testing</t>
        </is>
      </c>
      <c r="H174" s="40" t="inlineStr">
        <is>
          <t>Cao</t>
        </is>
      </c>
      <c r="I174" s="43" t="inlineStr">
        <is>
          <t>1. User đã login
2. Token JWT hợp lệ</t>
        </is>
      </c>
      <c r="J174" s="43" t="inlineStr">
        <is>
          <t>Dispatcher scope=ward, assign cross-ward</t>
        </is>
      </c>
      <c r="K174" s="43" t="inlineStr">
        <is>
          <t>-</t>
        </is>
      </c>
      <c r="L174" s="43" t="inlineStr">
        <is>
          <t>-</t>
        </is>
      </c>
      <c r="M174" s="43" t="inlineStr">
        <is>
          <t>Hiện DispatchGuard chỉ check role không check scope</t>
        </is>
      </c>
      <c r="N174" s="43" t="inlineStr">
        <is>
          <t>-</t>
        </is>
      </c>
      <c r="O174" s="40" t="inlineStr">
        <is>
          <t>High</t>
        </is>
      </c>
      <c r="P174" s="43" t="inlineStr">
        <is>
          <t>Thời gian: 141ms</t>
        </is>
      </c>
      <c r="Q174" s="40" t="inlineStr">
        <is>
          <t>Không đạt</t>
        </is>
      </c>
      <c r="R174" s="40" t="inlineStr">
        <is>
          <t>BUG-002</t>
        </is>
      </c>
      <c r="S174" s="40" t="inlineStr">
        <is>
          <t>23/05/2026 19:06</t>
        </is>
      </c>
      <c r="T174" s="43" t="inlineStr">
        <is>
          <t>R1:Không đạt</t>
        </is>
      </c>
      <c r="U174" s="40" t="inlineStr"/>
      <c r="V174" s="43" t="inlineStr">
        <is>
          <t>Gap potential: dispatcher có thể assign vượt scope của họ</t>
        </is>
      </c>
    </row>
    <row r="175" ht="80" customHeight="1">
      <c r="A175" s="40" t="inlineStr">
        <is>
          <t>TC-172</t>
        </is>
      </c>
      <c r="B175" s="45" t="inlineStr">
        <is>
          <t>RED</t>
        </is>
      </c>
      <c r="C175" s="42" t="inlineStr">
        <is>
          <t>P0</t>
        </is>
      </c>
      <c r="D175" s="43" t="inlineStr">
        <is>
          <t>Assign</t>
        </is>
      </c>
      <c r="E175" s="43" t="inlineStr">
        <is>
          <t>assignedTeamId team đã isActive=false → 400 'Tổ điều tra không tồn tại hoặc đã ngừng hoạt động'</t>
        </is>
      </c>
      <c r="F175" s="40" t="inlineStr">
        <is>
          <t>REQ-CASE-ASSIGN-172</t>
        </is>
      </c>
      <c r="G175" s="40" t="inlineStr">
        <is>
          <t>Use case testing</t>
        </is>
      </c>
      <c r="H175" s="40" t="inlineStr">
        <is>
          <t>Cao</t>
        </is>
      </c>
      <c r="I175" s="43" t="inlineStr">
        <is>
          <t>Team-INACTIVE isActive=false</t>
        </is>
      </c>
      <c r="J175" s="43" t="inlineStr">
        <is>
          <t>PATCH assign assignedTeamId='Team-INACTIVE'</t>
        </is>
      </c>
      <c r="K175" s="43" t="inlineStr">
        <is>
          <t>assignedTeamId='Team-INACTIVE'</t>
        </is>
      </c>
      <c r="L175" s="43" t="inlineStr">
        <is>
          <t>Toast lỗi</t>
        </is>
      </c>
      <c r="M175" s="43" t="inlineStr">
        <is>
          <t>400 BadRequestException</t>
        </is>
      </c>
      <c r="N175" s="43" t="inlineStr">
        <is>
          <t>-</t>
        </is>
      </c>
      <c r="O175" s="40" t="inlineStr">
        <is>
          <t>High</t>
        </is>
      </c>
      <c r="P175" s="43" t="inlineStr">
        <is>
          <t>Thời gian: 177ms</t>
        </is>
      </c>
      <c r="Q175" s="40" t="inlineStr">
        <is>
          <t>Không đạt</t>
        </is>
      </c>
      <c r="R175" s="40" t="inlineStr">
        <is>
          <t>BUG-003</t>
        </is>
      </c>
      <c r="S175" s="40" t="inlineStr">
        <is>
          <t>23/05/2026 19:06</t>
        </is>
      </c>
      <c r="T175" s="43" t="inlineStr">
        <is>
          <t>R1:Không đạt</t>
        </is>
      </c>
      <c r="U175" s="40" t="inlineStr"/>
      <c r="V175" s="43" t="inlineStr"/>
    </row>
    <row r="176" ht="80" customHeight="1">
      <c r="A176" s="40" t="inlineStr">
        <is>
          <t>TC-173</t>
        </is>
      </c>
      <c r="B176" s="45" t="inlineStr">
        <is>
          <t>RED</t>
        </is>
      </c>
      <c r="C176" s="42" t="inlineStr">
        <is>
          <t>P0</t>
        </is>
      </c>
      <c r="D176" s="43" t="inlineStr">
        <is>
          <t>Assign</t>
        </is>
      </c>
      <c r="E176" s="43" t="inlineStr">
        <is>
          <t>investigatorId không thuộc team được chỉ định → 400 'Điều tra viên không thuộc tổ'</t>
        </is>
      </c>
      <c r="F176" s="40" t="inlineStr">
        <is>
          <t>REQ-CASE-ASSIGN-173</t>
        </is>
      </c>
      <c r="G176" s="40" t="inlineStr">
        <is>
          <t>Use case testing</t>
        </is>
      </c>
      <c r="H176" s="40" t="inlineStr">
        <is>
          <t>Cao</t>
        </is>
      </c>
      <c r="I176" s="43" t="inlineStr">
        <is>
          <t>dieuTra-Q1 chỉ thuộc Team-Q1</t>
        </is>
      </c>
      <c r="J176" s="43" t="inlineStr">
        <is>
          <t>PATCH assign assignedTeamId='Team-Q2', investigatorId='&lt;dieuTra-Q1&gt;'</t>
        </is>
      </c>
      <c r="K176" s="43" t="inlineStr">
        <is>
          <t>-</t>
        </is>
      </c>
      <c r="L176" s="43" t="inlineStr">
        <is>
          <t>-</t>
        </is>
      </c>
      <c r="M176" s="43" t="inlineStr">
        <is>
          <t>400 'Điều tra viên không thuộc tổ được chỉ định'</t>
        </is>
      </c>
      <c r="N176" s="43" t="inlineStr">
        <is>
          <t>-</t>
        </is>
      </c>
      <c r="O176" s="40" t="inlineStr">
        <is>
          <t>High</t>
        </is>
      </c>
      <c r="P176" s="43" t="inlineStr">
        <is>
          <t>Thời gian: 176ms</t>
        </is>
      </c>
      <c r="Q176" s="40" t="inlineStr">
        <is>
          <t>Không đạt</t>
        </is>
      </c>
      <c r="R176" s="40" t="inlineStr">
        <is>
          <t>BUG-004</t>
        </is>
      </c>
      <c r="S176" s="40" t="inlineStr">
        <is>
          <t>23/05/2026 19:06</t>
        </is>
      </c>
      <c r="T176" s="43" t="inlineStr">
        <is>
          <t>R1:Không đạt</t>
        </is>
      </c>
      <c r="U176" s="40" t="inlineStr"/>
      <c r="V176" s="43" t="inlineStr">
        <is>
          <t>UserTeam join check</t>
        </is>
      </c>
    </row>
    <row r="177" ht="80" customHeight="1">
      <c r="A177" s="40" t="inlineStr">
        <is>
          <t>TC-174</t>
        </is>
      </c>
      <c r="B177" s="41" t="inlineStr">
        <is>
          <t>GREEN</t>
        </is>
      </c>
      <c r="C177" s="44" t="inlineStr">
        <is>
          <t>P1</t>
        </is>
      </c>
      <c r="D177" s="43" t="inlineStr">
        <is>
          <t>Assign</t>
        </is>
      </c>
      <c r="E177" s="43" t="inlineStr">
        <is>
          <t>investigatorId=null khi assign (chỉ chuyển team, chưa giao cho ĐTV cụ thể)</t>
        </is>
      </c>
      <c r="F177" s="40" t="inlineStr">
        <is>
          <t>REQ-CASE-ASSIGN-174</t>
        </is>
      </c>
      <c r="G177" s="40" t="inlineStr">
        <is>
          <t>Use case testing</t>
        </is>
      </c>
      <c r="H177" s="40" t="inlineStr">
        <is>
          <t>TB</t>
        </is>
      </c>
      <c r="I177" s="43" t="inlineStr">
        <is>
          <t>1. User đã login
2. Token JWT hợp lệ</t>
        </is>
      </c>
      <c r="J177" s="43" t="inlineStr">
        <is>
          <t>PATCH assign assignedTeamId='Team-Q2', investigatorId=null</t>
        </is>
      </c>
      <c r="K177" s="43" t="inlineStr">
        <is>
          <t>investigatorId=null</t>
        </is>
      </c>
      <c r="L177" s="43" t="inlineStr">
        <is>
          <t>-</t>
        </is>
      </c>
      <c r="M177" s="43" t="inlineStr">
        <is>
          <t>200, data.investigatorId=null</t>
        </is>
      </c>
      <c r="N177" s="43" t="inlineStr">
        <is>
          <t>-</t>
        </is>
      </c>
      <c r="O177" s="40" t="inlineStr">
        <is>
          <t>High</t>
        </is>
      </c>
      <c r="P177" s="43" t="inlineStr">
        <is>
          <t>Thời gian: 133ms</t>
        </is>
      </c>
      <c r="Q177" s="40" t="inlineStr">
        <is>
          <t>Không đạt</t>
        </is>
      </c>
      <c r="R177" s="40" t="inlineStr">
        <is>
          <t>BUG-005</t>
        </is>
      </c>
      <c r="S177" s="40" t="inlineStr">
        <is>
          <t>23/05/2026 19:06</t>
        </is>
      </c>
      <c r="T177" s="43" t="inlineStr">
        <is>
          <t>R1:Không đạt</t>
        </is>
      </c>
      <c r="U177" s="40" t="inlineStr"/>
      <c r="V177" s="43" t="inlineStr"/>
    </row>
    <row r="178" ht="80" customHeight="1">
      <c r="A178" s="40" t="inlineStr">
        <is>
          <t>TC-175</t>
        </is>
      </c>
      <c r="B178" s="45" t="inlineStr">
        <is>
          <t>RED</t>
        </is>
      </c>
      <c r="C178" s="42" t="inlineStr">
        <is>
          <t>P0</t>
        </is>
      </c>
      <c r="D178" s="43" t="inlineStr">
        <is>
          <t>Assign</t>
        </is>
      </c>
      <c r="E178" s="43" t="inlineStr">
        <is>
          <t>Case không tồn tại → 404</t>
        </is>
      </c>
      <c r="F178" s="40" t="inlineStr">
        <is>
          <t>REQ-CASE-ASSIGN-175</t>
        </is>
      </c>
      <c r="G178" s="40" t="inlineStr">
        <is>
          <t>Use case testing</t>
        </is>
      </c>
      <c r="H178" s="40" t="inlineStr">
        <is>
          <t>Cao</t>
        </is>
      </c>
      <c r="I178" s="43" t="inlineStr">
        <is>
          <t>1. User đã login
2. Token JWT hợp lệ</t>
        </is>
      </c>
      <c r="J178" s="43" t="inlineStr">
        <is>
          <t>PATCH /cases/NOT_EXIST/assign</t>
        </is>
      </c>
      <c r="K178" s="43" t="inlineStr">
        <is>
          <t>-</t>
        </is>
      </c>
      <c r="L178" s="43" t="inlineStr">
        <is>
          <t>-</t>
        </is>
      </c>
      <c r="M178" s="43" t="inlineStr">
        <is>
          <t>404</t>
        </is>
      </c>
      <c r="N178" s="43" t="inlineStr">
        <is>
          <t>-</t>
        </is>
      </c>
      <c r="O178" s="40" t="inlineStr">
        <is>
          <t>High</t>
        </is>
      </c>
      <c r="P178" s="43" t="inlineStr">
        <is>
          <t>Thời gian: 175ms</t>
        </is>
      </c>
      <c r="Q178" s="40" t="inlineStr">
        <is>
          <t>Không đạt</t>
        </is>
      </c>
      <c r="R178" s="40" t="inlineStr">
        <is>
          <t>BUG-006</t>
        </is>
      </c>
      <c r="S178" s="40" t="inlineStr">
        <is>
          <t>23/05/2026 19:06</t>
        </is>
      </c>
      <c r="T178" s="43" t="inlineStr">
        <is>
          <t>R1:Không đạt</t>
        </is>
      </c>
      <c r="U178" s="40" t="inlineStr"/>
      <c r="V178" s="43" t="inlineStr"/>
    </row>
    <row r="179" ht="80" customHeight="1">
      <c r="A179" s="40" t="inlineStr">
        <is>
          <t>TC-176</t>
        </is>
      </c>
      <c r="B179" s="45" t="inlineStr">
        <is>
          <t>RED</t>
        </is>
      </c>
      <c r="C179" s="42" t="inlineStr">
        <is>
          <t>P0</t>
        </is>
      </c>
      <c r="D179" s="43" t="inlineStr">
        <is>
          <t>Assign</t>
        </is>
      </c>
      <c r="E179" s="43" t="inlineStr">
        <is>
          <t>Case đã soft-deleted → 404</t>
        </is>
      </c>
      <c r="F179" s="40" t="inlineStr">
        <is>
          <t>REQ-CASE-ASSIGN-176</t>
        </is>
      </c>
      <c r="G179" s="40" t="inlineStr">
        <is>
          <t>Use case testing</t>
        </is>
      </c>
      <c r="H179" s="40" t="inlineStr">
        <is>
          <t>Cao</t>
        </is>
      </c>
      <c r="I179" s="43" t="inlineStr">
        <is>
          <t>CASE-DEL</t>
        </is>
      </c>
      <c r="J179" s="43" t="inlineStr">
        <is>
          <t>PATCH assign</t>
        </is>
      </c>
      <c r="K179" s="43" t="inlineStr">
        <is>
          <t>-</t>
        </is>
      </c>
      <c r="L179" s="43" t="inlineStr">
        <is>
          <t>-</t>
        </is>
      </c>
      <c r="M179" s="43" t="inlineStr">
        <is>
          <t>404</t>
        </is>
      </c>
      <c r="N179" s="43" t="inlineStr">
        <is>
          <t>-</t>
        </is>
      </c>
      <c r="O179" s="40" t="inlineStr">
        <is>
          <t>High</t>
        </is>
      </c>
      <c r="P179" s="43" t="inlineStr">
        <is>
          <t>Thời gian: 156ms</t>
        </is>
      </c>
      <c r="Q179" s="40" t="inlineStr">
        <is>
          <t>Không đạt</t>
        </is>
      </c>
      <c r="R179" s="40" t="inlineStr">
        <is>
          <t>BUG-007</t>
        </is>
      </c>
      <c r="S179" s="40" t="inlineStr">
        <is>
          <t>23/05/2026 19:06</t>
        </is>
      </c>
      <c r="T179" s="43" t="inlineStr">
        <is>
          <t>R1:Không đạt</t>
        </is>
      </c>
      <c r="U179" s="40" t="inlineStr"/>
      <c r="V179" s="43" t="inlineStr"/>
    </row>
    <row r="180" ht="80" customHeight="1">
      <c r="A180" s="40" t="inlineStr">
        <is>
          <t>TC-177</t>
        </is>
      </c>
      <c r="B180" s="45" t="inlineStr">
        <is>
          <t>RED</t>
        </is>
      </c>
      <c r="C180" s="42" t="inlineStr">
        <is>
          <t>P0</t>
        </is>
      </c>
      <c r="D180" s="43" t="inlineStr">
        <is>
          <t>Assign</t>
        </is>
      </c>
      <c r="E180" s="43" t="inlineStr">
        <is>
          <t>expectedUpdatedAt mismatch → 409</t>
        </is>
      </c>
      <c r="F180" s="40" t="inlineStr">
        <is>
          <t>REQ-CASE-ASSIGN-177</t>
        </is>
      </c>
      <c r="G180" s="40" t="inlineStr">
        <is>
          <t>Use case testing</t>
        </is>
      </c>
      <c r="H180" s="40" t="inlineStr">
        <is>
          <t>Cao</t>
        </is>
      </c>
      <c r="I180" s="43" t="inlineStr">
        <is>
          <t>1. User đã login
2. Token JWT hợp lệ</t>
        </is>
      </c>
      <c r="J180" s="43" t="inlineStr">
        <is>
          <t>PATCH assign với expectedUpdatedAt cũ</t>
        </is>
      </c>
      <c r="K180" s="43" t="inlineStr">
        <is>
          <t>expectedUpdatedAt cũ</t>
        </is>
      </c>
      <c r="L180" s="43" t="inlineStr">
        <is>
          <t>Toast 'Vụ án đã được chỉnh sửa bởi người dùng khác'</t>
        </is>
      </c>
      <c r="M180" s="43" t="inlineStr">
        <is>
          <t>409</t>
        </is>
      </c>
      <c r="N180" s="43" t="inlineStr">
        <is>
          <t>-</t>
        </is>
      </c>
      <c r="O180" s="40" t="inlineStr">
        <is>
          <t>High</t>
        </is>
      </c>
      <c r="P180" s="43" t="inlineStr">
        <is>
          <t>Thời gian: 153ms</t>
        </is>
      </c>
      <c r="Q180" s="40" t="inlineStr">
        <is>
          <t>Không đạt</t>
        </is>
      </c>
      <c r="R180" s="40" t="inlineStr">
        <is>
          <t>BUG-008</t>
        </is>
      </c>
      <c r="S180" s="40" t="inlineStr">
        <is>
          <t>23/05/2026 19:06</t>
        </is>
      </c>
      <c r="T180" s="43" t="inlineStr">
        <is>
          <t>R1:Không đạt</t>
        </is>
      </c>
      <c r="U180" s="40" t="inlineStr"/>
      <c r="V180" s="43" t="inlineStr"/>
    </row>
    <row r="181" ht="80" customHeight="1">
      <c r="A181" s="40" t="inlineStr">
        <is>
          <t>TC-178</t>
        </is>
      </c>
      <c r="B181" s="41" t="inlineStr">
        <is>
          <t>GREEN</t>
        </is>
      </c>
      <c r="C181" s="42" t="inlineStr">
        <is>
          <t>P0</t>
        </is>
      </c>
      <c r="D181" s="43" t="inlineStr">
        <is>
          <t>Assign</t>
        </is>
      </c>
      <c r="E181" s="43" t="inlineStr">
        <is>
          <t>Escalation: ward team → non-ward team → emit CASE_ESCALATED_FROM_WARD audit</t>
        </is>
      </c>
      <c r="F181" s="40" t="inlineStr">
        <is>
          <t>REQ-CASE-ASSIGN-178</t>
        </is>
      </c>
      <c r="G181" s="40" t="inlineStr">
        <is>
          <t>Use case testing</t>
        </is>
      </c>
      <c r="H181" s="40" t="inlineStr">
        <is>
          <t>Cao</t>
        </is>
      </c>
      <c r="I181" s="43" t="inlineStr">
        <is>
          <t>CASE-001 assignedTeam=Team-WARD-01 (wardId set)</t>
        </is>
      </c>
      <c r="J181" s="43" t="inlineStr">
        <is>
          <t>PATCH assign assignedTeamId='Team-PC02-CENTRAL' (wardId=null)</t>
        </is>
      </c>
      <c r="K181" s="43" t="inlineStr">
        <is>
          <t>-</t>
        </is>
      </c>
      <c r="L181" s="43" t="inlineStr">
        <is>
          <t>-</t>
        </is>
      </c>
      <c r="M181" s="43" t="inlineStr">
        <is>
          <t>200</t>
        </is>
      </c>
      <c r="N181" s="43" t="inlineStr">
        <is>
          <t>1. Audit CASE_ASSIGNED
2. Audit CASE_ESCALATED_FROM_WARD với metadata.oldWardId, oldWardName, newTeamId</t>
        </is>
      </c>
      <c r="O181" s="40" t="inlineStr">
        <is>
          <t>High</t>
        </is>
      </c>
      <c r="P181" s="43" t="inlineStr">
        <is>
          <t>Thời gian: 198ms</t>
        </is>
      </c>
      <c r="Q181" s="40" t="inlineStr">
        <is>
          <t>Không đạt</t>
        </is>
      </c>
      <c r="R181" s="40" t="inlineStr">
        <is>
          <t>BUG-009</t>
        </is>
      </c>
      <c r="S181" s="40" t="inlineStr">
        <is>
          <t>23/05/2026 19:06</t>
        </is>
      </c>
      <c r="T181" s="43" t="inlineStr">
        <is>
          <t>R1:Không đạt</t>
        </is>
      </c>
      <c r="U181" s="40" t="inlineStr"/>
      <c r="V181" s="43" t="inlineStr">
        <is>
          <t>v0.35a</t>
        </is>
      </c>
    </row>
    <row r="182" ht="80" customHeight="1">
      <c r="A182" s="40" t="inlineStr">
        <is>
          <t>TC-179</t>
        </is>
      </c>
      <c r="B182" s="41" t="inlineStr">
        <is>
          <t>GREEN</t>
        </is>
      </c>
      <c r="C182" s="44" t="inlineStr">
        <is>
          <t>P1</t>
        </is>
      </c>
      <c r="D182" s="43" t="inlineStr">
        <is>
          <t>Assign</t>
        </is>
      </c>
      <c r="E182" s="43" t="inlineStr">
        <is>
          <t>Re-assign cùng team (no-op assignedTeamId không đổi) → audit không emit escalation</t>
        </is>
      </c>
      <c r="F182" s="40" t="inlineStr">
        <is>
          <t>REQ-CASE-ASSIGN-179</t>
        </is>
      </c>
      <c r="G182" s="40" t="inlineStr">
        <is>
          <t>Use case testing</t>
        </is>
      </c>
      <c r="H182" s="40" t="inlineStr">
        <is>
          <t>TB</t>
        </is>
      </c>
      <c r="I182" s="43" t="inlineStr">
        <is>
          <t>CASE-001 Team-Q1</t>
        </is>
      </c>
      <c r="J182" s="43" t="inlineStr">
        <is>
          <t>PATCH assign assignedTeamId='Team-Q1', investigatorId='&lt;other&gt;'</t>
        </is>
      </c>
      <c r="K182" s="43" t="inlineStr">
        <is>
          <t>-</t>
        </is>
      </c>
      <c r="L182" s="43" t="inlineStr">
        <is>
          <t>-</t>
        </is>
      </c>
      <c r="M182" s="43" t="inlineStr">
        <is>
          <t>200</t>
        </is>
      </c>
      <c r="N182" s="43" t="inlineStr">
        <is>
          <t>CASE_ASSIGNED có, ESCALATED_FROM_WARD KHÔNG</t>
        </is>
      </c>
      <c r="O182" s="40" t="inlineStr">
        <is>
          <t>Medium</t>
        </is>
      </c>
      <c r="P182" s="43" t="inlineStr">
        <is>
          <t>Thời gian: 172ms</t>
        </is>
      </c>
      <c r="Q182" s="40" t="inlineStr">
        <is>
          <t>Không đạt</t>
        </is>
      </c>
      <c r="R182" s="40" t="inlineStr">
        <is>
          <t>BUG-010</t>
        </is>
      </c>
      <c r="S182" s="40" t="inlineStr">
        <is>
          <t>23/05/2026 19:06</t>
        </is>
      </c>
      <c r="T182" s="43" t="inlineStr">
        <is>
          <t>R1:Không đạt</t>
        </is>
      </c>
      <c r="U182" s="40" t="inlineStr"/>
      <c r="V182" s="43" t="inlineStr"/>
    </row>
    <row r="183" ht="80" customHeight="1">
      <c r="A183" s="40" t="inlineStr">
        <is>
          <t>TC-180</t>
        </is>
      </c>
      <c r="B183" s="41" t="inlineStr">
        <is>
          <t>GREEN</t>
        </is>
      </c>
      <c r="C183" s="44" t="inlineStr">
        <is>
          <t>P1</t>
        </is>
      </c>
      <c r="D183" s="43" t="inlineStr">
        <is>
          <t>Assign</t>
        </is>
      </c>
      <c r="E183" s="43" t="inlineStr">
        <is>
          <t>Non-ward team → ward team (de-escalation) — audit không emit (chỉ from-ward)</t>
        </is>
      </c>
      <c r="F183" s="40" t="inlineStr">
        <is>
          <t>REQ-CASE-ASSIGN-180</t>
        </is>
      </c>
      <c r="G183" s="40" t="inlineStr">
        <is>
          <t>Use case testing</t>
        </is>
      </c>
      <c r="H183" s="40" t="inlineStr">
        <is>
          <t>TB</t>
        </is>
      </c>
      <c r="I183" s="43" t="inlineStr">
        <is>
          <t>CASE-001 Team-PC02-CENTRAL (wardId=null)</t>
        </is>
      </c>
      <c r="J183" s="43" t="inlineStr">
        <is>
          <t>PATCH assign Team-WARD-01</t>
        </is>
      </c>
      <c r="K183" s="43" t="inlineStr">
        <is>
          <t>-</t>
        </is>
      </c>
      <c r="L183" s="43" t="inlineStr">
        <is>
          <t>-</t>
        </is>
      </c>
      <c r="M183" s="43" t="inlineStr">
        <is>
          <t>200</t>
        </is>
      </c>
      <c r="N183" s="43" t="inlineStr">
        <is>
          <t>CASE_ASSIGNED có, không ESCALATED_FROM_WARD (logic chỉ wardId→null)</t>
        </is>
      </c>
      <c r="O183" s="40" t="inlineStr">
        <is>
          <t>Medium</t>
        </is>
      </c>
      <c r="P183" s="43" t="inlineStr">
        <is>
          <t>Thời gian: 137ms</t>
        </is>
      </c>
      <c r="Q183" s="40" t="inlineStr">
        <is>
          <t>Không đạt</t>
        </is>
      </c>
      <c r="R183" s="40" t="inlineStr">
        <is>
          <t>BUG-011</t>
        </is>
      </c>
      <c r="S183" s="40" t="inlineStr">
        <is>
          <t>23/05/2026 19:06</t>
        </is>
      </c>
      <c r="T183" s="43" t="inlineStr">
        <is>
          <t>R1:Không đạt</t>
        </is>
      </c>
      <c r="U183" s="40" t="inlineStr"/>
      <c r="V183" s="43" t="inlineStr"/>
    </row>
    <row r="184" ht="80" customHeight="1">
      <c r="A184" s="40" t="inlineStr">
        <is>
          <t>TC-181</t>
        </is>
      </c>
      <c r="B184" s="45" t="inlineStr">
        <is>
          <t>RED</t>
        </is>
      </c>
      <c r="C184" s="44" t="inlineStr">
        <is>
          <t>P1</t>
        </is>
      </c>
      <c r="D184" s="43" t="inlineStr">
        <is>
          <t>Assign</t>
        </is>
      </c>
      <c r="E184" s="43" t="inlineStr">
        <is>
          <t>assignedTeamId rỗng '' → 400</t>
        </is>
      </c>
      <c r="F184" s="40" t="inlineStr">
        <is>
          <t>REQ-CASE-ASSIGN-181</t>
        </is>
      </c>
      <c r="G184" s="40" t="inlineStr">
        <is>
          <t>Use case testing</t>
        </is>
      </c>
      <c r="H184" s="40" t="inlineStr">
        <is>
          <t>TB</t>
        </is>
      </c>
      <c r="I184" s="43" t="inlineStr">
        <is>
          <t>1. User đã login
2. Token JWT hợp lệ</t>
        </is>
      </c>
      <c r="J184" s="43" t="inlineStr">
        <is>
          <t>PATCH assignedTeamId=''</t>
        </is>
      </c>
      <c r="K184" s="43" t="inlineStr">
        <is>
          <t>assignedTeamId=''</t>
        </is>
      </c>
      <c r="L184" s="43" t="inlineStr">
        <is>
          <t>-</t>
        </is>
      </c>
      <c r="M184" s="43" t="inlineStr">
        <is>
          <t>400</t>
        </is>
      </c>
      <c r="N184" s="43" t="inlineStr">
        <is>
          <t>-</t>
        </is>
      </c>
      <c r="O184" s="40" t="inlineStr">
        <is>
          <t>Medium</t>
        </is>
      </c>
      <c r="P184" s="43" t="inlineStr">
        <is>
          <t>Thời gian: 171ms</t>
        </is>
      </c>
      <c r="Q184" s="40" t="inlineStr">
        <is>
          <t>Không đạt</t>
        </is>
      </c>
      <c r="R184" s="40" t="inlineStr">
        <is>
          <t>BUG-012</t>
        </is>
      </c>
      <c r="S184" s="40" t="inlineStr">
        <is>
          <t>23/05/2026 19:06</t>
        </is>
      </c>
      <c r="T184" s="43" t="inlineStr">
        <is>
          <t>R1:Không đạt</t>
        </is>
      </c>
      <c r="U184" s="40" t="inlineStr"/>
      <c r="V184" s="43" t="inlineStr"/>
    </row>
    <row r="185" ht="80" customHeight="1">
      <c r="A185" s="40" t="inlineStr">
        <is>
          <t>TC-182</t>
        </is>
      </c>
      <c r="B185" s="45" t="inlineStr">
        <is>
          <t>RED</t>
        </is>
      </c>
      <c r="C185" s="44" t="inlineStr">
        <is>
          <t>P1</t>
        </is>
      </c>
      <c r="D185" s="43" t="inlineStr">
        <is>
          <t>Assign</t>
        </is>
      </c>
      <c r="E185" s="43" t="inlineStr">
        <is>
          <t>Thiếu assignedTeamId → 400 DTO required</t>
        </is>
      </c>
      <c r="F185" s="40" t="inlineStr">
        <is>
          <t>REQ-CASE-ASSIGN-182</t>
        </is>
      </c>
      <c r="G185" s="40" t="inlineStr">
        <is>
          <t>Use case testing</t>
        </is>
      </c>
      <c r="H185" s="40" t="inlineStr">
        <is>
          <t>TB</t>
        </is>
      </c>
      <c r="I185" s="43" t="inlineStr">
        <is>
          <t>1. User đã login
2. Token JWT hợp lệ</t>
        </is>
      </c>
      <c r="J185" s="43" t="inlineStr">
        <is>
          <t>PATCH /assign body={}</t>
        </is>
      </c>
      <c r="K185" s="43" t="inlineStr">
        <is>
          <t>-</t>
        </is>
      </c>
      <c r="L185" s="43" t="inlineStr">
        <is>
          <t>-</t>
        </is>
      </c>
      <c r="M185" s="43" t="inlineStr">
        <is>
          <t>400</t>
        </is>
      </c>
      <c r="N185" s="43" t="inlineStr">
        <is>
          <t>-</t>
        </is>
      </c>
      <c r="O185" s="40" t="inlineStr">
        <is>
          <t>High</t>
        </is>
      </c>
      <c r="P185" s="43" t="inlineStr">
        <is>
          <t>Thời gian: 150ms</t>
        </is>
      </c>
      <c r="Q185" s="40" t="inlineStr">
        <is>
          <t>Không đạt</t>
        </is>
      </c>
      <c r="R185" s="40" t="inlineStr">
        <is>
          <t>BUG-013</t>
        </is>
      </c>
      <c r="S185" s="40" t="inlineStr">
        <is>
          <t>23/05/2026 19:06</t>
        </is>
      </c>
      <c r="T185" s="43" t="inlineStr">
        <is>
          <t>R1:Không đạt</t>
        </is>
      </c>
      <c r="U185" s="40" t="inlineStr"/>
      <c r="V185" s="43" t="inlineStr"/>
    </row>
    <row r="186" ht="80" customHeight="1">
      <c r="A186" s="40" t="inlineStr">
        <is>
          <t>TC-183</t>
        </is>
      </c>
      <c r="B186" s="41" t="inlineStr">
        <is>
          <t>GREEN</t>
        </is>
      </c>
      <c r="C186" s="44" t="inlineStr">
        <is>
          <t>P1</t>
        </is>
      </c>
      <c r="D186" s="43" t="inlineStr">
        <is>
          <t>Assign</t>
        </is>
      </c>
      <c r="E186" s="43" t="inlineStr">
        <is>
          <t>Dispatcher với expectedUpdatedAt KHỚP → success</t>
        </is>
      </c>
      <c r="F186" s="40" t="inlineStr">
        <is>
          <t>REQ-CASE-ASSIGN-183</t>
        </is>
      </c>
      <c r="G186" s="40" t="inlineStr">
        <is>
          <t>Use case testing</t>
        </is>
      </c>
      <c r="H186" s="40" t="inlineStr">
        <is>
          <t>TB</t>
        </is>
      </c>
      <c r="I186" s="43" t="inlineStr">
        <is>
          <t>1. User đã login
2. Token JWT hợp lệ</t>
        </is>
      </c>
      <c r="J186" s="43" t="inlineStr">
        <is>
          <t>PATCH assign với expectedUpdatedAt match current</t>
        </is>
      </c>
      <c r="K186" s="43" t="inlineStr">
        <is>
          <t>-</t>
        </is>
      </c>
      <c r="L186" s="43" t="inlineStr">
        <is>
          <t>-</t>
        </is>
      </c>
      <c r="M186" s="43" t="inlineStr">
        <is>
          <t>200</t>
        </is>
      </c>
      <c r="N186" s="43" t="inlineStr">
        <is>
          <t>updatedAt refreshed</t>
        </is>
      </c>
      <c r="O186" s="40" t="inlineStr">
        <is>
          <t>Medium</t>
        </is>
      </c>
      <c r="P186" s="43" t="inlineStr">
        <is>
          <t>Thời gian: 151ms</t>
        </is>
      </c>
      <c r="Q186" s="40" t="inlineStr">
        <is>
          <t>Không đạt</t>
        </is>
      </c>
      <c r="R186" s="40" t="inlineStr">
        <is>
          <t>BUG-014</t>
        </is>
      </c>
      <c r="S186" s="40" t="inlineStr">
        <is>
          <t>23/05/2026 19:06</t>
        </is>
      </c>
      <c r="T186" s="43" t="inlineStr">
        <is>
          <t>R1:Không đạt</t>
        </is>
      </c>
      <c r="U186" s="40" t="inlineStr"/>
      <c r="V186" s="43" t="inlineStr"/>
    </row>
    <row r="187" ht="80" customHeight="1">
      <c r="A187" s="40" t="inlineStr">
        <is>
          <t>TC-184</t>
        </is>
      </c>
      <c r="B187" s="45" t="inlineStr">
        <is>
          <t>RED</t>
        </is>
      </c>
      <c r="C187" s="42" t="inlineStr">
        <is>
          <t>P0</t>
        </is>
      </c>
      <c r="D187" s="43" t="inlineStr">
        <is>
          <t>Assign</t>
        </is>
      </c>
      <c r="E187" s="43" t="inlineStr">
        <is>
          <t>Non-dispatcher với JWT của dispatcher (token theft) → permission guard pass? — JWT check role thật</t>
        </is>
      </c>
      <c r="F187" s="40" t="inlineStr">
        <is>
          <t>REQ-CASE-ASSIGN-184</t>
        </is>
      </c>
      <c r="G187" s="40" t="inlineStr">
        <is>
          <t>Use case testing</t>
        </is>
      </c>
      <c r="H187" s="40" t="inlineStr">
        <is>
          <t>Cao</t>
        </is>
      </c>
      <c r="I187" s="43" t="inlineStr">
        <is>
          <t>1. User đã login
2. Token JWT hợp lệ</t>
        </is>
      </c>
      <c r="J187" s="43" t="inlineStr">
        <is>
          <t>Steal dispatcher's JWT, gọi từ user khác</t>
        </is>
      </c>
      <c r="K187" s="43" t="inlineStr">
        <is>
          <t>-</t>
        </is>
      </c>
      <c r="L187" s="43" t="inlineStr">
        <is>
          <t>-</t>
        </is>
      </c>
      <c r="M187" s="43" t="inlineStr">
        <is>
          <t>JWT decode trả role=dispatcher → guard pass (limitation)</t>
        </is>
      </c>
      <c r="N187" s="43" t="inlineStr">
        <is>
          <t>-</t>
        </is>
      </c>
      <c r="O187" s="40" t="inlineStr">
        <is>
          <t>High</t>
        </is>
      </c>
      <c r="P187" s="43" t="inlineStr">
        <is>
          <t>Thời gian: 169ms</t>
        </is>
      </c>
      <c r="Q187" s="40" t="inlineStr">
        <is>
          <t>Không đạt</t>
        </is>
      </c>
      <c r="R187" s="40" t="inlineStr">
        <is>
          <t>BUG-015</t>
        </is>
      </c>
      <c r="S187" s="40" t="inlineStr">
        <is>
          <t>23/05/2026 19:06</t>
        </is>
      </c>
      <c r="T187" s="43" t="inlineStr">
        <is>
          <t>R1:Không đạt</t>
        </is>
      </c>
      <c r="U187" s="40" t="inlineStr"/>
      <c r="V187" s="43" t="inlineStr">
        <is>
          <t>Mitigate: JWT short expiry + IP binding (out of scope UAT)</t>
        </is>
      </c>
    </row>
    <row r="188" ht="80" customHeight="1">
      <c r="A188" s="40" t="inlineStr">
        <is>
          <t>TC-185</t>
        </is>
      </c>
      <c r="B188" s="41" t="inlineStr">
        <is>
          <t>GREEN</t>
        </is>
      </c>
      <c r="C188" s="42" t="inlineStr">
        <is>
          <t>P0</t>
        </is>
      </c>
      <c r="D188" s="43" t="inlineStr">
        <is>
          <t>Export</t>
        </is>
      </c>
      <c r="E188" s="43" t="inlineStr">
        <is>
          <t>GET /cases/export/ward trả file Excel với header BCA + 8 cột</t>
        </is>
      </c>
      <c r="F188" s="40" t="inlineStr">
        <is>
          <t>REQ-CASE-EXPORT-185</t>
        </is>
      </c>
      <c r="G188" s="40" t="inlineStr">
        <is>
          <t>Use case testing</t>
        </is>
      </c>
      <c r="H188" s="40" t="inlineStr">
        <is>
          <t>Cao</t>
        </is>
      </c>
      <c r="I188" s="43" t="inlineStr">
        <is>
          <t>DB có 30 case</t>
        </is>
      </c>
      <c r="J188" s="43" t="inlineStr">
        <is>
          <t>GET /api/v1/cases/export/ward</t>
        </is>
      </c>
      <c r="K188" s="43" t="inlineStr">
        <is>
          <t>-</t>
        </is>
      </c>
      <c r="L188" s="43" t="inlineStr">
        <is>
          <t>Browser download file 'VuAnPhuongXa_2026-05-23.xlsx'</t>
        </is>
      </c>
      <c r="M188" s="43" t="inlineStr">
        <is>
          <t>200 Content-Type=spreadsheetml, Content-Disposition=attachment</t>
        </is>
      </c>
      <c r="N188" s="43" t="inlineStr">
        <is>
          <t>1. File Excel valid, sheet 'Danh sách vụ án' header 'DANH SÁCH VỤ ÁN THEO PHƯỜNG/XÃ'
2. Audit CASE_EXPORTED metadata.kind='ward', format='xlsx'</t>
        </is>
      </c>
      <c r="O188" s="40" t="inlineStr">
        <is>
          <t>High</t>
        </is>
      </c>
      <c r="P188" s="43" t="inlineStr">
        <is>
          <t>Thời gian: 207ms</t>
        </is>
      </c>
      <c r="Q188" s="40" t="inlineStr">
        <is>
          <t>Không đạt</t>
        </is>
      </c>
      <c r="R188" s="40" t="inlineStr">
        <is>
          <t>BUG-221</t>
        </is>
      </c>
      <c r="S188" s="40" t="inlineStr">
        <is>
          <t>23/05/2026 19:06</t>
        </is>
      </c>
      <c r="T188" s="43" t="inlineStr">
        <is>
          <t>R1:Không đạt</t>
        </is>
      </c>
      <c r="U188" s="40" t="inlineStr"/>
      <c r="V188" s="43" t="inlineStr"/>
    </row>
    <row r="189" ht="80" customHeight="1">
      <c r="A189" s="40" t="inlineStr">
        <is>
          <t>TC-186</t>
        </is>
      </c>
      <c r="B189" s="41" t="inlineStr">
        <is>
          <t>GREEN</t>
        </is>
      </c>
      <c r="C189" s="42" t="inlineStr">
        <is>
          <t>P0</t>
        </is>
      </c>
      <c r="D189" s="43" t="inlineStr">
        <is>
          <t>Export</t>
        </is>
      </c>
      <c r="E189" s="43" t="inlineStr">
        <is>
          <t>Export ward với fromDate + toDate trong period</t>
        </is>
      </c>
      <c r="F189" s="40" t="inlineStr">
        <is>
          <t>REQ-CASE-EXPORT-186</t>
        </is>
      </c>
      <c r="G189" s="40" t="inlineStr">
        <is>
          <t>Use case testing</t>
        </is>
      </c>
      <c r="H189" s="40" t="inlineStr">
        <is>
          <t>Cao</t>
        </is>
      </c>
      <c r="I189" s="43" t="inlineStr">
        <is>
          <t>1. User đã login
2. Token JWT hợp lệ</t>
        </is>
      </c>
      <c r="J189" s="43" t="inlineStr">
        <is>
          <t>GET /cases/export/ward?fromDate=2026-05-01&amp;toDate=2026-05-23</t>
        </is>
      </c>
      <c r="K189" s="43" t="inlineStr">
        <is>
          <t>-</t>
        </is>
      </c>
      <c r="L189" s="43" t="inlineStr">
        <is>
          <t>Excel header 'Từ ngày 01/05/2026 đến ngày 23/05/2026'</t>
        </is>
      </c>
      <c r="M189" s="43" t="inlineStr">
        <is>
          <t>200</t>
        </is>
      </c>
      <c r="N189" s="43" t="inlineStr">
        <is>
          <t>Excel period row đúng format vi-VN</t>
        </is>
      </c>
      <c r="O189" s="40" t="inlineStr">
        <is>
          <t>Medium</t>
        </is>
      </c>
      <c r="P189" s="43" t="inlineStr">
        <is>
          <t>Thời gian: 200ms</t>
        </is>
      </c>
      <c r="Q189" s="40" t="inlineStr">
        <is>
          <t>Không đạt</t>
        </is>
      </c>
      <c r="R189" s="40" t="inlineStr">
        <is>
          <t>BUG-222</t>
        </is>
      </c>
      <c r="S189" s="40" t="inlineStr">
        <is>
          <t>23/05/2026 19:06</t>
        </is>
      </c>
      <c r="T189" s="43" t="inlineStr">
        <is>
          <t>R1:Không đạt</t>
        </is>
      </c>
      <c r="U189" s="40" t="inlineStr"/>
      <c r="V189" s="43" t="inlineStr"/>
    </row>
    <row r="190" ht="80" customHeight="1">
      <c r="A190" s="40" t="inlineStr">
        <is>
          <t>TC-187</t>
        </is>
      </c>
      <c r="B190" s="41" t="inlineStr">
        <is>
          <t>GREEN</t>
        </is>
      </c>
      <c r="C190" s="42" t="inlineStr">
        <is>
          <t>P0</t>
        </is>
      </c>
      <c r="D190" s="43" t="inlineStr">
        <is>
          <t>Export</t>
        </is>
      </c>
      <c r="E190" s="43" t="inlineStr">
        <is>
          <t>Export 'phân loại khác' với category filter</t>
        </is>
      </c>
      <c r="F190" s="40" t="inlineStr">
        <is>
          <t>REQ-CASE-EXPORT-187</t>
        </is>
      </c>
      <c r="G190" s="40" t="inlineStr">
        <is>
          <t>Use case testing</t>
        </is>
      </c>
      <c r="H190" s="40" t="inlineStr">
        <is>
          <t>Cao</t>
        </is>
      </c>
      <c r="I190" s="43" t="inlineStr">
        <is>
          <t>1. User đã login
2. Token JWT hợp lệ</t>
        </is>
      </c>
      <c r="J190" s="43" t="inlineStr">
        <is>
          <t>GET /cases/export/other-classification?category=lừa đảo</t>
        </is>
      </c>
      <c r="K190" s="43" t="inlineStr">
        <is>
          <t>category='lừa đảo'</t>
        </is>
      </c>
      <c r="L190" s="43" t="inlineStr">
        <is>
          <t>Download file</t>
        </is>
      </c>
      <c r="M190" s="43" t="inlineStr">
        <is>
          <t>200, data filter crime contains 'lừa đảo' (insensitive)</t>
        </is>
      </c>
      <c r="N190" s="43" t="inlineStr">
        <is>
          <t>-</t>
        </is>
      </c>
      <c r="O190" s="40" t="inlineStr">
        <is>
          <t>Medium</t>
        </is>
      </c>
      <c r="P190" s="43" t="inlineStr">
        <is>
          <t>Thời gian: 180ms</t>
        </is>
      </c>
      <c r="Q190" s="40" t="inlineStr">
        <is>
          <t>Không đạt</t>
        </is>
      </c>
      <c r="R190" s="40" t="inlineStr">
        <is>
          <t>BUG-223</t>
        </is>
      </c>
      <c r="S190" s="40" t="inlineStr">
        <is>
          <t>23/05/2026 19:06</t>
        </is>
      </c>
      <c r="T190" s="43" t="inlineStr">
        <is>
          <t>R1:Không đạt</t>
        </is>
      </c>
      <c r="U190" s="40" t="inlineStr"/>
      <c r="V190" s="43" t="inlineStr"/>
    </row>
    <row r="191" ht="80" customHeight="1">
      <c r="A191" s="40" t="inlineStr">
        <is>
          <t>TC-188</t>
        </is>
      </c>
      <c r="B191" s="45" t="inlineStr">
        <is>
          <t>RED</t>
        </is>
      </c>
      <c r="C191" s="42" t="inlineStr">
        <is>
          <t>P0</t>
        </is>
      </c>
      <c r="D191" s="43" t="inlineStr">
        <is>
          <t>Export</t>
        </is>
      </c>
      <c r="E191" s="43" t="inlineStr">
        <is>
          <t>Rate limit: gọi /export/ward 6 lần trong 60s → 429</t>
        </is>
      </c>
      <c r="F191" s="40" t="inlineStr">
        <is>
          <t>REQ-CASE-EXPORT-188</t>
        </is>
      </c>
      <c r="G191" s="40" t="inlineStr">
        <is>
          <t>Use case testing</t>
        </is>
      </c>
      <c r="H191" s="40" t="inlineStr">
        <is>
          <t>Cao</t>
        </is>
      </c>
      <c r="I191" s="43" t="inlineStr">
        <is>
          <t>1. User đã login
2. Token JWT hợp lệ</t>
        </is>
      </c>
      <c r="J191" s="43" t="inlineStr">
        <is>
          <t>Gọi 6 lần liên tiếp trong 60s</t>
        </is>
      </c>
      <c r="K191" s="43" t="inlineStr">
        <is>
          <t>-</t>
        </is>
      </c>
      <c r="L191" s="43" t="inlineStr">
        <is>
          <t>Lần 6: '429 Too Many Requests'</t>
        </is>
      </c>
      <c r="M191" s="43" t="inlineStr">
        <is>
          <t>6th call returns 429 (Throttle 5 req/60s)</t>
        </is>
      </c>
      <c r="N191" s="43" t="inlineStr">
        <is>
          <t>-</t>
        </is>
      </c>
      <c r="O191" s="40" t="inlineStr">
        <is>
          <t>High</t>
        </is>
      </c>
      <c r="P191" s="43" t="inlineStr">
        <is>
          <t>Thời gian: 866ms</t>
        </is>
      </c>
      <c r="Q191" s="40" t="inlineStr">
        <is>
          <t>Không đạt</t>
        </is>
      </c>
      <c r="R191" s="40" t="inlineStr">
        <is>
          <t>BUG-224</t>
        </is>
      </c>
      <c r="S191" s="40" t="inlineStr">
        <is>
          <t>23/05/2026 19:06</t>
        </is>
      </c>
      <c r="T191" s="43" t="inlineStr">
        <is>
          <t>R1:Không đạt</t>
        </is>
      </c>
      <c r="U191" s="40" t="inlineStr"/>
      <c r="V191" s="43" t="inlineStr">
        <is>
          <t>@Throttle({default:{ttl:60000, limit:5}})</t>
        </is>
      </c>
    </row>
    <row r="192" ht="80" customHeight="1">
      <c r="A192" s="40" t="inlineStr">
        <is>
          <t>TC-189</t>
        </is>
      </c>
      <c r="B192" s="45" t="inlineStr">
        <is>
          <t>RED</t>
        </is>
      </c>
      <c r="C192" s="42" t="inlineStr">
        <is>
          <t>P0</t>
        </is>
      </c>
      <c r="D192" s="43" t="inlineStr">
        <is>
          <t>Export</t>
        </is>
      </c>
      <c r="E192" s="43" t="inlineStr">
        <is>
          <t>Export với scope filter — ward officer chỉ thấy case của ward mình</t>
        </is>
      </c>
      <c r="F192" s="40" t="inlineStr">
        <is>
          <t>REQ-CASE-EXPORT-189</t>
        </is>
      </c>
      <c r="G192" s="40" t="inlineStr">
        <is>
          <t>Use case testing</t>
        </is>
      </c>
      <c r="H192" s="40" t="inlineStr">
        <is>
          <t>Cao</t>
        </is>
      </c>
      <c r="I192" s="43" t="inlineStr">
        <is>
          <t>Login wardOfficer-Q1</t>
        </is>
      </c>
      <c r="J192" s="43" t="inlineStr">
        <is>
          <t>GET /cases/export/ward (không param)</t>
        </is>
      </c>
      <c r="K192" s="43" t="inlineStr">
        <is>
          <t>-</t>
        </is>
      </c>
      <c r="L192" s="43" t="inlineStr">
        <is>
          <t>Excel chỉ chứa case của Team-WARD-Q1</t>
        </is>
      </c>
      <c r="M192" s="43" t="inlineStr">
        <is>
          <t>200, records filtered by scope</t>
        </is>
      </c>
      <c r="N192" s="43" t="inlineStr">
        <is>
          <t>-</t>
        </is>
      </c>
      <c r="O192" s="40" t="inlineStr">
        <is>
          <t>Critical</t>
        </is>
      </c>
      <c r="P192" s="43" t="inlineStr">
        <is>
          <t>Đạt như expected. Thời gian: 837ms</t>
        </is>
      </c>
      <c r="Q192" s="40" t="inlineStr">
        <is>
          <t>Đạt</t>
        </is>
      </c>
      <c r="R192" s="40" t="inlineStr"/>
      <c r="S192" s="40" t="inlineStr">
        <is>
          <t>23/05/2026 19:06</t>
        </is>
      </c>
      <c r="T192" s="43" t="inlineStr">
        <is>
          <t>R1:Đạt</t>
        </is>
      </c>
      <c r="U192" s="40" t="inlineStr"/>
      <c r="V192" s="43" t="inlineStr"/>
    </row>
    <row r="193" ht="80" customHeight="1">
      <c r="A193" s="40" t="inlineStr">
        <is>
          <t>TC-190</t>
        </is>
      </c>
      <c r="B193" s="45" t="inlineStr">
        <is>
          <t>RED</t>
        </is>
      </c>
      <c r="C193" s="42" t="inlineStr">
        <is>
          <t>P0</t>
        </is>
      </c>
      <c r="D193" s="43" t="inlineStr">
        <is>
          <t>Export</t>
        </is>
      </c>
      <c r="E193" s="43" t="inlineStr">
        <is>
          <t>Dispatcher xem tất cả case khi export</t>
        </is>
      </c>
      <c r="F193" s="40" t="inlineStr">
        <is>
          <t>REQ-CASE-EXPORT-190</t>
        </is>
      </c>
      <c r="G193" s="40" t="inlineStr">
        <is>
          <t>Use case testing</t>
        </is>
      </c>
      <c r="H193" s="40" t="inlineStr">
        <is>
          <t>Cao</t>
        </is>
      </c>
      <c r="I193" s="43" t="inlineStr">
        <is>
          <t>1. User đã login
2. Token JWT hợp lệ</t>
        </is>
      </c>
      <c r="J193" s="43" t="inlineStr">
        <is>
          <t>Login dispatcher@, GET export</t>
        </is>
      </c>
      <c r="K193" s="43" t="inlineStr">
        <is>
          <t>-</t>
        </is>
      </c>
      <c r="L193" s="43" t="inlineStr">
        <is>
          <t>Excel có cả case của Team khác</t>
        </is>
      </c>
      <c r="M193" s="43" t="inlineStr">
        <is>
          <t>200 not filtered</t>
        </is>
      </c>
      <c r="N193" s="43" t="inlineStr">
        <is>
          <t>-</t>
        </is>
      </c>
      <c r="O193" s="40" t="inlineStr">
        <is>
          <t>High</t>
        </is>
      </c>
      <c r="P193" s="43" t="inlineStr">
        <is>
          <t>Thời gian: 841ms</t>
        </is>
      </c>
      <c r="Q193" s="40" t="inlineStr">
        <is>
          <t>Không đạt</t>
        </is>
      </c>
      <c r="R193" s="40" t="inlineStr">
        <is>
          <t>BUG-225</t>
        </is>
      </c>
      <c r="S193" s="40" t="inlineStr">
        <is>
          <t>23/05/2026 19:06</t>
        </is>
      </c>
      <c r="T193" s="43" t="inlineStr">
        <is>
          <t>R1:Không đạt</t>
        </is>
      </c>
      <c r="U193" s="40" t="inlineStr"/>
      <c r="V193" s="43" t="inlineStr"/>
    </row>
    <row r="194" ht="80" customHeight="1">
      <c r="A194" s="40" t="inlineStr">
        <is>
          <t>TC-191</t>
        </is>
      </c>
      <c r="B194" s="41" t="inlineStr">
        <is>
          <t>GREEN</t>
        </is>
      </c>
      <c r="C194" s="44" t="inlineStr">
        <is>
          <t>P1</t>
        </is>
      </c>
      <c r="D194" s="43" t="inlineStr">
        <is>
          <t>Export</t>
        </is>
      </c>
      <c r="E194" s="43" t="inlineStr">
        <is>
          <t>Export với take=500 limit cứng (không trả &gt;500 row)</t>
        </is>
      </c>
      <c r="F194" s="40" t="inlineStr">
        <is>
          <t>REQ-CASE-EXPORT-191</t>
        </is>
      </c>
      <c r="G194" s="40" t="inlineStr">
        <is>
          <t>Use case testing</t>
        </is>
      </c>
      <c r="H194" s="40" t="inlineStr">
        <is>
          <t>TB</t>
        </is>
      </c>
      <c r="I194" s="43" t="inlineStr">
        <is>
          <t>DB có 1000 case</t>
        </is>
      </c>
      <c r="J194" s="43" t="inlineStr">
        <is>
          <t>GET export</t>
        </is>
      </c>
      <c r="K194" s="43" t="inlineStr">
        <is>
          <t>-</t>
        </is>
      </c>
      <c r="L194" s="43" t="inlineStr">
        <is>
          <t>Excel max 500 row</t>
        </is>
      </c>
      <c r="M194" s="43" t="inlineStr">
        <is>
          <t>findMany take:500</t>
        </is>
      </c>
      <c r="N194" s="43" t="inlineStr">
        <is>
          <t>-</t>
        </is>
      </c>
      <c r="O194" s="40" t="inlineStr">
        <is>
          <t>Medium</t>
        </is>
      </c>
      <c r="P194" s="43" t="inlineStr">
        <is>
          <t>Thời gian: 861ms</t>
        </is>
      </c>
      <c r="Q194" s="40" t="inlineStr">
        <is>
          <t>Không đạt</t>
        </is>
      </c>
      <c r="R194" s="40" t="inlineStr">
        <is>
          <t>BUG-226</t>
        </is>
      </c>
      <c r="S194" s="40" t="inlineStr">
        <is>
          <t>23/05/2026 19:06</t>
        </is>
      </c>
      <c r="T194" s="43" t="inlineStr">
        <is>
          <t>R1:Không đạt</t>
        </is>
      </c>
      <c r="U194" s="40" t="inlineStr"/>
      <c r="V194" s="43" t="inlineStr">
        <is>
          <t>Limit cứng để tránh memory blow up</t>
        </is>
      </c>
    </row>
    <row r="195" ht="80" customHeight="1">
      <c r="A195" s="40" t="inlineStr">
        <is>
          <t>TC-192</t>
        </is>
      </c>
      <c r="B195" s="45" t="inlineStr">
        <is>
          <t>RED</t>
        </is>
      </c>
      <c r="C195" s="42" t="inlineStr">
        <is>
          <t>P0</t>
        </is>
      </c>
      <c r="D195" s="43" t="inlineStr">
        <is>
          <t>Export</t>
        </is>
      </c>
      <c r="E195" s="43" t="inlineStr">
        <is>
          <t>Permission: user role VIEWER không có 'read Case' → 403</t>
        </is>
      </c>
      <c r="F195" s="40" t="inlineStr">
        <is>
          <t>REQ-CASE-EXPORT-192</t>
        </is>
      </c>
      <c r="G195" s="40" t="inlineStr">
        <is>
          <t>Use case testing</t>
        </is>
      </c>
      <c r="H195" s="40" t="inlineStr">
        <is>
          <t>Cao</t>
        </is>
      </c>
      <c r="I195" s="43" t="inlineStr">
        <is>
          <t>Login viewer (no read permission)</t>
        </is>
      </c>
      <c r="J195" s="43" t="inlineStr">
        <is>
          <t>GET export</t>
        </is>
      </c>
      <c r="K195" s="43" t="inlineStr">
        <is>
          <t>-</t>
        </is>
      </c>
      <c r="L195" s="43" t="inlineStr">
        <is>
          <t>-</t>
        </is>
      </c>
      <c r="M195" s="43" t="inlineStr">
        <is>
          <t>403 PermissionsGuard</t>
        </is>
      </c>
      <c r="N195" s="43" t="inlineStr">
        <is>
          <t>-</t>
        </is>
      </c>
      <c r="O195" s="40" t="inlineStr">
        <is>
          <t>High</t>
        </is>
      </c>
      <c r="P195" s="43" t="inlineStr">
        <is>
          <t>Đạt như expected. Thời gian: 184ms</t>
        </is>
      </c>
      <c r="Q195" s="40" t="inlineStr">
        <is>
          <t>Đạt</t>
        </is>
      </c>
      <c r="R195" s="40" t="inlineStr"/>
      <c r="S195" s="40" t="inlineStr">
        <is>
          <t>23/05/2026 19:06</t>
        </is>
      </c>
      <c r="T195" s="43" t="inlineStr">
        <is>
          <t>R1:Đạt</t>
        </is>
      </c>
      <c r="U195" s="40" t="inlineStr"/>
      <c r="V195" s="43" t="inlineStr"/>
    </row>
    <row r="196" ht="80" customHeight="1">
      <c r="A196" s="40" t="inlineStr">
        <is>
          <t>TC-193</t>
        </is>
      </c>
      <c r="B196" s="45" t="inlineStr">
        <is>
          <t>RED</t>
        </is>
      </c>
      <c r="C196" s="42" t="inlineStr">
        <is>
          <t>P0</t>
        </is>
      </c>
      <c r="D196" s="43" t="inlineStr">
        <is>
          <t>Export</t>
        </is>
      </c>
      <c r="E196" s="43" t="inlineStr">
        <is>
          <t>JWT thiếu → 401</t>
        </is>
      </c>
      <c r="F196" s="40" t="inlineStr">
        <is>
          <t>REQ-CASE-EXPORT-193</t>
        </is>
      </c>
      <c r="G196" s="40" t="inlineStr">
        <is>
          <t>Use case testing</t>
        </is>
      </c>
      <c r="H196" s="40" t="inlineStr">
        <is>
          <t>Cao</t>
        </is>
      </c>
      <c r="I196" s="43" t="inlineStr">
        <is>
          <t>1. User đã login
2. Token JWT hợp lệ</t>
        </is>
      </c>
      <c r="J196" s="43" t="inlineStr">
        <is>
          <t>GET export không Authorization</t>
        </is>
      </c>
      <c r="K196" s="43" t="inlineStr">
        <is>
          <t>-</t>
        </is>
      </c>
      <c r="L196" s="43" t="inlineStr">
        <is>
          <t>-</t>
        </is>
      </c>
      <c r="M196" s="43" t="inlineStr">
        <is>
          <t>401</t>
        </is>
      </c>
      <c r="N196" s="43" t="inlineStr">
        <is>
          <t>-</t>
        </is>
      </c>
      <c r="O196" s="40" t="inlineStr">
        <is>
          <t>Critical</t>
        </is>
      </c>
      <c r="P196" s="43" t="inlineStr">
        <is>
          <t>Thời gian: 91ms</t>
        </is>
      </c>
      <c r="Q196" s="40" t="inlineStr">
        <is>
          <t>Không đạt</t>
        </is>
      </c>
      <c r="R196" s="40" t="inlineStr">
        <is>
          <t>BUG-227</t>
        </is>
      </c>
      <c r="S196" s="40" t="inlineStr">
        <is>
          <t>23/05/2026 19:06</t>
        </is>
      </c>
      <c r="T196" s="43" t="inlineStr">
        <is>
          <t>R1:Không đạt</t>
        </is>
      </c>
      <c r="U196" s="40" t="inlineStr"/>
      <c r="V196" s="43" t="inlineStr"/>
    </row>
    <row r="197" ht="80" customHeight="1">
      <c r="A197" s="40" t="inlineStr">
        <is>
          <t>TC-194</t>
        </is>
      </c>
      <c r="B197" s="41" t="inlineStr">
        <is>
          <t>GREEN</t>
        </is>
      </c>
      <c r="C197" s="44" t="inlineStr">
        <is>
          <t>P1</t>
        </is>
      </c>
      <c r="D197" s="43" t="inlineStr">
        <is>
          <t>Export</t>
        </is>
      </c>
      <c r="E197" s="43" t="inlineStr">
        <is>
          <t>Export ward không có data → vẫn trả Excel với header + empty body + footer</t>
        </is>
      </c>
      <c r="F197" s="40" t="inlineStr">
        <is>
          <t>REQ-CASE-EXPORT-194</t>
        </is>
      </c>
      <c r="G197" s="40" t="inlineStr">
        <is>
          <t>Use case testing</t>
        </is>
      </c>
      <c r="H197" s="40" t="inlineStr">
        <is>
          <t>TB</t>
        </is>
      </c>
      <c r="I197" s="43" t="inlineStr">
        <is>
          <t>1. User đã login
2. Token JWT hợp lệ</t>
        </is>
      </c>
      <c r="J197" s="43" t="inlineStr">
        <is>
          <t>GET export filter range không match record nào</t>
        </is>
      </c>
      <c r="K197" s="43" t="inlineStr">
        <is>
          <t>fromDate=2030-01-01&amp;toDate=2030-01-02</t>
        </is>
      </c>
      <c r="L197" s="43" t="inlineStr">
        <is>
          <t>Empty Excel</t>
        </is>
      </c>
      <c r="M197" s="43" t="inlineStr">
        <is>
          <t>200 file valid</t>
        </is>
      </c>
      <c r="N197" s="43" t="inlineStr">
        <is>
          <t>-</t>
        </is>
      </c>
      <c r="O197" s="40" t="inlineStr">
        <is>
          <t>Medium</t>
        </is>
      </c>
      <c r="P197" s="43" t="inlineStr">
        <is>
          <t>Thời gian: 160ms</t>
        </is>
      </c>
      <c r="Q197" s="40" t="inlineStr">
        <is>
          <t>Không đạt</t>
        </is>
      </c>
      <c r="R197" s="40" t="inlineStr">
        <is>
          <t>BUG-228</t>
        </is>
      </c>
      <c r="S197" s="40" t="inlineStr">
        <is>
          <t>23/05/2026 19:06</t>
        </is>
      </c>
      <c r="T197" s="43" t="inlineStr">
        <is>
          <t>R1:Không đạt</t>
        </is>
      </c>
      <c r="U197" s="40" t="inlineStr"/>
      <c r="V197" s="43" t="inlineStr"/>
    </row>
    <row r="198" ht="80" customHeight="1">
      <c r="A198" s="40" t="inlineStr">
        <is>
          <t>TC-195</t>
        </is>
      </c>
      <c r="B198" s="45" t="inlineStr">
        <is>
          <t>RED</t>
        </is>
      </c>
      <c r="C198" s="44" t="inlineStr">
        <is>
          <t>P1</t>
        </is>
      </c>
      <c r="D198" s="43" t="inlineStr">
        <is>
          <t>Export</t>
        </is>
      </c>
      <c r="E198" s="43" t="inlineStr">
        <is>
          <t>Server crash giữa export (write fail) → response 500 JSON nếu chưa send header</t>
        </is>
      </c>
      <c r="F198" s="40" t="inlineStr">
        <is>
          <t>REQ-CASE-EXPORT-195</t>
        </is>
      </c>
      <c r="G198" s="40" t="inlineStr">
        <is>
          <t>Use case testing</t>
        </is>
      </c>
      <c r="H198" s="40" t="inlineStr">
        <is>
          <t>TB</t>
        </is>
      </c>
      <c r="I198" s="43" t="inlineStr">
        <is>
          <t>1. User đã login
2. Token JWT hợp lệ</t>
        </is>
      </c>
      <c r="J198" s="43" t="inlineStr">
        <is>
          <t>Mock workbook.xlsx.write throw</t>
        </is>
      </c>
      <c r="K198" s="43" t="inlineStr">
        <is>
          <t>-</t>
        </is>
      </c>
      <c r="L198" s="43" t="inlineStr">
        <is>
          <t>Toast 'Export failed'</t>
        </is>
      </c>
      <c r="M198" s="43" t="inlineStr">
        <is>
          <t>500 {error:'Export failed'}</t>
        </is>
      </c>
      <c r="N198" s="43" t="inlineStr">
        <is>
          <t>-</t>
        </is>
      </c>
      <c r="O198" s="40" t="inlineStr">
        <is>
          <t>High</t>
        </is>
      </c>
      <c r="P198" s="43" t="inlineStr">
        <is>
          <t>Thời gian: 138ms</t>
        </is>
      </c>
      <c r="Q198" s="40" t="inlineStr">
        <is>
          <t>Không đạt</t>
        </is>
      </c>
      <c r="R198" s="40" t="inlineStr">
        <is>
          <t>BUG-229</t>
        </is>
      </c>
      <c r="S198" s="40" t="inlineStr">
        <is>
          <t>23/05/2026 19:06</t>
        </is>
      </c>
      <c r="T198" s="43" t="inlineStr">
        <is>
          <t>R1:Không đạt</t>
        </is>
      </c>
      <c r="U198" s="40" t="inlineStr"/>
      <c r="V198" s="43" t="inlineStr">
        <is>
          <t>Best-effort fallback</t>
        </is>
      </c>
    </row>
    <row r="199" ht="80" customHeight="1">
      <c r="A199" s="40" t="inlineStr">
        <is>
          <t>TC-196</t>
        </is>
      </c>
      <c r="B199" s="41" t="inlineStr">
        <is>
          <t>GREEN</t>
        </is>
      </c>
      <c r="C199" s="44" t="inlineStr">
        <is>
          <t>P1</t>
        </is>
      </c>
      <c r="D199" s="43" t="inlineStr">
        <is>
          <t>Export</t>
        </is>
      </c>
      <c r="E199" s="43" t="inlineStr">
        <is>
          <t>Audit CASE_EXPORTED capture filters đầy đủ</t>
        </is>
      </c>
      <c r="F199" s="40" t="inlineStr">
        <is>
          <t>REQ-CASE-EXPORT-196</t>
        </is>
      </c>
      <c r="G199" s="40" t="inlineStr">
        <is>
          <t>Use case testing</t>
        </is>
      </c>
      <c r="H199" s="40" t="inlineStr">
        <is>
          <t>TB</t>
        </is>
      </c>
      <c r="I199" s="43" t="inlineStr">
        <is>
          <t>1. User đã login
2. Token JWT hợp lệ</t>
        </is>
      </c>
      <c r="J199" s="43" t="inlineStr">
        <is>
          <t>GET /cases/export/ward?unitId=Q1&amp;fromDate=...</t>
        </is>
      </c>
      <c r="K199" s="43" t="inlineStr">
        <is>
          <t>-</t>
        </is>
      </c>
      <c r="L199" s="43" t="inlineStr">
        <is>
          <t>-</t>
        </is>
      </c>
      <c r="M199" s="43" t="inlineStr">
        <is>
          <t>-</t>
        </is>
      </c>
      <c r="N199" s="43" t="inlineStr">
        <is>
          <t>Audit log metadata={format:'xlsx', kind:'ward', filters:{unitId:'Q1', fromDate, toDate}}</t>
        </is>
      </c>
      <c r="O199" s="40" t="inlineStr">
        <is>
          <t>High</t>
        </is>
      </c>
      <c r="P199" s="43" t="inlineStr">
        <is>
          <t>Thời gian: 150ms</t>
        </is>
      </c>
      <c r="Q199" s="40" t="inlineStr">
        <is>
          <t>Không đạt</t>
        </is>
      </c>
      <c r="R199" s="40" t="inlineStr">
        <is>
          <t>BUG-230</t>
        </is>
      </c>
      <c r="S199" s="40" t="inlineStr">
        <is>
          <t>23/05/2026 19:06</t>
        </is>
      </c>
      <c r="T199" s="43" t="inlineStr">
        <is>
          <t>R1:Không đạt</t>
        </is>
      </c>
      <c r="U199" s="40" t="inlineStr"/>
      <c r="V199" s="43" t="inlineStr">
        <is>
          <t>Sprint 2 S2.1 audit PII bulk leak</t>
        </is>
      </c>
    </row>
    <row r="200" ht="80" customHeight="1">
      <c r="A200" s="40" t="inlineStr">
        <is>
          <t>TC-197</t>
        </is>
      </c>
      <c r="B200" s="41" t="inlineStr">
        <is>
          <t>GREEN</t>
        </is>
      </c>
      <c r="C200" s="42" t="inlineStr">
        <is>
          <t>P0</t>
        </is>
      </c>
      <c r="D200" s="43" t="inlineStr">
        <is>
          <t>History</t>
        </is>
      </c>
      <c r="E200" s="43" t="inlineStr">
        <is>
          <t>GET /cases/:id/status-history trả list sorted asc changedAt</t>
        </is>
      </c>
      <c r="F200" s="40" t="inlineStr">
        <is>
          <t>REQ-CASE-HISTORY-197</t>
        </is>
      </c>
      <c r="G200" s="40" t="inlineStr">
        <is>
          <t>Use case testing</t>
        </is>
      </c>
      <c r="H200" s="40" t="inlineStr">
        <is>
          <t>Cao</t>
        </is>
      </c>
      <c r="I200" s="43" t="inlineStr">
        <is>
          <t>CASE-001 có 3 entries: TIEP_NHAN→DANG_XAC_MINH→DANG_DIEU_TRA</t>
        </is>
      </c>
      <c r="J200" s="43" t="inlineStr">
        <is>
          <t>GET /cases/CASE-001/status-history</t>
        </is>
      </c>
      <c r="K200" s="43" t="inlineStr">
        <is>
          <t>-</t>
        </is>
      </c>
      <c r="L200" s="43" t="inlineStr">
        <is>
          <t>Tab 'Lịch sử' show 3 entries chronological</t>
        </is>
      </c>
      <c r="M200" s="43" t="inlineStr">
        <is>
          <t>200, data=[{fromStatus, toStatus, changedAt, changedBy:{firstName,lastName,username}}, ...]</t>
        </is>
      </c>
      <c r="N200" s="43" t="inlineStr">
        <is>
          <t>-</t>
        </is>
      </c>
      <c r="O200" s="40" t="inlineStr">
        <is>
          <t>High</t>
        </is>
      </c>
      <c r="P200" s="43" t="inlineStr">
        <is>
          <t>Đạt như expected. Thời gian: 116ms</t>
        </is>
      </c>
      <c r="Q200" s="40" t="inlineStr">
        <is>
          <t>Đạt</t>
        </is>
      </c>
      <c r="R200" s="40" t="inlineStr"/>
      <c r="S200" s="40" t="inlineStr">
        <is>
          <t>23/05/2026 19:06</t>
        </is>
      </c>
      <c r="T200" s="43" t="inlineStr">
        <is>
          <t>R1:Đạt</t>
        </is>
      </c>
      <c r="U200" s="40" t="inlineStr"/>
      <c r="V200" s="43" t="inlineStr"/>
    </row>
    <row r="201" ht="80" customHeight="1">
      <c r="A201" s="40" t="inlineStr">
        <is>
          <t>TC-198</t>
        </is>
      </c>
      <c r="B201" s="41" t="inlineStr">
        <is>
          <t>GREEN</t>
        </is>
      </c>
      <c r="C201" s="44" t="inlineStr">
        <is>
          <t>P1</t>
        </is>
      </c>
      <c r="D201" s="43" t="inlineStr">
        <is>
          <t>History</t>
        </is>
      </c>
      <c r="E201" s="43" t="inlineStr">
        <is>
          <t>Case không có status change → empty array</t>
        </is>
      </c>
      <c r="F201" s="40" t="inlineStr">
        <is>
          <t>REQ-CASE-HISTORY-198</t>
        </is>
      </c>
      <c r="G201" s="40" t="inlineStr">
        <is>
          <t>Use case testing</t>
        </is>
      </c>
      <c r="H201" s="40" t="inlineStr">
        <is>
          <t>TB</t>
        </is>
      </c>
      <c r="I201" s="43" t="inlineStr">
        <is>
          <t>CASE-NEW chưa update status</t>
        </is>
      </c>
      <c r="J201" s="43" t="inlineStr">
        <is>
          <t>GET /cases/CASE-NEW/status-history</t>
        </is>
      </c>
      <c r="K201" s="43" t="inlineStr">
        <is>
          <t>-</t>
        </is>
      </c>
      <c r="L201" s="43" t="inlineStr">
        <is>
          <t>Tab show 'Chưa có lịch sử'</t>
        </is>
      </c>
      <c r="M201" s="43" t="inlineStr">
        <is>
          <t>200 data=[]</t>
        </is>
      </c>
      <c r="N201" s="43" t="inlineStr">
        <is>
          <t>-</t>
        </is>
      </c>
      <c r="O201" s="40" t="inlineStr">
        <is>
          <t>Medium</t>
        </is>
      </c>
      <c r="P201" s="43" t="inlineStr">
        <is>
          <t>Đạt như expected. Thời gian: 157ms</t>
        </is>
      </c>
      <c r="Q201" s="40" t="inlineStr">
        <is>
          <t>Đạt</t>
        </is>
      </c>
      <c r="R201" s="40" t="inlineStr"/>
      <c r="S201" s="40" t="inlineStr">
        <is>
          <t>23/05/2026 19:06</t>
        </is>
      </c>
      <c r="T201" s="43" t="inlineStr">
        <is>
          <t>R1:Đạt</t>
        </is>
      </c>
      <c r="U201" s="40" t="inlineStr"/>
      <c r="V201" s="43" t="inlineStr"/>
    </row>
    <row r="202" ht="80" customHeight="1">
      <c r="A202" s="40" t="inlineStr">
        <is>
          <t>TC-199</t>
        </is>
      </c>
      <c r="B202" s="45" t="inlineStr">
        <is>
          <t>RED</t>
        </is>
      </c>
      <c r="C202" s="42" t="inlineStr">
        <is>
          <t>P0</t>
        </is>
      </c>
      <c r="D202" s="43" t="inlineStr">
        <is>
          <t>History</t>
        </is>
      </c>
      <c r="E202" s="43" t="inlineStr">
        <is>
          <t>GET history của Case không tồn tại → 200 với data=[] (no 404 hiện tại)</t>
        </is>
      </c>
      <c r="F202" s="40" t="inlineStr">
        <is>
          <t>REQ-CASE-HISTORY-199</t>
        </is>
      </c>
      <c r="G202" s="40" t="inlineStr">
        <is>
          <t>Use case testing</t>
        </is>
      </c>
      <c r="H202" s="40" t="inlineStr">
        <is>
          <t>Cao</t>
        </is>
      </c>
      <c r="I202" s="43" t="inlineStr">
        <is>
          <t>1. User đã login
2. Token JWT hợp lệ</t>
        </is>
      </c>
      <c r="J202" s="43" t="inlineStr">
        <is>
          <t>GET /cases/NOT_EXIST/status-history</t>
        </is>
      </c>
      <c r="K202" s="43" t="inlineStr">
        <is>
          <t>-</t>
        </is>
      </c>
      <c r="L202" s="43" t="inlineStr">
        <is>
          <t>-</t>
        </is>
      </c>
      <c r="M202" s="43" t="inlineStr">
        <is>
          <t>200 data=[]</t>
        </is>
      </c>
      <c r="N202" s="43" t="inlineStr">
        <is>
          <t>-</t>
        </is>
      </c>
      <c r="O202" s="40" t="inlineStr">
        <is>
          <t>Medium</t>
        </is>
      </c>
      <c r="P202" s="43" t="inlineStr">
        <is>
          <t>Đạt như expected. Thời gian: 225ms</t>
        </is>
      </c>
      <c r="Q202" s="40" t="inlineStr">
        <is>
          <t>Đạt</t>
        </is>
      </c>
      <c r="R202" s="40" t="inlineStr"/>
      <c r="S202" s="40" t="inlineStr">
        <is>
          <t>23/05/2026 19:06</t>
        </is>
      </c>
      <c r="T202" s="43" t="inlineStr">
        <is>
          <t>R1:Đạt</t>
        </is>
      </c>
      <c r="U202" s="40" t="inlineStr"/>
      <c r="V202" s="43" t="inlineStr">
        <is>
          <t>Gap: nên 404 — hiện không check Case tồn tại</t>
        </is>
      </c>
    </row>
    <row r="203" ht="80" customHeight="1">
      <c r="A203" s="40" t="inlineStr">
        <is>
          <t>TC-200</t>
        </is>
      </c>
      <c r="B203" s="41" t="inlineStr">
        <is>
          <t>GREEN</t>
        </is>
      </c>
      <c r="C203" s="44" t="inlineStr">
        <is>
          <t>P1</t>
        </is>
      </c>
      <c r="D203" s="43" t="inlineStr">
        <is>
          <t>History</t>
        </is>
      </c>
      <c r="E203" s="43" t="inlineStr">
        <is>
          <t>changedBy=null khi changedById=null (audit cũ chưa có user)</t>
        </is>
      </c>
      <c r="F203" s="40" t="inlineStr">
        <is>
          <t>REQ-CASE-HISTORY-200</t>
        </is>
      </c>
      <c r="G203" s="40" t="inlineStr">
        <is>
          <t>Use case testing</t>
        </is>
      </c>
      <c r="H203" s="40" t="inlineStr">
        <is>
          <t>TB</t>
        </is>
      </c>
      <c r="I203" s="43" t="inlineStr">
        <is>
          <t>Entry legacy changedById=null</t>
        </is>
      </c>
      <c r="J203" s="43" t="inlineStr">
        <is>
          <t>GET history</t>
        </is>
      </c>
      <c r="K203" s="43" t="inlineStr">
        <is>
          <t>-</t>
        </is>
      </c>
      <c r="L203" s="43" t="inlineStr">
        <is>
          <t>Row hiện 'Hệ thống'</t>
        </is>
      </c>
      <c r="M203" s="43" t="inlineStr">
        <is>
          <t>entry.changedBy=null</t>
        </is>
      </c>
      <c r="N203" s="43" t="inlineStr">
        <is>
          <t>-</t>
        </is>
      </c>
      <c r="O203" s="40" t="inlineStr">
        <is>
          <t>Low</t>
        </is>
      </c>
      <c r="P203" s="43" t="inlineStr">
        <is>
          <t>Đạt như expected. Thời gian: 236ms</t>
        </is>
      </c>
      <c r="Q203" s="40" t="inlineStr">
        <is>
          <t>Đạt</t>
        </is>
      </c>
      <c r="R203" s="40" t="inlineStr"/>
      <c r="S203" s="40" t="inlineStr">
        <is>
          <t>23/05/2026 19:06</t>
        </is>
      </c>
      <c r="T203" s="43" t="inlineStr">
        <is>
          <t>R1:Đạt</t>
        </is>
      </c>
      <c r="U203" s="40" t="inlineStr"/>
      <c r="V203" s="43" t="inlineStr"/>
    </row>
    <row r="204" ht="80" customHeight="1">
      <c r="A204" s="40" t="inlineStr">
        <is>
          <t>TC-201</t>
        </is>
      </c>
      <c r="B204" s="45" t="inlineStr">
        <is>
          <t>RED</t>
        </is>
      </c>
      <c r="C204" s="42" t="inlineStr">
        <is>
          <t>P0</t>
        </is>
      </c>
      <c r="D204" s="43" t="inlineStr">
        <is>
          <t>History</t>
        </is>
      </c>
      <c r="E204" s="43" t="inlineStr">
        <is>
          <t>User ngoài scope GET history → ?</t>
        </is>
      </c>
      <c r="F204" s="40" t="inlineStr">
        <is>
          <t>REQ-CASE-HISTORY-201</t>
        </is>
      </c>
      <c r="G204" s="40" t="inlineStr">
        <is>
          <t>Use case testing</t>
        </is>
      </c>
      <c r="H204" s="40" t="inlineStr">
        <is>
          <t>Cao</t>
        </is>
      </c>
      <c r="I204" s="43" t="inlineStr">
        <is>
          <t>Login wardOfficer-Q1, CASE-Q3</t>
        </is>
      </c>
      <c r="J204" s="43" t="inlineStr">
        <is>
          <t>GET /cases/CASE-Q3/status-history</t>
        </is>
      </c>
      <c r="K204" s="43" t="inlineStr">
        <is>
          <t>-</t>
        </is>
      </c>
      <c r="L204" s="43" t="inlineStr">
        <is>
          <t>-</t>
        </is>
      </c>
      <c r="M204" s="43" t="inlineStr">
        <is>
          <t>Hiện không enforce scope ở getStatusHistory — gap</t>
        </is>
      </c>
      <c r="N204" s="43" t="inlineStr">
        <is>
          <t>-</t>
        </is>
      </c>
      <c r="O204" s="40" t="inlineStr">
        <is>
          <t>High</t>
        </is>
      </c>
      <c r="P204" s="43" t="inlineStr">
        <is>
          <t>Đạt như expected. Thời gian: 115ms</t>
        </is>
      </c>
      <c r="Q204" s="40" t="inlineStr">
        <is>
          <t>Đạt</t>
        </is>
      </c>
      <c r="R204" s="40" t="inlineStr"/>
      <c r="S204" s="40" t="inlineStr">
        <is>
          <t>23/05/2026 19:06</t>
        </is>
      </c>
      <c r="T204" s="43" t="inlineStr">
        <is>
          <t>R1:Đạt</t>
        </is>
      </c>
      <c r="U204" s="40" t="inlineStr"/>
      <c r="V204" s="43" t="inlineStr">
        <is>
          <t>Cần thêm checkRecordInScope</t>
        </is>
      </c>
    </row>
    <row r="205" ht="80" customHeight="1">
      <c r="A205" s="40" t="inlineStr">
        <is>
          <t>TC-202</t>
        </is>
      </c>
      <c r="B205" s="41" t="inlineStr">
        <is>
          <t>GREEN</t>
        </is>
      </c>
      <c r="C205" s="44" t="inlineStr">
        <is>
          <t>P1</t>
        </is>
      </c>
      <c r="D205" s="43" t="inlineStr">
        <is>
          <t>History</t>
        </is>
      </c>
      <c r="E205" s="43" t="inlineStr">
        <is>
          <t>History entry có changedAt là datetime đầy đủ (ISO)</t>
        </is>
      </c>
      <c r="F205" s="40" t="inlineStr">
        <is>
          <t>REQ-CASE-HISTORY-202</t>
        </is>
      </c>
      <c r="G205" s="40" t="inlineStr">
        <is>
          <t>Use case testing</t>
        </is>
      </c>
      <c r="H205" s="40" t="inlineStr">
        <is>
          <t>TB</t>
        </is>
      </c>
      <c r="I205" s="43" t="inlineStr">
        <is>
          <t>1. User đã login
2. Token JWT hợp lệ</t>
        </is>
      </c>
      <c r="J205" s="43" t="inlineStr">
        <is>
          <t>GET history</t>
        </is>
      </c>
      <c r="K205" s="43" t="inlineStr">
        <is>
          <t>-</t>
        </is>
      </c>
      <c r="L205" s="43" t="inlineStr">
        <is>
          <t>UI format DD/MM/YYYY HH:MM</t>
        </is>
      </c>
      <c r="M205" s="43" t="inlineStr">
        <is>
          <t>data[].changedAt='2026-05-22T10:30:00.000Z'</t>
        </is>
      </c>
      <c r="N205" s="43" t="inlineStr">
        <is>
          <t>-</t>
        </is>
      </c>
      <c r="O205" s="40" t="inlineStr">
        <is>
          <t>Low</t>
        </is>
      </c>
      <c r="P205" s="43" t="inlineStr">
        <is>
          <t>Đạt như expected. Thời gian: 169ms</t>
        </is>
      </c>
      <c r="Q205" s="40" t="inlineStr">
        <is>
          <t>Đạt</t>
        </is>
      </c>
      <c r="R205" s="40" t="inlineStr"/>
      <c r="S205" s="40" t="inlineStr">
        <is>
          <t>23/05/2026 19:06</t>
        </is>
      </c>
      <c r="T205" s="43" t="inlineStr">
        <is>
          <t>R1:Đạt</t>
        </is>
      </c>
      <c r="U205" s="40" t="inlineStr"/>
      <c r="V205" s="43" t="inlineStr"/>
    </row>
    <row r="206" ht="80" customHeight="1">
      <c r="A206" s="40" t="inlineStr">
        <is>
          <t>TC-203</t>
        </is>
      </c>
      <c r="B206" s="41" t="inlineStr">
        <is>
          <t>GREEN</t>
        </is>
      </c>
      <c r="C206" s="42" t="inlineStr">
        <is>
          <t>P0</t>
        </is>
      </c>
      <c r="D206" s="43" t="inlineStr">
        <is>
          <t>TdcBackfill</t>
        </is>
      </c>
      <c r="E206" s="43" t="inlineStr">
        <is>
          <t>PATCH /cases/:id/tdc-backfill update lyDoTamDinhChiVuAn</t>
        </is>
      </c>
      <c r="F206" s="40" t="inlineStr">
        <is>
          <t>REQ-CASE-TDCBACKFILL-203</t>
        </is>
      </c>
      <c r="G206" s="40" t="inlineStr">
        <is>
          <t>Use case testing</t>
        </is>
      </c>
      <c r="H206" s="40" t="inlineStr">
        <is>
          <t>Cao</t>
        </is>
      </c>
      <c r="I206" s="43" t="inlineStr">
        <is>
          <t>CASE-OLD lyDoTamDinhChiVuAn=NULL (legacy)</t>
        </is>
      </c>
      <c r="J206" s="43" t="inlineStr">
        <is>
          <t>PATCH /cases/CASE-OLD/tdc-backfill {lyDoTamDinhChiVuAn:'CHUA_XAC_DINH_BI_CAN'}</t>
        </is>
      </c>
      <c r="K206" s="43" t="inlineStr">
        <is>
          <t>lyDoTamDinhChiVuAn='CHUA_XAC_DINH_BI_CAN'</t>
        </is>
      </c>
      <c r="L206" s="43" t="inlineStr">
        <is>
          <t>Toast success, banner backfill ẩn</t>
        </is>
      </c>
      <c r="M206" s="43" t="inlineStr">
        <is>
          <t>200</t>
        </is>
      </c>
      <c r="N206" s="43" t="inlineStr">
        <is>
          <t>cases.lyDoTamDinhChiVuAn updated</t>
        </is>
      </c>
      <c r="O206" s="40" t="inlineStr">
        <is>
          <t>High</t>
        </is>
      </c>
      <c r="P206" s="43" t="inlineStr">
        <is>
          <t>Thời gian: 196ms</t>
        </is>
      </c>
      <c r="Q206" s="40" t="inlineStr">
        <is>
          <t>Không đạt</t>
        </is>
      </c>
      <c r="R206" s="40" t="inlineStr">
        <is>
          <t>BUG-477</t>
        </is>
      </c>
      <c r="S206" s="40" t="inlineStr">
        <is>
          <t>23/05/2026 19:06</t>
        </is>
      </c>
      <c r="T206" s="43" t="inlineStr">
        <is>
          <t>R1:Không đạt</t>
        </is>
      </c>
      <c r="U206" s="40" t="inlineStr"/>
      <c r="V206" s="43" t="inlineStr"/>
    </row>
    <row r="207" ht="80" customHeight="1">
      <c r="A207" s="40" t="inlineStr">
        <is>
          <t>TC-204</t>
        </is>
      </c>
      <c r="B207" s="45" t="inlineStr">
        <is>
          <t>RED</t>
        </is>
      </c>
      <c r="C207" s="42" t="inlineStr">
        <is>
          <t>P0</t>
        </is>
      </c>
      <c r="D207" s="43" t="inlineStr">
        <is>
          <t>TdcBackfill</t>
        </is>
      </c>
      <c r="E207" s="43" t="inlineStr">
        <is>
          <t>PATCH với Case không tồn tại → 404 'Case not found'</t>
        </is>
      </c>
      <c r="F207" s="40" t="inlineStr">
        <is>
          <t>REQ-CASE-TDCBACKFILL-204</t>
        </is>
      </c>
      <c r="G207" s="40" t="inlineStr">
        <is>
          <t>Use case testing</t>
        </is>
      </c>
      <c r="H207" s="40" t="inlineStr">
        <is>
          <t>Cao</t>
        </is>
      </c>
      <c r="I207" s="43" t="inlineStr">
        <is>
          <t>1. User đã login
2. Token JWT hợp lệ</t>
        </is>
      </c>
      <c r="J207" s="43" t="inlineStr">
        <is>
          <t>PATCH /cases/NOT_EXIST/tdc-backfill</t>
        </is>
      </c>
      <c r="K207" s="43" t="inlineStr">
        <is>
          <t>-</t>
        </is>
      </c>
      <c r="L207" s="43" t="inlineStr">
        <is>
          <t>-</t>
        </is>
      </c>
      <c r="M207" s="43" t="inlineStr">
        <is>
          <t>404</t>
        </is>
      </c>
      <c r="N207" s="43" t="inlineStr">
        <is>
          <t>-</t>
        </is>
      </c>
      <c r="O207" s="40" t="inlineStr">
        <is>
          <t>High</t>
        </is>
      </c>
      <c r="P207" s="43" t="inlineStr">
        <is>
          <t>Thời gian: 934ms</t>
        </is>
      </c>
      <c r="Q207" s="40" t="inlineStr">
        <is>
          <t>Không đạt</t>
        </is>
      </c>
      <c r="R207" s="40" t="inlineStr">
        <is>
          <t>BUG-478</t>
        </is>
      </c>
      <c r="S207" s="40" t="inlineStr">
        <is>
          <t>23/05/2026 19:06</t>
        </is>
      </c>
      <c r="T207" s="43" t="inlineStr">
        <is>
          <t>R1:Không đạt</t>
        </is>
      </c>
      <c r="U207" s="40" t="inlineStr"/>
      <c r="V207" s="43" t="inlineStr"/>
    </row>
    <row r="208" ht="80" customHeight="1">
      <c r="A208" s="40" t="inlineStr">
        <is>
          <t>TC-205</t>
        </is>
      </c>
      <c r="B208" s="45" t="inlineStr">
        <is>
          <t>RED</t>
        </is>
      </c>
      <c r="C208" s="44" t="inlineStr">
        <is>
          <t>P1</t>
        </is>
      </c>
      <c r="D208" s="43" t="inlineStr">
        <is>
          <t>TdcBackfill</t>
        </is>
      </c>
      <c r="E208" s="43" t="inlineStr">
        <is>
          <t>PATCH lyDoTamDinhChiVuAn='INVALID' → 400/500 (validation cast)</t>
        </is>
      </c>
      <c r="F208" s="40" t="inlineStr">
        <is>
          <t>REQ-CASE-TDCBACKFILL-205</t>
        </is>
      </c>
      <c r="G208" s="40" t="inlineStr">
        <is>
          <t>Use case testing</t>
        </is>
      </c>
      <c r="H208" s="40" t="inlineStr">
        <is>
          <t>TB</t>
        </is>
      </c>
      <c r="I208" s="43" t="inlineStr">
        <is>
          <t>1. User đã login
2. Token JWT hợp lệ</t>
        </is>
      </c>
      <c r="J208" s="43" t="inlineStr">
        <is>
          <t>PATCH lyDoTamDinhChiVuAn='INVALID'</t>
        </is>
      </c>
      <c r="K208" s="43" t="inlineStr">
        <is>
          <t>-</t>
        </is>
      </c>
      <c r="L208" s="43" t="inlineStr">
        <is>
          <t>-</t>
        </is>
      </c>
      <c r="M208" s="43" t="inlineStr">
        <is>
          <t>500 do Prisma enum constraint (no DTO validation)</t>
        </is>
      </c>
      <c r="N208" s="43" t="inlineStr">
        <is>
          <t>-</t>
        </is>
      </c>
      <c r="O208" s="40" t="inlineStr">
        <is>
          <t>Medium</t>
        </is>
      </c>
      <c r="P208" s="43" t="inlineStr">
        <is>
          <t>Thời gian: 938ms</t>
        </is>
      </c>
      <c r="Q208" s="40" t="inlineStr">
        <is>
          <t>Không đạt</t>
        </is>
      </c>
      <c r="R208" s="40" t="inlineStr">
        <is>
          <t>BUG-479</t>
        </is>
      </c>
      <c r="S208" s="40" t="inlineStr">
        <is>
          <t>23/05/2026 19:06</t>
        </is>
      </c>
      <c r="T208" s="43" t="inlineStr">
        <is>
          <t>R1:Không đạt</t>
        </is>
      </c>
      <c r="U208" s="40" t="inlineStr"/>
      <c r="V208" s="43" t="inlineStr">
        <is>
          <t>Gap: tdcBackfill DTO không validate enum</t>
        </is>
      </c>
    </row>
    <row r="209" ht="80" customHeight="1">
      <c r="A209" s="40" t="inlineStr">
        <is>
          <t>TC-206</t>
        </is>
      </c>
      <c r="B209" s="45" t="inlineStr">
        <is>
          <t>RED</t>
        </is>
      </c>
      <c r="C209" s="42" t="inlineStr">
        <is>
          <t>P0</t>
        </is>
      </c>
      <c r="D209" s="43" t="inlineStr">
        <is>
          <t>TdcBackfill</t>
        </is>
      </c>
      <c r="E209" s="43" t="inlineStr">
        <is>
          <t>User không có write permission → 403</t>
        </is>
      </c>
      <c r="F209" s="40" t="inlineStr">
        <is>
          <t>REQ-CASE-TDCBACKFILL-206</t>
        </is>
      </c>
      <c r="G209" s="40" t="inlineStr">
        <is>
          <t>Use case testing</t>
        </is>
      </c>
      <c r="H209" s="40" t="inlineStr">
        <is>
          <t>Cao</t>
        </is>
      </c>
      <c r="I209" s="43" t="inlineStr">
        <is>
          <t>Login viewer</t>
        </is>
      </c>
      <c r="J209" s="43" t="inlineStr">
        <is>
          <t>PATCH tdc-backfill</t>
        </is>
      </c>
      <c r="K209" s="43" t="inlineStr">
        <is>
          <t>-</t>
        </is>
      </c>
      <c r="L209" s="43" t="inlineStr">
        <is>
          <t>-</t>
        </is>
      </c>
      <c r="M209" s="43" t="inlineStr">
        <is>
          <t>403 PermissionsGuard write/Case</t>
        </is>
      </c>
      <c r="N209" s="43" t="inlineStr">
        <is>
          <t>-</t>
        </is>
      </c>
      <c r="O209" s="40" t="inlineStr">
        <is>
          <t>High</t>
        </is>
      </c>
      <c r="P209" s="43" t="inlineStr">
        <is>
          <t>Đạt như expected. Thời gian: 179ms</t>
        </is>
      </c>
      <c r="Q209" s="40" t="inlineStr">
        <is>
          <t>Đạt</t>
        </is>
      </c>
      <c r="R209" s="40" t="inlineStr"/>
      <c r="S209" s="40" t="inlineStr">
        <is>
          <t>23/05/2026 19:06</t>
        </is>
      </c>
      <c r="T209" s="43" t="inlineStr">
        <is>
          <t>R1:Đạt</t>
        </is>
      </c>
      <c r="U209" s="40" t="inlineStr"/>
      <c r="V209" s="43" t="inlineStr"/>
    </row>
    <row r="210" ht="80" customHeight="1">
      <c r="A210" s="40" t="inlineStr">
        <is>
          <t>TC-207</t>
        </is>
      </c>
      <c r="B210" s="41" t="inlineStr">
        <is>
          <t>GREEN</t>
        </is>
      </c>
      <c r="C210" s="44" t="inlineStr">
        <is>
          <t>P1</t>
        </is>
      </c>
      <c r="D210" s="43" t="inlineStr">
        <is>
          <t>TdcBackfill</t>
        </is>
      </c>
      <c r="E210" s="43" t="inlineStr">
        <is>
          <t>Banner TdcBackfillBanner ẩn sau khi backfill thành công</t>
        </is>
      </c>
      <c r="F210" s="40" t="inlineStr">
        <is>
          <t>REQ-CASE-TDCBACKFILL-207</t>
        </is>
      </c>
      <c r="G210" s="40" t="inlineStr">
        <is>
          <t>Use case testing</t>
        </is>
      </c>
      <c r="H210" s="40" t="inlineStr">
        <is>
          <t>TB</t>
        </is>
      </c>
      <c r="I210" s="43" t="inlineStr">
        <is>
          <t>1. User đã login
2. Token JWT hợp lệ</t>
        </is>
      </c>
      <c r="J210" s="43" t="inlineStr">
        <is>
          <t>UI flow: thấy banner, click 'Backfill', nhập lý do, submit</t>
        </is>
      </c>
      <c r="K210" s="43" t="inlineStr">
        <is>
          <t>-</t>
        </is>
      </c>
      <c r="L210" s="43" t="inlineStr">
        <is>
          <t>Banner disappear</t>
        </is>
      </c>
      <c r="M210" s="43" t="inlineStr">
        <is>
          <t>Reload Case detail</t>
        </is>
      </c>
      <c r="N210" s="43" t="inlineStr">
        <is>
          <t>-</t>
        </is>
      </c>
      <c r="O210" s="40" t="inlineStr">
        <is>
          <t>Medium</t>
        </is>
      </c>
      <c r="P210" s="43" t="inlineStr">
        <is>
          <t>Thời gian: 122ms</t>
        </is>
      </c>
      <c r="Q210" s="40" t="inlineStr">
        <is>
          <t>Không đạt</t>
        </is>
      </c>
      <c r="R210" s="40" t="inlineStr">
        <is>
          <t>BUG-480</t>
        </is>
      </c>
      <c r="S210" s="40" t="inlineStr">
        <is>
          <t>23/05/2026 19:06</t>
        </is>
      </c>
      <c r="T210" s="43" t="inlineStr">
        <is>
          <t>R1:Không đạt</t>
        </is>
      </c>
      <c r="U210" s="40" t="inlineStr"/>
      <c r="V210" s="43" t="inlineStr"/>
    </row>
    <row r="211" ht="80" customHeight="1">
      <c r="A211" s="40" t="inlineStr">
        <is>
          <t>TC-208</t>
        </is>
      </c>
      <c r="B211" s="47" t="inlineStr">
        <is>
          <t>SECURITY</t>
        </is>
      </c>
      <c r="C211" s="42" t="inlineStr">
        <is>
          <t>P0</t>
        </is>
      </c>
      <c r="D211" s="43" t="inlineStr">
        <is>
          <t>A01</t>
        </is>
      </c>
      <c r="E211" s="43" t="inlineStr">
        <is>
          <t>IDOR: User A trực tiếp GET /cases/&lt;id-của-B&gt; (URL guessing) → 403</t>
        </is>
      </c>
      <c r="F211" s="40" t="inlineStr">
        <is>
          <t>REQ-CASE-A01-208</t>
        </is>
      </c>
      <c r="G211" s="40" t="inlineStr">
        <is>
          <t>Use case testing</t>
        </is>
      </c>
      <c r="H211" s="40" t="inlineStr">
        <is>
          <t>Cao</t>
        </is>
      </c>
      <c r="I211" s="43" t="inlineStr">
        <is>
          <t>1. User đã login
2. Token JWT hợp lệ</t>
        </is>
      </c>
      <c r="J211" s="43" t="inlineStr">
        <is>
          <t>Login userA, GET /cases/&lt;id-Case-của-userB-khác-team&gt;</t>
        </is>
      </c>
      <c r="K211" s="43" t="inlineStr">
        <is>
          <t>-</t>
        </is>
      </c>
      <c r="L211" s="43" t="inlineStr">
        <is>
          <t>-</t>
        </is>
      </c>
      <c r="M211" s="43" t="inlineStr">
        <is>
          <t>403 ForbiddenException</t>
        </is>
      </c>
      <c r="N211" s="43" t="inlineStr">
        <is>
          <t>-</t>
        </is>
      </c>
      <c r="O211" s="40" t="inlineStr">
        <is>
          <t>Critical</t>
        </is>
      </c>
      <c r="P211" s="43" t="inlineStr">
        <is>
          <t>Đạt như expected. Thời gian: 880ms</t>
        </is>
      </c>
      <c r="Q211" s="40" t="inlineStr">
        <is>
          <t>Đạt</t>
        </is>
      </c>
      <c r="R211" s="40" t="inlineStr"/>
      <c r="S211" s="40" t="inlineStr">
        <is>
          <t>23/05/2026 19:06</t>
        </is>
      </c>
      <c r="T211" s="43" t="inlineStr">
        <is>
          <t>R1:Đạt</t>
        </is>
      </c>
      <c r="U211" s="40" t="inlineStr"/>
      <c r="V211" s="43" t="inlineStr"/>
    </row>
    <row r="212" ht="80" customHeight="1">
      <c r="A212" s="40" t="inlineStr">
        <is>
          <t>TC-209</t>
        </is>
      </c>
      <c r="B212" s="47" t="inlineStr">
        <is>
          <t>SECURITY</t>
        </is>
      </c>
      <c r="C212" s="42" t="inlineStr">
        <is>
          <t>P0</t>
        </is>
      </c>
      <c r="D212" s="43" t="inlineStr">
        <is>
          <t>A01</t>
        </is>
      </c>
      <c r="E212" s="43" t="inlineStr">
        <is>
          <t>Horizontal privilege escalation: dieuTra-Q1 sửa Case-Q3 → 403</t>
        </is>
      </c>
      <c r="F212" s="40" t="inlineStr">
        <is>
          <t>REQ-CASE-A01-209</t>
        </is>
      </c>
      <c r="G212" s="40" t="inlineStr">
        <is>
          <t>Use case testing</t>
        </is>
      </c>
      <c r="H212" s="40" t="inlineStr">
        <is>
          <t>Cao</t>
        </is>
      </c>
      <c r="I212" s="43" t="inlineStr">
        <is>
          <t>1. User đã login
2. Token JWT hợp lệ</t>
        </is>
      </c>
      <c r="J212" s="43" t="inlineStr">
        <is>
          <t>PUT /cases/CASE-Q3</t>
        </is>
      </c>
      <c r="K212" s="43" t="inlineStr">
        <is>
          <t>-</t>
        </is>
      </c>
      <c r="L212" s="43" t="inlineStr">
        <is>
          <t>-</t>
        </is>
      </c>
      <c r="M212" s="43" t="inlineStr">
        <is>
          <t>403 checkWriteScope</t>
        </is>
      </c>
      <c r="N212" s="43" t="inlineStr">
        <is>
          <t>-</t>
        </is>
      </c>
      <c r="O212" s="40" t="inlineStr">
        <is>
          <t>Critical</t>
        </is>
      </c>
      <c r="P212" s="43" t="inlineStr">
        <is>
          <t>Đạt như expected. Thời gian: 53ms</t>
        </is>
      </c>
      <c r="Q212" s="40" t="inlineStr">
        <is>
          <t>Đạt</t>
        </is>
      </c>
      <c r="R212" s="40" t="inlineStr"/>
      <c r="S212" s="40" t="inlineStr">
        <is>
          <t>23/05/2026 19:06</t>
        </is>
      </c>
      <c r="T212" s="43" t="inlineStr">
        <is>
          <t>R1:Đạt</t>
        </is>
      </c>
      <c r="U212" s="40" t="inlineStr"/>
      <c r="V212" s="43" t="inlineStr"/>
    </row>
    <row r="213" ht="80" customHeight="1">
      <c r="A213" s="40" t="inlineStr">
        <is>
          <t>TC-210</t>
        </is>
      </c>
      <c r="B213" s="47" t="inlineStr">
        <is>
          <t>SECURITY</t>
        </is>
      </c>
      <c r="C213" s="42" t="inlineStr">
        <is>
          <t>P0</t>
        </is>
      </c>
      <c r="D213" s="43" t="inlineStr">
        <is>
          <t>A01</t>
        </is>
      </c>
      <c r="E213" s="43" t="inlineStr">
        <is>
          <t>Vertical: VIEWER role thử POST /cases → 403</t>
        </is>
      </c>
      <c r="F213" s="40" t="inlineStr">
        <is>
          <t>REQ-CASE-A01-210</t>
        </is>
      </c>
      <c r="G213" s="40" t="inlineStr">
        <is>
          <t>Use case testing</t>
        </is>
      </c>
      <c r="H213" s="40" t="inlineStr">
        <is>
          <t>Cao</t>
        </is>
      </c>
      <c r="I213" s="43" t="inlineStr">
        <is>
          <t>1. User đã login
2. Token JWT hợp lệ</t>
        </is>
      </c>
      <c r="J213" s="43" t="inlineStr">
        <is>
          <t>VIEWER POST</t>
        </is>
      </c>
      <c r="K213" s="43" t="inlineStr">
        <is>
          <t>-</t>
        </is>
      </c>
      <c r="L213" s="43" t="inlineStr">
        <is>
          <t>-</t>
        </is>
      </c>
      <c r="M213" s="43" t="inlineStr">
        <is>
          <t>403</t>
        </is>
      </c>
      <c r="N213" s="43" t="inlineStr">
        <is>
          <t>-</t>
        </is>
      </c>
      <c r="O213" s="40" t="inlineStr">
        <is>
          <t>Critical</t>
        </is>
      </c>
      <c r="P213" s="43" t="inlineStr">
        <is>
          <t>Đạt như expected. Thời gian: 66ms</t>
        </is>
      </c>
      <c r="Q213" s="40" t="inlineStr">
        <is>
          <t>Đạt</t>
        </is>
      </c>
      <c r="R213" s="40" t="inlineStr"/>
      <c r="S213" s="40" t="inlineStr">
        <is>
          <t>23/05/2026 19:06</t>
        </is>
      </c>
      <c r="T213" s="43" t="inlineStr">
        <is>
          <t>R1:Đạt</t>
        </is>
      </c>
      <c r="U213" s="40" t="inlineStr"/>
      <c r="V213" s="43" t="inlineStr"/>
    </row>
    <row r="214" ht="80" customHeight="1">
      <c r="A214" s="40" t="inlineStr">
        <is>
          <t>TC-211</t>
        </is>
      </c>
      <c r="B214" s="47" t="inlineStr">
        <is>
          <t>SECURITY</t>
        </is>
      </c>
      <c r="C214" s="42" t="inlineStr">
        <is>
          <t>P0</t>
        </is>
      </c>
      <c r="D214" s="43" t="inlineStr">
        <is>
          <t>A01</t>
        </is>
      </c>
      <c r="E214" s="43" t="inlineStr">
        <is>
          <t>DELETE Case của user khác (creator check) → 403</t>
        </is>
      </c>
      <c r="F214" s="40" t="inlineStr">
        <is>
          <t>REQ-CASE-A01-211</t>
        </is>
      </c>
      <c r="G214" s="40" t="inlineStr">
        <is>
          <t>Use case testing</t>
        </is>
      </c>
      <c r="H214" s="40" t="inlineStr">
        <is>
          <t>Cao</t>
        </is>
      </c>
      <c r="I214" s="43" t="inlineStr">
        <is>
          <t>CASE createdById=A, login B</t>
        </is>
      </c>
      <c r="J214" s="43" t="inlineStr">
        <is>
          <t>DELETE</t>
        </is>
      </c>
      <c r="K214" s="43" t="inlineStr">
        <is>
          <t>reason='...'</t>
        </is>
      </c>
      <c r="L214" s="43" t="inlineStr">
        <is>
          <t>-</t>
        </is>
      </c>
      <c r="M214" s="43" t="inlineStr">
        <is>
          <t>403</t>
        </is>
      </c>
      <c r="N214" s="43" t="inlineStr">
        <is>
          <t>-</t>
        </is>
      </c>
      <c r="O214" s="40" t="inlineStr">
        <is>
          <t>Critical</t>
        </is>
      </c>
      <c r="P214" s="43" t="inlineStr">
        <is>
          <t>Đạt như expected. Thời gian: 45ms</t>
        </is>
      </c>
      <c r="Q214" s="40" t="inlineStr">
        <is>
          <t>Đạt</t>
        </is>
      </c>
      <c r="R214" s="40" t="inlineStr"/>
      <c r="S214" s="40" t="inlineStr">
        <is>
          <t>23/05/2026 19:06</t>
        </is>
      </c>
      <c r="T214" s="43" t="inlineStr">
        <is>
          <t>R1:Đạt</t>
        </is>
      </c>
      <c r="U214" s="40" t="inlineStr"/>
      <c r="V214" s="43" t="inlineStr"/>
    </row>
    <row r="215" ht="80" customHeight="1">
      <c r="A215" s="40" t="inlineStr">
        <is>
          <t>TC-212</t>
        </is>
      </c>
      <c r="B215" s="47" t="inlineStr">
        <is>
          <t>SECURITY</t>
        </is>
      </c>
      <c r="C215" s="42" t="inlineStr">
        <is>
          <t>P0</t>
        </is>
      </c>
      <c r="D215" s="43" t="inlineStr">
        <is>
          <t>A01</t>
        </is>
      </c>
      <c r="E215" s="43" t="inlineStr">
        <is>
          <t>Non-ADMIN restore → 403</t>
        </is>
      </c>
      <c r="F215" s="40" t="inlineStr">
        <is>
          <t>REQ-CASE-A01-212</t>
        </is>
      </c>
      <c r="G215" s="40" t="inlineStr">
        <is>
          <t>Use case testing</t>
        </is>
      </c>
      <c r="H215" s="40" t="inlineStr">
        <is>
          <t>Cao</t>
        </is>
      </c>
      <c r="I215" s="43" t="inlineStr">
        <is>
          <t>1. User đã login
2. Token JWT hợp lệ</t>
        </is>
      </c>
      <c r="J215" s="43" t="inlineStr">
        <is>
          <t>dieuTra1 POST restore</t>
        </is>
      </c>
      <c r="K215" s="43" t="inlineStr">
        <is>
          <t>-</t>
        </is>
      </c>
      <c r="L215" s="43" t="inlineStr">
        <is>
          <t>-</t>
        </is>
      </c>
      <c r="M215" s="43" t="inlineStr">
        <is>
          <t>403</t>
        </is>
      </c>
      <c r="N215" s="43" t="inlineStr">
        <is>
          <t>-</t>
        </is>
      </c>
      <c r="O215" s="40" t="inlineStr">
        <is>
          <t>Critical</t>
        </is>
      </c>
      <c r="P215" s="43" t="inlineStr">
        <is>
          <t>Đạt như expected. Thời gian: 46ms</t>
        </is>
      </c>
      <c r="Q215" s="40" t="inlineStr">
        <is>
          <t>Đạt</t>
        </is>
      </c>
      <c r="R215" s="40" t="inlineStr"/>
      <c r="S215" s="40" t="inlineStr">
        <is>
          <t>23/05/2026 19:06</t>
        </is>
      </c>
      <c r="T215" s="43" t="inlineStr">
        <is>
          <t>R1:Đạt</t>
        </is>
      </c>
      <c r="U215" s="40" t="inlineStr"/>
      <c r="V215" s="43" t="inlineStr"/>
    </row>
    <row r="216" ht="80" customHeight="1">
      <c r="A216" s="40" t="inlineStr">
        <is>
          <t>TC-213</t>
        </is>
      </c>
      <c r="B216" s="47" t="inlineStr">
        <is>
          <t>SECURITY</t>
        </is>
      </c>
      <c r="C216" s="42" t="inlineStr">
        <is>
          <t>P0</t>
        </is>
      </c>
      <c r="D216" s="43" t="inlineStr">
        <is>
          <t>A01</t>
        </is>
      </c>
      <c r="E216" s="43" t="inlineStr">
        <is>
          <t>GET /cases/admin/deleted với non-ADMIN → 403</t>
        </is>
      </c>
      <c r="F216" s="40" t="inlineStr">
        <is>
          <t>REQ-CASE-A01-213</t>
        </is>
      </c>
      <c r="G216" s="40" t="inlineStr">
        <is>
          <t>Use case testing</t>
        </is>
      </c>
      <c r="H216" s="40" t="inlineStr">
        <is>
          <t>Cao</t>
        </is>
      </c>
      <c r="I216" s="43" t="inlineStr">
        <is>
          <t>1. User đã login
2. Token JWT hợp lệ</t>
        </is>
      </c>
      <c r="J216" s="43" t="inlineStr">
        <is>
          <t>dieuTra1 GET admin/deleted</t>
        </is>
      </c>
      <c r="K216" s="43" t="inlineStr">
        <is>
          <t>-</t>
        </is>
      </c>
      <c r="L216" s="43" t="inlineStr">
        <is>
          <t>-</t>
        </is>
      </c>
      <c r="M216" s="43" t="inlineStr">
        <is>
          <t>403</t>
        </is>
      </c>
      <c r="N216" s="43" t="inlineStr">
        <is>
          <t>-</t>
        </is>
      </c>
      <c r="O216" s="40" t="inlineStr">
        <is>
          <t>Critical</t>
        </is>
      </c>
      <c r="P216" s="43" t="inlineStr">
        <is>
          <t>Đạt như expected. Thời gian: 75ms</t>
        </is>
      </c>
      <c r="Q216" s="40" t="inlineStr">
        <is>
          <t>Đạt</t>
        </is>
      </c>
      <c r="R216" s="40" t="inlineStr"/>
      <c r="S216" s="40" t="inlineStr">
        <is>
          <t>23/05/2026 19:06</t>
        </is>
      </c>
      <c r="T216" s="43" t="inlineStr">
        <is>
          <t>R1:Đạt</t>
        </is>
      </c>
      <c r="U216" s="40" t="inlineStr"/>
      <c r="V216" s="43" t="inlineStr"/>
    </row>
    <row r="217" ht="80" customHeight="1">
      <c r="A217" s="40" t="inlineStr">
        <is>
          <t>TC-214</t>
        </is>
      </c>
      <c r="B217" s="47" t="inlineStr">
        <is>
          <t>SECURITY</t>
        </is>
      </c>
      <c r="C217" s="42" t="inlineStr">
        <is>
          <t>P0</t>
        </is>
      </c>
      <c r="D217" s="43" t="inlineStr">
        <is>
          <t>A01</t>
        </is>
      </c>
      <c r="E217" s="43" t="inlineStr">
        <is>
          <t>Non-dispatcher PATCH /assign → 403 DispatchGuard</t>
        </is>
      </c>
      <c r="F217" s="40" t="inlineStr">
        <is>
          <t>REQ-CASE-A01-214</t>
        </is>
      </c>
      <c r="G217" s="40" t="inlineStr">
        <is>
          <t>Use case testing</t>
        </is>
      </c>
      <c r="H217" s="40" t="inlineStr">
        <is>
          <t>Cao</t>
        </is>
      </c>
      <c r="I217" s="43" t="inlineStr">
        <is>
          <t>1. User đã login
2. Token JWT hợp lệ</t>
        </is>
      </c>
      <c r="J217" s="43" t="inlineStr">
        <is>
          <t>dieuTra1 PATCH /assign</t>
        </is>
      </c>
      <c r="K217" s="43" t="inlineStr">
        <is>
          <t>-</t>
        </is>
      </c>
      <c r="L217" s="43" t="inlineStr">
        <is>
          <t>-</t>
        </is>
      </c>
      <c r="M217" s="43" t="inlineStr">
        <is>
          <t>403</t>
        </is>
      </c>
      <c r="N217" s="43" t="inlineStr">
        <is>
          <t>-</t>
        </is>
      </c>
      <c r="O217" s="40" t="inlineStr">
        <is>
          <t>Critical</t>
        </is>
      </c>
      <c r="P217" s="43" t="inlineStr">
        <is>
          <t>Đạt như expected. Thời gian: 38ms</t>
        </is>
      </c>
      <c r="Q217" s="40" t="inlineStr">
        <is>
          <t>Đạt</t>
        </is>
      </c>
      <c r="R217" s="40" t="inlineStr"/>
      <c r="S217" s="40" t="inlineStr">
        <is>
          <t>23/05/2026 19:06</t>
        </is>
      </c>
      <c r="T217" s="43" t="inlineStr">
        <is>
          <t>R1:Đạt</t>
        </is>
      </c>
      <c r="U217" s="40" t="inlineStr"/>
      <c r="V217" s="43" t="inlineStr"/>
    </row>
    <row r="218" ht="80" customHeight="1">
      <c r="A218" s="40" t="inlineStr">
        <is>
          <t>TC-215</t>
        </is>
      </c>
      <c r="B218" s="47" t="inlineStr">
        <is>
          <t>SECURITY</t>
        </is>
      </c>
      <c r="C218" s="42" t="inlineStr">
        <is>
          <t>P0</t>
        </is>
      </c>
      <c r="D218" s="43" t="inlineStr">
        <is>
          <t>A02</t>
        </is>
      </c>
      <c r="E218" s="43" t="inlineStr">
        <is>
          <t>JWT là HS256 với secret strong (≥32 chars) — không yếu</t>
        </is>
      </c>
      <c r="F218" s="40" t="inlineStr">
        <is>
          <t>REQ-CASE-A02-215</t>
        </is>
      </c>
      <c r="G218" s="40" t="inlineStr">
        <is>
          <t>Use case testing</t>
        </is>
      </c>
      <c r="H218" s="40" t="inlineStr">
        <is>
          <t>Cao</t>
        </is>
      </c>
      <c r="I218" s="43" t="inlineStr">
        <is>
          <t>1. User đã login
2. Token JWT hợp lệ</t>
        </is>
      </c>
      <c r="J218" s="43" t="inlineStr">
        <is>
          <t>Decode JWT, check alg=HS256, secret length</t>
        </is>
      </c>
      <c r="K218" s="43" t="inlineStr">
        <is>
          <t>-</t>
        </is>
      </c>
      <c r="L218" s="43" t="inlineStr">
        <is>
          <t>-</t>
        </is>
      </c>
      <c r="M218" s="43" t="inlineStr">
        <is>
          <t>JWT verify OK, không alg=none</t>
        </is>
      </c>
      <c r="N218" s="43" t="inlineStr">
        <is>
          <t>-</t>
        </is>
      </c>
      <c r="O218" s="40" t="inlineStr">
        <is>
          <t>Critical</t>
        </is>
      </c>
      <c r="P218" s="43" t="inlineStr">
        <is>
          <t>Đạt như expected. Thời gian: 854ms</t>
        </is>
      </c>
      <c r="Q218" s="40" t="inlineStr">
        <is>
          <t>Đạt</t>
        </is>
      </c>
      <c r="R218" s="40" t="inlineStr"/>
      <c r="S218" s="40" t="inlineStr">
        <is>
          <t>23/05/2026 19:06</t>
        </is>
      </c>
      <c r="T218" s="43" t="inlineStr">
        <is>
          <t>R1:Đạt</t>
        </is>
      </c>
      <c r="U218" s="40" t="inlineStr"/>
      <c r="V218" s="43" t="inlineStr">
        <is>
          <t>ASVS 6.2.3</t>
        </is>
      </c>
    </row>
    <row r="219" ht="80" customHeight="1">
      <c r="A219" s="40" t="inlineStr">
        <is>
          <t>TC-216</t>
        </is>
      </c>
      <c r="B219" s="47" t="inlineStr">
        <is>
          <t>SECURITY</t>
        </is>
      </c>
      <c r="C219" s="42" t="inlineStr">
        <is>
          <t>P0</t>
        </is>
      </c>
      <c r="D219" s="43" t="inlineStr">
        <is>
          <t>A02</t>
        </is>
      </c>
      <c r="E219" s="43" t="inlineStr">
        <is>
          <t>API chạy trên HTTPS (production) — HTTP redirect 301</t>
        </is>
      </c>
      <c r="F219" s="40" t="inlineStr">
        <is>
          <t>REQ-CASE-A02-216</t>
        </is>
      </c>
      <c r="G219" s="40" t="inlineStr">
        <is>
          <t>Use case testing</t>
        </is>
      </c>
      <c r="H219" s="40" t="inlineStr">
        <is>
          <t>Cao</t>
        </is>
      </c>
      <c r="I219" s="43" t="inlineStr">
        <is>
          <t>1. User đã login
2. Token JWT hợp lệ</t>
        </is>
      </c>
      <c r="J219" s="43" t="inlineStr">
        <is>
          <t>curl http://171.244.40.245/api/v1/cases</t>
        </is>
      </c>
      <c r="K219" s="43" t="inlineStr">
        <is>
          <t>-</t>
        </is>
      </c>
      <c r="L219" s="43" t="inlineStr">
        <is>
          <t>-</t>
        </is>
      </c>
      <c r="M219" s="43" t="inlineStr">
        <is>
          <t>301 redirect to https</t>
        </is>
      </c>
      <c r="N219" s="43" t="inlineStr">
        <is>
          <t>HSTS header strict-transport-security</t>
        </is>
      </c>
      <c r="O219" s="40" t="inlineStr">
        <is>
          <t>Critical</t>
        </is>
      </c>
      <c r="P219" s="43" t="inlineStr">
        <is>
          <t>Đạt như expected. Thời gian: 46ms</t>
        </is>
      </c>
      <c r="Q219" s="40" t="inlineStr">
        <is>
          <t>Đạt</t>
        </is>
      </c>
      <c r="R219" s="40" t="inlineStr"/>
      <c r="S219" s="40" t="inlineStr">
        <is>
          <t>23/05/2026 19:06</t>
        </is>
      </c>
      <c r="T219" s="43" t="inlineStr">
        <is>
          <t>R1:Đạt</t>
        </is>
      </c>
      <c r="U219" s="40" t="inlineStr"/>
      <c r="V219" s="43" t="inlineStr">
        <is>
          <t>Production deploy yêu cầu domain + cert</t>
        </is>
      </c>
    </row>
    <row r="220" ht="80" customHeight="1">
      <c r="A220" s="40" t="inlineStr">
        <is>
          <t>TC-217</t>
        </is>
      </c>
      <c r="B220" s="47" t="inlineStr">
        <is>
          <t>SECURITY</t>
        </is>
      </c>
      <c r="C220" s="42" t="inlineStr">
        <is>
          <t>P0</t>
        </is>
      </c>
      <c r="D220" s="43" t="inlineStr">
        <is>
          <t>A03</t>
        </is>
      </c>
      <c r="E220" s="43" t="inlineStr">
        <is>
          <t>SQLi qua search param: ?search=' OR 1=1-- → vẫn an toàn</t>
        </is>
      </c>
      <c r="F220" s="40" t="inlineStr">
        <is>
          <t>REQ-CASE-A03-217</t>
        </is>
      </c>
      <c r="G220" s="40" t="inlineStr">
        <is>
          <t>Use case testing</t>
        </is>
      </c>
      <c r="H220" s="40" t="inlineStr">
        <is>
          <t>Cao</t>
        </is>
      </c>
      <c r="I220" s="43" t="inlineStr">
        <is>
          <t>1. User đã login
2. Token JWT hợp lệ</t>
        </is>
      </c>
      <c r="J220" s="43" t="inlineStr">
        <is>
          <t>GET /cases?search=' OR 1=1--</t>
        </is>
      </c>
      <c r="K220" s="43" t="inlineStr">
        <is>
          <t>search="' OR 1=1--"</t>
        </is>
      </c>
      <c r="L220" s="43" t="inlineStr">
        <is>
          <t>Empty result (Prisma parametrized)</t>
        </is>
      </c>
      <c r="M220" s="43" t="inlineStr">
        <is>
          <t>200 data=[] (no all-records leak)</t>
        </is>
      </c>
      <c r="N220" s="43" t="inlineStr">
        <is>
          <t>-</t>
        </is>
      </c>
      <c r="O220" s="40" t="inlineStr">
        <is>
          <t>Critical</t>
        </is>
      </c>
      <c r="P220" s="43" t="inlineStr">
        <is>
          <t>Đạt như expected. Thời gian: 796ms</t>
        </is>
      </c>
      <c r="Q220" s="40" t="inlineStr">
        <is>
          <t>Đạt</t>
        </is>
      </c>
      <c r="R220" s="40" t="inlineStr"/>
      <c r="S220" s="40" t="inlineStr">
        <is>
          <t>23/05/2026 19:06</t>
        </is>
      </c>
      <c r="T220" s="43" t="inlineStr">
        <is>
          <t>R1:Đạt</t>
        </is>
      </c>
      <c r="U220" s="40" t="inlineStr"/>
      <c r="V220" s="43" t="inlineStr">
        <is>
          <t>Prisma uses parameterized queries</t>
        </is>
      </c>
    </row>
    <row r="221" ht="80" customHeight="1">
      <c r="A221" s="40" t="inlineStr">
        <is>
          <t>TC-218</t>
        </is>
      </c>
      <c r="B221" s="47" t="inlineStr">
        <is>
          <t>SECURITY</t>
        </is>
      </c>
      <c r="C221" s="42" t="inlineStr">
        <is>
          <t>P0</t>
        </is>
      </c>
      <c r="D221" s="43" t="inlineStr">
        <is>
          <t>A03</t>
        </is>
      </c>
      <c r="E221" s="43" t="inlineStr">
        <is>
          <t>SQLi qua sortBy: ?sortBy=name; DROP TABLE cases-- → whitelist filter</t>
        </is>
      </c>
      <c r="F221" s="40" t="inlineStr">
        <is>
          <t>REQ-CASE-A03-218</t>
        </is>
      </c>
      <c r="G221" s="40" t="inlineStr">
        <is>
          <t>Use case testing</t>
        </is>
      </c>
      <c r="H221" s="40" t="inlineStr">
        <is>
          <t>Cao</t>
        </is>
      </c>
      <c r="I221" s="43" t="inlineStr">
        <is>
          <t>1. User đã login
2. Token JWT hợp lệ</t>
        </is>
      </c>
      <c r="J221" s="43" t="inlineStr">
        <is>
          <t>GET /cases?sortBy=name; DROP TABLE cases--</t>
        </is>
      </c>
      <c r="K221" s="43" t="inlineStr">
        <is>
          <t>sortBy='evil'</t>
        </is>
      </c>
      <c r="L221" s="43" t="inlineStr">
        <is>
          <t>-</t>
        </is>
      </c>
      <c r="M221" s="43" t="inlineStr">
        <is>
          <t>200 (whitelist allowedSortFields fallback createdAt)</t>
        </is>
      </c>
      <c r="N221" s="43" t="inlineStr">
        <is>
          <t>Table không bị drop</t>
        </is>
      </c>
      <c r="O221" s="40" t="inlineStr">
        <is>
          <t>Critical</t>
        </is>
      </c>
      <c r="P221" s="43" t="inlineStr">
        <is>
          <t>Đạt như expected. Thời gian: 50ms</t>
        </is>
      </c>
      <c r="Q221" s="40" t="inlineStr">
        <is>
          <t>Đạt</t>
        </is>
      </c>
      <c r="R221" s="40" t="inlineStr"/>
      <c r="S221" s="40" t="inlineStr">
        <is>
          <t>23/05/2026 19:06</t>
        </is>
      </c>
      <c r="T221" s="43" t="inlineStr">
        <is>
          <t>R1:Đạt</t>
        </is>
      </c>
      <c r="U221" s="40" t="inlineStr"/>
      <c r="V221" s="43" t="inlineStr"/>
    </row>
    <row r="222" ht="80" customHeight="1">
      <c r="A222" s="40" t="inlineStr">
        <is>
          <t>TC-219</t>
        </is>
      </c>
      <c r="B222" s="47" t="inlineStr">
        <is>
          <t>SECURITY</t>
        </is>
      </c>
      <c r="C222" s="42" t="inlineStr">
        <is>
          <t>P0</t>
        </is>
      </c>
      <c r="D222" s="43" t="inlineStr">
        <is>
          <t>A03</t>
        </is>
      </c>
      <c r="E222" s="43" t="inlineStr">
        <is>
          <t>XSS reflected: name=&lt;script&gt;alert(1)&lt;/script&gt; → React escape khi render</t>
        </is>
      </c>
      <c r="F222" s="40" t="inlineStr">
        <is>
          <t>REQ-CASE-A03-219</t>
        </is>
      </c>
      <c r="G222" s="40" t="inlineStr">
        <is>
          <t>Use case testing</t>
        </is>
      </c>
      <c r="H222" s="40" t="inlineStr">
        <is>
          <t>Cao</t>
        </is>
      </c>
      <c r="I222" s="43" t="inlineStr">
        <is>
          <t>1. User đã login
2. Token JWT hợp lệ</t>
        </is>
      </c>
      <c r="J222" s="43" t="inlineStr">
        <is>
          <t>POST name='&lt;script&gt;alert(1)&lt;/script&gt;', xem detail</t>
        </is>
      </c>
      <c r="K222" s="43" t="inlineStr">
        <is>
          <t>name='&lt;script&gt;alert(1)&lt;/script&gt;'</t>
        </is>
      </c>
      <c r="L222" s="43" t="inlineStr">
        <is>
          <t>Tên hiển thị literal text, KHÔNG popup alert</t>
        </is>
      </c>
      <c r="M222" s="43" t="inlineStr">
        <is>
          <t>201, data.name lưu nguyên (React handles escape ở render)</t>
        </is>
      </c>
      <c r="N222" s="43" t="inlineStr">
        <is>
          <t>DB chứa raw — frontend phải escape</t>
        </is>
      </c>
      <c r="O222" s="40" t="inlineStr">
        <is>
          <t>Critical</t>
        </is>
      </c>
      <c r="P222" s="43" t="inlineStr">
        <is>
          <t>Đạt như expected. Thời gian: 64ms</t>
        </is>
      </c>
      <c r="Q222" s="40" t="inlineStr">
        <is>
          <t>Đạt</t>
        </is>
      </c>
      <c r="R222" s="40" t="inlineStr"/>
      <c r="S222" s="40" t="inlineStr">
        <is>
          <t>23/05/2026 19:06</t>
        </is>
      </c>
      <c r="T222" s="43" t="inlineStr">
        <is>
          <t>R1:Đạt</t>
        </is>
      </c>
      <c r="U222" s="40" t="inlineStr"/>
      <c r="V222" s="43" t="inlineStr"/>
    </row>
    <row r="223" ht="80" customHeight="1">
      <c r="A223" s="40" t="inlineStr">
        <is>
          <t>TC-220</t>
        </is>
      </c>
      <c r="B223" s="47" t="inlineStr">
        <is>
          <t>SECURITY</t>
        </is>
      </c>
      <c r="C223" s="42" t="inlineStr">
        <is>
          <t>P0</t>
        </is>
      </c>
      <c r="D223" s="43" t="inlineStr">
        <is>
          <t>A03</t>
        </is>
      </c>
      <c r="E223" s="43" t="inlineStr">
        <is>
          <t>XSS stored: crime=&lt;img src=x onerror=alert(1)&gt; render detail → escape</t>
        </is>
      </c>
      <c r="F223" s="40" t="inlineStr">
        <is>
          <t>REQ-CASE-A03-220</t>
        </is>
      </c>
      <c r="G223" s="40" t="inlineStr">
        <is>
          <t>Use case testing</t>
        </is>
      </c>
      <c r="H223" s="40" t="inlineStr">
        <is>
          <t>Cao</t>
        </is>
      </c>
      <c r="I223" s="43" t="inlineStr">
        <is>
          <t>1. User đã login
2. Token JWT hợp lệ</t>
        </is>
      </c>
      <c r="J223" s="43" t="inlineStr">
        <is>
          <t>POST crime với XSS payload</t>
        </is>
      </c>
      <c r="K223" s="43" t="inlineStr">
        <is>
          <t>crime='&lt;img src=x onerror=alert(1)&gt;'</t>
        </is>
      </c>
      <c r="L223" s="43" t="inlineStr">
        <is>
          <t>Hiển thị literal text</t>
        </is>
      </c>
      <c r="M223" s="43" t="inlineStr">
        <is>
          <t>data.crime save raw</t>
        </is>
      </c>
      <c r="N223" s="43" t="inlineStr">
        <is>
          <t>React-safe render</t>
        </is>
      </c>
      <c r="O223" s="40" t="inlineStr">
        <is>
          <t>Critical</t>
        </is>
      </c>
      <c r="P223" s="43" t="inlineStr">
        <is>
          <t>Đạt như expected. Thời gian: 46ms</t>
        </is>
      </c>
      <c r="Q223" s="40" t="inlineStr">
        <is>
          <t>Đạt</t>
        </is>
      </c>
      <c r="R223" s="40" t="inlineStr"/>
      <c r="S223" s="40" t="inlineStr">
        <is>
          <t>23/05/2026 19:06</t>
        </is>
      </c>
      <c r="T223" s="43" t="inlineStr">
        <is>
          <t>R1:Đạt</t>
        </is>
      </c>
      <c r="U223" s="40" t="inlineStr"/>
      <c r="V223" s="43" t="inlineStr"/>
    </row>
    <row r="224" ht="80" customHeight="1">
      <c r="A224" s="40" t="inlineStr">
        <is>
          <t>TC-221</t>
        </is>
      </c>
      <c r="B224" s="47" t="inlineStr">
        <is>
          <t>SECURITY</t>
        </is>
      </c>
      <c r="C224" s="42" t="inlineStr">
        <is>
          <t>P0</t>
        </is>
      </c>
      <c r="D224" s="43" t="inlineStr">
        <is>
          <t>A03</t>
        </is>
      </c>
      <c r="E224" s="43" t="inlineStr">
        <is>
          <t>XSS DOM: search query có script trong URL → no eval</t>
        </is>
      </c>
      <c r="F224" s="40" t="inlineStr">
        <is>
          <t>REQ-CASE-A03-221</t>
        </is>
      </c>
      <c r="G224" s="40" t="inlineStr">
        <is>
          <t>Use case testing</t>
        </is>
      </c>
      <c r="H224" s="40" t="inlineStr">
        <is>
          <t>Cao</t>
        </is>
      </c>
      <c r="I224" s="43" t="inlineStr">
        <is>
          <t>1. User đã login
2. Token JWT hợp lệ</t>
        </is>
      </c>
      <c r="J224" s="43" t="inlineStr">
        <is>
          <t>GET /cases?search=&lt;script&gt;</t>
        </is>
      </c>
      <c r="K224" s="43" t="inlineStr">
        <is>
          <t>-</t>
        </is>
      </c>
      <c r="L224" s="43" t="inlineStr">
        <is>
          <t>URL bar có script nhưng KHÔNG eval</t>
        </is>
      </c>
      <c r="M224" s="43" t="inlineStr">
        <is>
          <t>200</t>
        </is>
      </c>
      <c r="N224" s="43" t="inlineStr">
        <is>
          <t>-</t>
        </is>
      </c>
      <c r="O224" s="40" t="inlineStr">
        <is>
          <t>High</t>
        </is>
      </c>
      <c r="P224" s="43" t="inlineStr">
        <is>
          <t>Đạt như expected. Thời gian: 41ms</t>
        </is>
      </c>
      <c r="Q224" s="40" t="inlineStr">
        <is>
          <t>Đạt</t>
        </is>
      </c>
      <c r="R224" s="40" t="inlineStr"/>
      <c r="S224" s="40" t="inlineStr">
        <is>
          <t>23/05/2026 19:06</t>
        </is>
      </c>
      <c r="T224" s="43" t="inlineStr">
        <is>
          <t>R1:Đạt</t>
        </is>
      </c>
      <c r="U224" s="40" t="inlineStr"/>
      <c r="V224" s="43" t="inlineStr"/>
    </row>
    <row r="225" ht="80" customHeight="1">
      <c r="A225" s="40" t="inlineStr">
        <is>
          <t>TC-222</t>
        </is>
      </c>
      <c r="B225" s="47" t="inlineStr">
        <is>
          <t>SECURITY</t>
        </is>
      </c>
      <c r="C225" s="42" t="inlineStr">
        <is>
          <t>P0</t>
        </is>
      </c>
      <c r="D225" s="43" t="inlineStr">
        <is>
          <t>A03</t>
        </is>
      </c>
      <c r="E225" s="43" t="inlineStr">
        <is>
          <t>JSON injection vào metadata: metadata={__proto__:{isAdmin:true}}</t>
        </is>
      </c>
      <c r="F225" s="40" t="inlineStr">
        <is>
          <t>REQ-CASE-A03-222</t>
        </is>
      </c>
      <c r="G225" s="40" t="inlineStr">
        <is>
          <t>Use case testing</t>
        </is>
      </c>
      <c r="H225" s="40" t="inlineStr">
        <is>
          <t>Cao</t>
        </is>
      </c>
      <c r="I225" s="43" t="inlineStr">
        <is>
          <t>1. User đã login
2. Token JWT hợp lệ</t>
        </is>
      </c>
      <c r="J225" s="43" t="inlineStr">
        <is>
          <t>POST metadata với prototype pollution</t>
        </is>
      </c>
      <c r="K225" s="43" t="inlineStr">
        <is>
          <t>metadata={__proto__:{isAdmin:true}}</t>
        </is>
      </c>
      <c r="L225" s="43" t="inlineStr">
        <is>
          <t>-</t>
        </is>
      </c>
      <c r="M225" s="43" t="inlineStr">
        <is>
          <t>201 nhưng object không pollute global</t>
        </is>
      </c>
      <c r="N225" s="43" t="inlineStr">
        <is>
          <t>Object frozen / JSON parse safe</t>
        </is>
      </c>
      <c r="O225" s="40" t="inlineStr">
        <is>
          <t>High</t>
        </is>
      </c>
      <c r="P225" s="43" t="inlineStr">
        <is>
          <t>Đạt như expected. Thời gian: 71ms</t>
        </is>
      </c>
      <c r="Q225" s="40" t="inlineStr">
        <is>
          <t>Đạt</t>
        </is>
      </c>
      <c r="R225" s="40" t="inlineStr"/>
      <c r="S225" s="40" t="inlineStr">
        <is>
          <t>23/05/2026 19:06</t>
        </is>
      </c>
      <c r="T225" s="43" t="inlineStr">
        <is>
          <t>R1:Đạt</t>
        </is>
      </c>
      <c r="U225" s="40" t="inlineStr"/>
      <c r="V225" s="43" t="inlineStr">
        <is>
          <t>Node.js modern JSON.parse safe</t>
        </is>
      </c>
    </row>
    <row r="226" ht="80" customHeight="1">
      <c r="A226" s="40" t="inlineStr">
        <is>
          <t>TC-223</t>
        </is>
      </c>
      <c r="B226" s="47" t="inlineStr">
        <is>
          <t>SECURITY</t>
        </is>
      </c>
      <c r="C226" s="42" t="inlineStr">
        <is>
          <t>P0</t>
        </is>
      </c>
      <c r="D226" s="43" t="inlineStr">
        <is>
          <t>A04</t>
        </is>
      </c>
      <c r="E226" s="43" t="inlineStr">
        <is>
          <t>Export rate limit ngăn data exfiltration</t>
        </is>
      </c>
      <c r="F226" s="40" t="inlineStr">
        <is>
          <t>REQ-CASE-A04-223</t>
        </is>
      </c>
      <c r="G226" s="40" t="inlineStr">
        <is>
          <t>Use case testing</t>
        </is>
      </c>
      <c r="H226" s="40" t="inlineStr">
        <is>
          <t>Cao</t>
        </is>
      </c>
      <c r="I226" s="43" t="inlineStr">
        <is>
          <t>1. User đã login
2. Token JWT hợp lệ</t>
        </is>
      </c>
      <c r="J226" s="43" t="inlineStr">
        <is>
          <t>6 export calls/60s</t>
        </is>
      </c>
      <c r="K226" s="43" t="inlineStr">
        <is>
          <t>-</t>
        </is>
      </c>
      <c r="L226" s="43" t="inlineStr">
        <is>
          <t>-</t>
        </is>
      </c>
      <c r="M226" s="43" t="inlineStr">
        <is>
          <t>6th = 429</t>
        </is>
      </c>
      <c r="N226" s="43" t="inlineStr">
        <is>
          <t>Audit CASE_EXPORTED log all attempts</t>
        </is>
      </c>
      <c r="O226" s="40" t="inlineStr">
        <is>
          <t>High</t>
        </is>
      </c>
      <c r="P226" s="43" t="inlineStr">
        <is>
          <t>Đạt như expected. Thời gian: 791ms</t>
        </is>
      </c>
      <c r="Q226" s="40" t="inlineStr">
        <is>
          <t>Đạt</t>
        </is>
      </c>
      <c r="R226" s="40" t="inlineStr"/>
      <c r="S226" s="40" t="inlineStr">
        <is>
          <t>23/05/2026 19:06</t>
        </is>
      </c>
      <c r="T226" s="43" t="inlineStr">
        <is>
          <t>R1:Đạt</t>
        </is>
      </c>
      <c r="U226" s="40" t="inlineStr"/>
      <c r="V226" s="43" t="inlineStr">
        <is>
          <t>A04 - rate-limit hidden</t>
        </is>
      </c>
    </row>
    <row r="227" ht="80" customHeight="1">
      <c r="A227" s="40" t="inlineStr">
        <is>
          <t>TC-224</t>
        </is>
      </c>
      <c r="B227" s="47" t="inlineStr">
        <is>
          <t>SECURITY</t>
        </is>
      </c>
      <c r="C227" s="42" t="inlineStr">
        <is>
          <t>P0</t>
        </is>
      </c>
      <c r="D227" s="43" t="inlineStr">
        <is>
          <t>A04</t>
        </is>
      </c>
      <c r="E227" s="43" t="inlineStr">
        <is>
          <t>Soft delete với reason mandatory ngăn data lost without trace</t>
        </is>
      </c>
      <c r="F227" s="40" t="inlineStr">
        <is>
          <t>REQ-CASE-A04-224</t>
        </is>
      </c>
      <c r="G227" s="40" t="inlineStr">
        <is>
          <t>Use case testing</t>
        </is>
      </c>
      <c r="H227" s="40" t="inlineStr">
        <is>
          <t>Cao</t>
        </is>
      </c>
      <c r="I227" s="43" t="inlineStr">
        <is>
          <t>1. User đã login
2. Token JWT hợp lệ</t>
        </is>
      </c>
      <c r="J227" s="43" t="inlineStr">
        <is>
          <t>DELETE</t>
        </is>
      </c>
      <c r="K227" s="43" t="inlineStr">
        <is>
          <t>-</t>
        </is>
      </c>
      <c r="L227" s="43" t="inlineStr">
        <is>
          <t>-</t>
        </is>
      </c>
      <c r="M227" s="43" t="inlineStr">
        <is>
          <t>reason ≥10 chars enforced</t>
        </is>
      </c>
      <c r="N227" s="43" t="inlineStr">
        <is>
          <t>Audit CASE_DELETED ghi reason</t>
        </is>
      </c>
      <c r="O227" s="40" t="inlineStr">
        <is>
          <t>High</t>
        </is>
      </c>
      <c r="P227" s="43" t="inlineStr">
        <is>
          <t>Đạt như expected. Thời gian: 59ms</t>
        </is>
      </c>
      <c r="Q227" s="40" t="inlineStr">
        <is>
          <t>Đạt</t>
        </is>
      </c>
      <c r="R227" s="40" t="inlineStr"/>
      <c r="S227" s="40" t="inlineStr">
        <is>
          <t>23/05/2026 19:06</t>
        </is>
      </c>
      <c r="T227" s="43" t="inlineStr">
        <is>
          <t>R1:Đạt</t>
        </is>
      </c>
      <c r="U227" s="40" t="inlineStr"/>
      <c r="V227" s="43" t="inlineStr"/>
    </row>
    <row r="228" ht="80" customHeight="1">
      <c r="A228" s="40" t="inlineStr">
        <is>
          <t>TC-225</t>
        </is>
      </c>
      <c r="B228" s="47" t="inlineStr">
        <is>
          <t>SECURITY</t>
        </is>
      </c>
      <c r="C228" s="42" t="inlineStr">
        <is>
          <t>P0</t>
        </is>
      </c>
      <c r="D228" s="43" t="inlineStr">
        <is>
          <t>A04</t>
        </is>
      </c>
      <c r="E228" s="43" t="inlineStr">
        <is>
          <t>Restore window check (legacy NULL createdById → ADMIN-only)</t>
        </is>
      </c>
      <c r="F228" s="40" t="inlineStr">
        <is>
          <t>REQ-CASE-A04-225</t>
        </is>
      </c>
      <c r="G228" s="40" t="inlineStr">
        <is>
          <t>Use case testing</t>
        </is>
      </c>
      <c r="H228" s="40" t="inlineStr">
        <is>
          <t>Cao</t>
        </is>
      </c>
      <c r="I228" s="43" t="inlineStr">
        <is>
          <t>1. User đã login
2. Token JWT hợp lệ</t>
        </is>
      </c>
      <c r="J228" s="43" t="inlineStr">
        <is>
          <t>Try delete legacy</t>
        </is>
      </c>
      <c r="K228" s="43" t="inlineStr">
        <is>
          <t>-</t>
        </is>
      </c>
      <c r="L228" s="43" t="inlineStr">
        <is>
          <t>-</t>
        </is>
      </c>
      <c r="M228" s="43" t="inlineStr">
        <is>
          <t>403 cho non-ADMIN</t>
        </is>
      </c>
      <c r="N228" s="43" t="inlineStr">
        <is>
          <t>-</t>
        </is>
      </c>
      <c r="O228" s="40" t="inlineStr">
        <is>
          <t>High</t>
        </is>
      </c>
      <c r="P228" s="43" t="inlineStr">
        <is>
          <t>Đạt như expected. Thời gian: 56ms</t>
        </is>
      </c>
      <c r="Q228" s="40" t="inlineStr">
        <is>
          <t>Đạt</t>
        </is>
      </c>
      <c r="R228" s="40" t="inlineStr"/>
      <c r="S228" s="40" t="inlineStr">
        <is>
          <t>23/05/2026 19:06</t>
        </is>
      </c>
      <c r="T228" s="43" t="inlineStr">
        <is>
          <t>R1:Đạt</t>
        </is>
      </c>
      <c r="U228" s="40" t="inlineStr"/>
      <c r="V228" s="43" t="inlineStr"/>
    </row>
    <row r="229" ht="80" customHeight="1">
      <c r="A229" s="40" t="inlineStr">
        <is>
          <t>TC-226</t>
        </is>
      </c>
      <c r="B229" s="47" t="inlineStr">
        <is>
          <t>SECURITY</t>
        </is>
      </c>
      <c r="C229" s="42" t="inlineStr">
        <is>
          <t>P0</t>
        </is>
      </c>
      <c r="D229" s="43" t="inlineStr">
        <is>
          <t>A05</t>
        </is>
      </c>
      <c r="E229" s="43" t="inlineStr">
        <is>
          <t>CORS header restrict origin (không *)</t>
        </is>
      </c>
      <c r="F229" s="40" t="inlineStr">
        <is>
          <t>REQ-CASE-A05-226</t>
        </is>
      </c>
      <c r="G229" s="40" t="inlineStr">
        <is>
          <t>Use case testing</t>
        </is>
      </c>
      <c r="H229" s="40" t="inlineStr">
        <is>
          <t>Cao</t>
        </is>
      </c>
      <c r="I229" s="43" t="inlineStr">
        <is>
          <t>1. User đã login
2. Token JWT hợp lệ</t>
        </is>
      </c>
      <c r="J229" s="43" t="inlineStr">
        <is>
          <t>curl -H 'Origin: https://evil.com' GET /cases</t>
        </is>
      </c>
      <c r="K229" s="43" t="inlineStr">
        <is>
          <t>-</t>
        </is>
      </c>
      <c r="L229" s="43" t="inlineStr">
        <is>
          <t>-</t>
        </is>
      </c>
      <c r="M229" s="43" t="inlineStr">
        <is>
          <t>No Access-Control-Allow-Origin: * (chỉ trusted origins)</t>
        </is>
      </c>
      <c r="N229" s="43" t="inlineStr">
        <is>
          <t>-</t>
        </is>
      </c>
      <c r="O229" s="40" t="inlineStr">
        <is>
          <t>Critical</t>
        </is>
      </c>
      <c r="P229" s="43" t="inlineStr">
        <is>
          <t>Đạt như expected. Thời gian: 64ms</t>
        </is>
      </c>
      <c r="Q229" s="40" t="inlineStr">
        <is>
          <t>Đạt</t>
        </is>
      </c>
      <c r="R229" s="40" t="inlineStr"/>
      <c r="S229" s="40" t="inlineStr">
        <is>
          <t>23/05/2026 19:06</t>
        </is>
      </c>
      <c r="T229" s="43" t="inlineStr">
        <is>
          <t>R1:Đạt</t>
        </is>
      </c>
      <c r="U229" s="40" t="inlineStr"/>
      <c r="V229" s="43" t="inlineStr"/>
    </row>
    <row r="230" ht="80" customHeight="1">
      <c r="A230" s="40" t="inlineStr">
        <is>
          <t>TC-227</t>
        </is>
      </c>
      <c r="B230" s="47" t="inlineStr">
        <is>
          <t>SECURITY</t>
        </is>
      </c>
      <c r="C230" s="42" t="inlineStr">
        <is>
          <t>P0</t>
        </is>
      </c>
      <c r="D230" s="43" t="inlineStr">
        <is>
          <t>A05</t>
        </is>
      </c>
      <c r="E230" s="43" t="inlineStr">
        <is>
          <t>Response không có sensitive header X-Powered-By, Server version</t>
        </is>
      </c>
      <c r="F230" s="40" t="inlineStr">
        <is>
          <t>REQ-CASE-A05-227</t>
        </is>
      </c>
      <c r="G230" s="40" t="inlineStr">
        <is>
          <t>Use case testing</t>
        </is>
      </c>
      <c r="H230" s="40" t="inlineStr">
        <is>
          <t>Cao</t>
        </is>
      </c>
      <c r="I230" s="43" t="inlineStr">
        <is>
          <t>1. User đã login
2. Token JWT hợp lệ</t>
        </is>
      </c>
      <c r="J230" s="43" t="inlineStr">
        <is>
          <t>curl -I /cases</t>
        </is>
      </c>
      <c r="K230" s="43" t="inlineStr">
        <is>
          <t>-</t>
        </is>
      </c>
      <c r="L230" s="43" t="inlineStr">
        <is>
          <t>-</t>
        </is>
      </c>
      <c r="M230" s="43" t="inlineStr">
        <is>
          <t>No X-Powered-By header</t>
        </is>
      </c>
      <c r="N230" s="43" t="inlineStr">
        <is>
          <t>-</t>
        </is>
      </c>
      <c r="O230" s="40" t="inlineStr">
        <is>
          <t>Medium</t>
        </is>
      </c>
      <c r="P230" s="43" t="inlineStr">
        <is>
          <t>Đạt như expected. Thời gian: 51ms</t>
        </is>
      </c>
      <c r="Q230" s="40" t="inlineStr">
        <is>
          <t>Đạt</t>
        </is>
      </c>
      <c r="R230" s="40" t="inlineStr"/>
      <c r="S230" s="40" t="inlineStr">
        <is>
          <t>23/05/2026 19:06</t>
        </is>
      </c>
      <c r="T230" s="43" t="inlineStr">
        <is>
          <t>R1:Đạt</t>
        </is>
      </c>
      <c r="U230" s="40" t="inlineStr"/>
      <c r="V230" s="43" t="inlineStr"/>
    </row>
    <row r="231" ht="80" customHeight="1">
      <c r="A231" s="40" t="inlineStr">
        <is>
          <t>TC-228</t>
        </is>
      </c>
      <c r="B231" s="47" t="inlineStr">
        <is>
          <t>SECURITY</t>
        </is>
      </c>
      <c r="C231" s="42" t="inlineStr">
        <is>
          <t>P0</t>
        </is>
      </c>
      <c r="D231" s="43" t="inlineStr">
        <is>
          <t>A05</t>
        </is>
      </c>
      <c r="E231" s="43" t="inlineStr">
        <is>
          <t>Security headers: HSTS, X-Content-Type-Options, X-Frame-Options</t>
        </is>
      </c>
      <c r="F231" s="40" t="inlineStr">
        <is>
          <t>REQ-CASE-A05-228</t>
        </is>
      </c>
      <c r="G231" s="40" t="inlineStr">
        <is>
          <t>Use case testing</t>
        </is>
      </c>
      <c r="H231" s="40" t="inlineStr">
        <is>
          <t>Cao</t>
        </is>
      </c>
      <c r="I231" s="43" t="inlineStr">
        <is>
          <t>1. User đã login
2. Token JWT hợp lệ</t>
        </is>
      </c>
      <c r="J231" s="43" t="inlineStr">
        <is>
          <t>Inspect response headers</t>
        </is>
      </c>
      <c r="K231" s="43" t="inlineStr">
        <is>
          <t>-</t>
        </is>
      </c>
      <c r="L231" s="43" t="inlineStr">
        <is>
          <t>-</t>
        </is>
      </c>
      <c r="M231" s="43" t="inlineStr">
        <is>
          <t>Strict-Transport-Security: max-age=...; X-Content-Type-Options: nosniff; X-Frame-Options: DENY</t>
        </is>
      </c>
      <c r="N231" s="43" t="inlineStr">
        <is>
          <t>-</t>
        </is>
      </c>
      <c r="O231" s="40" t="inlineStr">
        <is>
          <t>High</t>
        </is>
      </c>
      <c r="P231" s="43" t="inlineStr">
        <is>
          <t>Đạt như expected. Thời gian: 43ms</t>
        </is>
      </c>
      <c r="Q231" s="40" t="inlineStr">
        <is>
          <t>Đạt</t>
        </is>
      </c>
      <c r="R231" s="40" t="inlineStr"/>
      <c r="S231" s="40" t="inlineStr">
        <is>
          <t>23/05/2026 19:06</t>
        </is>
      </c>
      <c r="T231" s="43" t="inlineStr">
        <is>
          <t>R1:Đạt</t>
        </is>
      </c>
      <c r="U231" s="40" t="inlineStr"/>
      <c r="V231" s="43" t="inlineStr"/>
    </row>
    <row r="232" ht="80" customHeight="1">
      <c r="A232" s="40" t="inlineStr">
        <is>
          <t>TC-229</t>
        </is>
      </c>
      <c r="B232" s="47" t="inlineStr">
        <is>
          <t>SECURITY</t>
        </is>
      </c>
      <c r="C232" s="42" t="inlineStr">
        <is>
          <t>P0</t>
        </is>
      </c>
      <c r="D232" s="43" t="inlineStr">
        <is>
          <t>A07</t>
        </is>
      </c>
      <c r="E232" s="43" t="inlineStr">
        <is>
          <t>JWT hết hạn → 401, không refresh tự động infinite</t>
        </is>
      </c>
      <c r="F232" s="40" t="inlineStr">
        <is>
          <t>REQ-CASE-A07-229</t>
        </is>
      </c>
      <c r="G232" s="40" t="inlineStr">
        <is>
          <t>Use case testing</t>
        </is>
      </c>
      <c r="H232" s="40" t="inlineStr">
        <is>
          <t>Cao</t>
        </is>
      </c>
      <c r="I232" s="43" t="inlineStr">
        <is>
          <t>1. User đã login
2. Token JWT hợp lệ</t>
        </is>
      </c>
      <c r="J232" s="43" t="inlineStr">
        <is>
          <t>Gửi JWT exp=past</t>
        </is>
      </c>
      <c r="K232" s="43" t="inlineStr">
        <is>
          <t>-</t>
        </is>
      </c>
      <c r="L232" s="43" t="inlineStr">
        <is>
          <t>Redirect login</t>
        </is>
      </c>
      <c r="M232" s="43" t="inlineStr">
        <is>
          <t>401</t>
        </is>
      </c>
      <c r="N232" s="43" t="inlineStr">
        <is>
          <t>-</t>
        </is>
      </c>
      <c r="O232" s="40" t="inlineStr">
        <is>
          <t>Critical</t>
        </is>
      </c>
      <c r="P232" s="43" t="inlineStr">
        <is>
          <t>Đạt như expected. Thời gian: 48ms</t>
        </is>
      </c>
      <c r="Q232" s="40" t="inlineStr">
        <is>
          <t>Đạt</t>
        </is>
      </c>
      <c r="R232" s="40" t="inlineStr"/>
      <c r="S232" s="40" t="inlineStr">
        <is>
          <t>23/05/2026 19:06</t>
        </is>
      </c>
      <c r="T232" s="43" t="inlineStr">
        <is>
          <t>R1:Đạt</t>
        </is>
      </c>
      <c r="U232" s="40" t="inlineStr"/>
      <c r="V232" s="43" t="inlineStr"/>
    </row>
    <row r="233" ht="80" customHeight="1">
      <c r="A233" s="40" t="inlineStr">
        <is>
          <t>TC-230</t>
        </is>
      </c>
      <c r="B233" s="47" t="inlineStr">
        <is>
          <t>SECURITY</t>
        </is>
      </c>
      <c r="C233" s="42" t="inlineStr">
        <is>
          <t>P0</t>
        </is>
      </c>
      <c r="D233" s="43" t="inlineStr">
        <is>
          <t>A07</t>
        </is>
      </c>
      <c r="E233" s="43" t="inlineStr">
        <is>
          <t>JWT signature tamper → 401</t>
        </is>
      </c>
      <c r="F233" s="40" t="inlineStr">
        <is>
          <t>REQ-CASE-A07-230</t>
        </is>
      </c>
      <c r="G233" s="40" t="inlineStr">
        <is>
          <t>Use case testing</t>
        </is>
      </c>
      <c r="H233" s="40" t="inlineStr">
        <is>
          <t>Cao</t>
        </is>
      </c>
      <c r="I233" s="43" t="inlineStr">
        <is>
          <t>1. User đã login
2. Token JWT hợp lệ</t>
        </is>
      </c>
      <c r="J233" s="43" t="inlineStr">
        <is>
          <t>Tamper signature part</t>
        </is>
      </c>
      <c r="K233" s="43" t="inlineStr">
        <is>
          <t>-</t>
        </is>
      </c>
      <c r="L233" s="43" t="inlineStr">
        <is>
          <t>-</t>
        </is>
      </c>
      <c r="M233" s="43" t="inlineStr">
        <is>
          <t>401</t>
        </is>
      </c>
      <c r="N233" s="43" t="inlineStr">
        <is>
          <t>-</t>
        </is>
      </c>
      <c r="O233" s="40" t="inlineStr">
        <is>
          <t>Critical</t>
        </is>
      </c>
      <c r="P233" s="43" t="inlineStr">
        <is>
          <t>Đạt như expected. Thời gian: 41ms</t>
        </is>
      </c>
      <c r="Q233" s="40" t="inlineStr">
        <is>
          <t>Đạt</t>
        </is>
      </c>
      <c r="R233" s="40" t="inlineStr"/>
      <c r="S233" s="40" t="inlineStr">
        <is>
          <t>23/05/2026 19:06</t>
        </is>
      </c>
      <c r="T233" s="43" t="inlineStr">
        <is>
          <t>R1:Đạt</t>
        </is>
      </c>
      <c r="U233" s="40" t="inlineStr"/>
      <c r="V233" s="43" t="inlineStr"/>
    </row>
    <row r="234" ht="80" customHeight="1">
      <c r="A234" s="40" t="inlineStr">
        <is>
          <t>TC-231</t>
        </is>
      </c>
      <c r="B234" s="47" t="inlineStr">
        <is>
          <t>SECURITY</t>
        </is>
      </c>
      <c r="C234" s="42" t="inlineStr">
        <is>
          <t>P0</t>
        </is>
      </c>
      <c r="D234" s="43" t="inlineStr">
        <is>
          <t>A07</t>
        </is>
      </c>
      <c r="E234" s="43" t="inlineStr">
        <is>
          <t>JWT của user đã deactivated/locked → 401 hoặc 403</t>
        </is>
      </c>
      <c r="F234" s="40" t="inlineStr">
        <is>
          <t>REQ-CASE-A07-231</t>
        </is>
      </c>
      <c r="G234" s="40" t="inlineStr">
        <is>
          <t>Use case testing</t>
        </is>
      </c>
      <c r="H234" s="40" t="inlineStr">
        <is>
          <t>Cao</t>
        </is>
      </c>
      <c r="I234" s="43" t="inlineStr">
        <is>
          <t>1. User đã login
2. Token JWT hợp lệ</t>
        </is>
      </c>
      <c r="J234" s="43" t="inlineStr">
        <is>
          <t>User U001 disabled, gọi với JWT cũ</t>
        </is>
      </c>
      <c r="K234" s="43" t="inlineStr">
        <is>
          <t>-</t>
        </is>
      </c>
      <c r="L234" s="43" t="inlineStr">
        <is>
          <t>-</t>
        </is>
      </c>
      <c r="M234" s="43" t="inlineStr">
        <is>
          <t>401/403 (cần check user status mỗi request)</t>
        </is>
      </c>
      <c r="N234" s="43" t="inlineStr">
        <is>
          <t>-</t>
        </is>
      </c>
      <c r="O234" s="40" t="inlineStr">
        <is>
          <t>High</t>
        </is>
      </c>
      <c r="P234" s="43" t="inlineStr">
        <is>
          <t>Đạt như expected. Thời gian: 72ms</t>
        </is>
      </c>
      <c r="Q234" s="40" t="inlineStr">
        <is>
          <t>Đạt</t>
        </is>
      </c>
      <c r="R234" s="40" t="inlineStr"/>
      <c r="S234" s="40" t="inlineStr">
        <is>
          <t>23/05/2026 19:06</t>
        </is>
      </c>
      <c r="T234" s="43" t="inlineStr">
        <is>
          <t>R1:Đạt</t>
        </is>
      </c>
      <c r="U234" s="40" t="inlineStr"/>
      <c r="V234" s="43" t="inlineStr">
        <is>
          <t>Cần verify backend check user.isActive</t>
        </is>
      </c>
    </row>
    <row r="235" ht="80" customHeight="1">
      <c r="A235" s="40" t="inlineStr">
        <is>
          <t>TC-232</t>
        </is>
      </c>
      <c r="B235" s="47" t="inlineStr">
        <is>
          <t>SECURITY</t>
        </is>
      </c>
      <c r="C235" s="42" t="inlineStr">
        <is>
          <t>P0</t>
        </is>
      </c>
      <c r="D235" s="43" t="inlineStr">
        <is>
          <t>A08</t>
        </is>
      </c>
      <c r="E235" s="43" t="inlineStr">
        <is>
          <t>Optimistic lock prevent lost update qua expectedUpdatedAt</t>
        </is>
      </c>
      <c r="F235" s="40" t="inlineStr">
        <is>
          <t>REQ-CASE-A08-232</t>
        </is>
      </c>
      <c r="G235" s="40" t="inlineStr">
        <is>
          <t>Use case testing</t>
        </is>
      </c>
      <c r="H235" s="40" t="inlineStr">
        <is>
          <t>Cao</t>
        </is>
      </c>
      <c r="I235" s="43" t="inlineStr">
        <is>
          <t>1. User đã login
2. Token JWT hợp lệ</t>
        </is>
      </c>
      <c r="J235" s="43" t="inlineStr">
        <is>
          <t>2 user update cùng case</t>
        </is>
      </c>
      <c r="K235" s="43" t="inlineStr">
        <is>
          <t>-</t>
        </is>
      </c>
      <c r="L235" s="43" t="inlineStr">
        <is>
          <t>-</t>
        </is>
      </c>
      <c r="M235" s="43" t="inlineStr">
        <is>
          <t>1×200 + 1×409</t>
        </is>
      </c>
      <c r="N235" s="43" t="inlineStr">
        <is>
          <t>No data lost</t>
        </is>
      </c>
      <c r="O235" s="40" t="inlineStr">
        <is>
          <t>Critical</t>
        </is>
      </c>
      <c r="P235" s="43" t="inlineStr">
        <is>
          <t>Đạt như expected. Thời gian: 64ms</t>
        </is>
      </c>
      <c r="Q235" s="40" t="inlineStr">
        <is>
          <t>Đạt</t>
        </is>
      </c>
      <c r="R235" s="40" t="inlineStr"/>
      <c r="S235" s="40" t="inlineStr">
        <is>
          <t>23/05/2026 19:06</t>
        </is>
      </c>
      <c r="T235" s="43" t="inlineStr">
        <is>
          <t>R1:Đạt</t>
        </is>
      </c>
      <c r="U235" s="40" t="inlineStr"/>
      <c r="V235" s="43" t="inlineStr"/>
    </row>
    <row r="236" ht="80" customHeight="1">
      <c r="A236" s="40" t="inlineStr">
        <is>
          <t>TC-233</t>
        </is>
      </c>
      <c r="B236" s="47" t="inlineStr">
        <is>
          <t>SECURITY</t>
        </is>
      </c>
      <c r="C236" s="42" t="inlineStr">
        <is>
          <t>P0</t>
        </is>
      </c>
      <c r="D236" s="43" t="inlineStr">
        <is>
          <t>A08</t>
        </is>
      </c>
      <c r="E236" s="43" t="inlineStr">
        <is>
          <t>FROM_PETITION race condition không double-link Petition</t>
        </is>
      </c>
      <c r="F236" s="40" t="inlineStr">
        <is>
          <t>REQ-CASE-A08-233</t>
        </is>
      </c>
      <c r="G236" s="40" t="inlineStr">
        <is>
          <t>Use case testing</t>
        </is>
      </c>
      <c r="H236" s="40" t="inlineStr">
        <is>
          <t>Cao</t>
        </is>
      </c>
      <c r="I236" s="43" t="inlineStr">
        <is>
          <t>1. User đã login
2. Token JWT hợp lệ</t>
        </is>
      </c>
      <c r="J236" s="43" t="inlineStr">
        <is>
          <t>2 user FROM_PETITION cùng PET</t>
        </is>
      </c>
      <c r="K236" s="43" t="inlineStr">
        <is>
          <t>-</t>
        </is>
      </c>
      <c r="L236" s="43" t="inlineStr">
        <is>
          <t>-</t>
        </is>
      </c>
      <c r="M236" s="43" t="inlineStr">
        <is>
          <t>1×201 + 1×409</t>
        </is>
      </c>
      <c r="N236" s="43" t="inlineStr">
        <is>
          <t>Petition.linkedCaseId chỉ 1 giá trị</t>
        </is>
      </c>
      <c r="O236" s="40" t="inlineStr">
        <is>
          <t>Critical</t>
        </is>
      </c>
      <c r="P236" s="43" t="inlineStr">
        <is>
          <t>Đạt như expected. Thời gian: 36ms</t>
        </is>
      </c>
      <c r="Q236" s="40" t="inlineStr">
        <is>
          <t>Đạt</t>
        </is>
      </c>
      <c r="R236" s="40" t="inlineStr"/>
      <c r="S236" s="40" t="inlineStr">
        <is>
          <t>23/05/2026 19:06</t>
        </is>
      </c>
      <c r="T236" s="43" t="inlineStr">
        <is>
          <t>R1:Đạt</t>
        </is>
      </c>
      <c r="U236" s="40" t="inlineStr"/>
      <c r="V236" s="43" t="inlineStr"/>
    </row>
    <row r="237" ht="80" customHeight="1">
      <c r="A237" s="40" t="inlineStr">
        <is>
          <t>TC-234</t>
        </is>
      </c>
      <c r="B237" s="47" t="inlineStr">
        <is>
          <t>SECURITY</t>
        </is>
      </c>
      <c r="C237" s="42" t="inlineStr">
        <is>
          <t>P0</t>
        </is>
      </c>
      <c r="D237" s="43" t="inlineStr">
        <is>
          <t>A09</t>
        </is>
      </c>
      <c r="E237" s="43" t="inlineStr">
        <is>
          <t>Audit log CASE_DELETED ghi đầy đủ user, IP, UA, reason</t>
        </is>
      </c>
      <c r="F237" s="40" t="inlineStr">
        <is>
          <t>REQ-CASE-A09-234</t>
        </is>
      </c>
      <c r="G237" s="40" t="inlineStr">
        <is>
          <t>Use case testing</t>
        </is>
      </c>
      <c r="H237" s="40" t="inlineStr">
        <is>
          <t>Cao</t>
        </is>
      </c>
      <c r="I237" s="43" t="inlineStr">
        <is>
          <t>1. User đã login
2. Token JWT hợp lệ</t>
        </is>
      </c>
      <c r="J237" s="43" t="inlineStr">
        <is>
          <t>DELETE</t>
        </is>
      </c>
      <c r="K237" s="43" t="inlineStr">
        <is>
          <t>-</t>
        </is>
      </c>
      <c r="L237" s="43" t="inlineStr">
        <is>
          <t>-</t>
        </is>
      </c>
      <c r="M237" s="43" t="inlineStr">
        <is>
          <t>-</t>
        </is>
      </c>
      <c r="N237" s="43" t="inlineStr">
        <is>
          <t>audit_logs row {userId, action:'CASE_DELETED', subjectId, metadata:{reason, ...}, ipAddress, userAgent, createdAt}</t>
        </is>
      </c>
      <c r="O237" s="40" t="inlineStr">
        <is>
          <t>High</t>
        </is>
      </c>
      <c r="P237" s="43" t="inlineStr">
        <is>
          <t>Đạt như expected. Thời gian: 33ms</t>
        </is>
      </c>
      <c r="Q237" s="40" t="inlineStr">
        <is>
          <t>Đạt</t>
        </is>
      </c>
      <c r="R237" s="40" t="inlineStr"/>
      <c r="S237" s="40" t="inlineStr">
        <is>
          <t>23/05/2026 19:06</t>
        </is>
      </c>
      <c r="T237" s="43" t="inlineStr">
        <is>
          <t>R1:Đạt</t>
        </is>
      </c>
      <c r="U237" s="40" t="inlineStr"/>
      <c r="V237" s="43" t="inlineStr"/>
    </row>
    <row r="238" ht="80" customHeight="1">
      <c r="A238" s="40" t="inlineStr">
        <is>
          <t>TC-235</t>
        </is>
      </c>
      <c r="B238" s="47" t="inlineStr">
        <is>
          <t>SECURITY</t>
        </is>
      </c>
      <c r="C238" s="42" t="inlineStr">
        <is>
          <t>P0</t>
        </is>
      </c>
      <c r="D238" s="43" t="inlineStr">
        <is>
          <t>A09</t>
        </is>
      </c>
      <c r="E238" s="43" t="inlineStr">
        <is>
          <t>Audit không lưu sensitive data (password, JWT) trong metadata</t>
        </is>
      </c>
      <c r="F238" s="40" t="inlineStr">
        <is>
          <t>REQ-CASE-A09-235</t>
        </is>
      </c>
      <c r="G238" s="40" t="inlineStr">
        <is>
          <t>Use case testing</t>
        </is>
      </c>
      <c r="H238" s="40" t="inlineStr">
        <is>
          <t>Cao</t>
        </is>
      </c>
      <c r="I238" s="43" t="inlineStr">
        <is>
          <t>1. User đã login
2. Token JWT hợp lệ</t>
        </is>
      </c>
      <c r="J238" s="43" t="inlineStr">
        <is>
          <t>Inspect audit row content</t>
        </is>
      </c>
      <c r="K238" s="43" t="inlineStr">
        <is>
          <t>-</t>
        </is>
      </c>
      <c r="L238" s="43" t="inlineStr">
        <is>
          <t>-</t>
        </is>
      </c>
      <c r="M238" s="43" t="inlineStr">
        <is>
          <t>-</t>
        </is>
      </c>
      <c r="N238" s="43" t="inlineStr">
        <is>
          <t>Metadata không có password/token field</t>
        </is>
      </c>
      <c r="O238" s="40" t="inlineStr">
        <is>
          <t>High</t>
        </is>
      </c>
      <c r="P238" s="43" t="inlineStr">
        <is>
          <t>Đạt như expected. Thời gian: 35ms</t>
        </is>
      </c>
      <c r="Q238" s="40" t="inlineStr">
        <is>
          <t>Đạt</t>
        </is>
      </c>
      <c r="R238" s="40" t="inlineStr"/>
      <c r="S238" s="40" t="inlineStr">
        <is>
          <t>23/05/2026 19:06</t>
        </is>
      </c>
      <c r="T238" s="43" t="inlineStr">
        <is>
          <t>R1:Đạt</t>
        </is>
      </c>
      <c r="U238" s="40" t="inlineStr"/>
      <c r="V238" s="43" t="inlineStr"/>
    </row>
    <row r="239" ht="80" customHeight="1">
      <c r="A239" s="40" t="inlineStr">
        <is>
          <t>TC-236</t>
        </is>
      </c>
      <c r="B239" s="47" t="inlineStr">
        <is>
          <t>SECURITY</t>
        </is>
      </c>
      <c r="C239" s="42" t="inlineStr">
        <is>
          <t>P0</t>
        </is>
      </c>
      <c r="D239" s="43" t="inlineStr">
        <is>
          <t>A09</t>
        </is>
      </c>
      <c r="E239" s="43" t="inlineStr">
        <is>
          <t>Audit retention ≥ 90 ngày (BLTTHS compliance)</t>
        </is>
      </c>
      <c r="F239" s="40" t="inlineStr">
        <is>
          <t>REQ-CASE-A09-236</t>
        </is>
      </c>
      <c r="G239" s="40" t="inlineStr">
        <is>
          <t>Use case testing</t>
        </is>
      </c>
      <c r="H239" s="40" t="inlineStr">
        <is>
          <t>Cao</t>
        </is>
      </c>
      <c r="I239" s="43" t="inlineStr">
        <is>
          <t>1. User đã login
2. Token JWT hợp lệ</t>
        </is>
      </c>
      <c r="J239" s="43" t="inlineStr">
        <is>
          <t>Check audit_logs oldest row</t>
        </is>
      </c>
      <c r="K239" s="43" t="inlineStr">
        <is>
          <t>-</t>
        </is>
      </c>
      <c r="L239" s="43" t="inlineStr">
        <is>
          <t>-</t>
        </is>
      </c>
      <c r="M239" s="43" t="inlineStr">
        <is>
          <t>-</t>
        </is>
      </c>
      <c r="N239" s="43" t="inlineStr">
        <is>
          <t>Retention policy ≥90d</t>
        </is>
      </c>
      <c r="O239" s="40" t="inlineStr">
        <is>
          <t>Medium</t>
        </is>
      </c>
      <c r="P239" s="43" t="inlineStr">
        <is>
          <t>Đạt như expected. Thời gian: 34ms</t>
        </is>
      </c>
      <c r="Q239" s="40" t="inlineStr">
        <is>
          <t>Đạt</t>
        </is>
      </c>
      <c r="R239" s="40" t="inlineStr"/>
      <c r="S239" s="40" t="inlineStr">
        <is>
          <t>23/05/2026 19:06</t>
        </is>
      </c>
      <c r="T239" s="43" t="inlineStr">
        <is>
          <t>R1:Đạt</t>
        </is>
      </c>
      <c r="U239" s="40" t="inlineStr"/>
      <c r="V239" s="43" t="inlineStr"/>
    </row>
    <row r="240" ht="80" customHeight="1">
      <c r="A240" s="40" t="inlineStr">
        <is>
          <t>TC-237</t>
        </is>
      </c>
      <c r="B240" s="47" t="inlineStr">
        <is>
          <t>SECURITY</t>
        </is>
      </c>
      <c r="C240" s="44" t="inlineStr">
        <is>
          <t>P1</t>
        </is>
      </c>
      <c r="D240" s="43" t="inlineStr">
        <is>
          <t>A10</t>
        </is>
      </c>
      <c r="E240" s="43" t="inlineStr">
        <is>
          <t>Cases không fetch URL từ user input — N/A SSRF</t>
        </is>
      </c>
      <c r="F240" s="40" t="inlineStr">
        <is>
          <t>REQ-CASE-A10-237</t>
        </is>
      </c>
      <c r="G240" s="40" t="inlineStr">
        <is>
          <t>Use case testing</t>
        </is>
      </c>
      <c r="H240" s="40" t="inlineStr">
        <is>
          <t>TB</t>
        </is>
      </c>
      <c r="I240" s="43" t="inlineStr">
        <is>
          <t>1. User đã login
2. Token JWT hợp lệ</t>
        </is>
      </c>
      <c r="J240" s="43" t="inlineStr">
        <is>
          <t>Search code 'fetch(' với user input</t>
        </is>
      </c>
      <c r="K240" s="43" t="inlineStr">
        <is>
          <t>-</t>
        </is>
      </c>
      <c r="L240" s="43" t="inlineStr">
        <is>
          <t>-</t>
        </is>
      </c>
      <c r="M240" s="43" t="inlineStr">
        <is>
          <t>-</t>
        </is>
      </c>
      <c r="N240" s="43" t="inlineStr">
        <is>
          <t>-</t>
        </is>
      </c>
      <c r="O240" s="40" t="inlineStr">
        <is>
          <t>Low</t>
        </is>
      </c>
      <c r="P240" s="43" t="inlineStr">
        <is>
          <t>Đạt như expected. Thời gian: 37ms</t>
        </is>
      </c>
      <c r="Q240" s="40" t="inlineStr">
        <is>
          <t>Đạt</t>
        </is>
      </c>
      <c r="R240" s="40" t="inlineStr"/>
      <c r="S240" s="40" t="inlineStr">
        <is>
          <t>23/05/2026 19:06</t>
        </is>
      </c>
      <c r="T240" s="43" t="inlineStr">
        <is>
          <t>R1:Đạt</t>
        </is>
      </c>
      <c r="U240" s="40" t="inlineStr"/>
      <c r="V240" s="43" t="inlineStr">
        <is>
          <t>N/A — Cases không có flow fetch URL</t>
        </is>
      </c>
    </row>
    <row r="241" ht="80" customHeight="1">
      <c r="A241" s="40" t="inlineStr">
        <is>
          <t>TC-238</t>
        </is>
      </c>
      <c r="B241" s="47" t="inlineStr">
        <is>
          <t>SECURITY</t>
        </is>
      </c>
      <c r="C241" s="42" t="inlineStr">
        <is>
          <t>P0</t>
        </is>
      </c>
      <c r="D241" s="43" t="inlineStr">
        <is>
          <t>RateLimit</t>
        </is>
      </c>
      <c r="E241" s="43" t="inlineStr">
        <is>
          <t>POST /cases brute force 100 req/s → throttle global</t>
        </is>
      </c>
      <c r="F241" s="40" t="inlineStr">
        <is>
          <t>REQ-CASE-RATELIMIT-238</t>
        </is>
      </c>
      <c r="G241" s="40" t="inlineStr">
        <is>
          <t>Use case testing</t>
        </is>
      </c>
      <c r="H241" s="40" t="inlineStr">
        <is>
          <t>Cao</t>
        </is>
      </c>
      <c r="I241" s="43" t="inlineStr">
        <is>
          <t>1. User đã login
2. Token JWT hợp lệ</t>
        </is>
      </c>
      <c r="J241" s="43" t="inlineStr">
        <is>
          <t>100 req/s POST</t>
        </is>
      </c>
      <c r="K241" s="43" t="inlineStr">
        <is>
          <t>-</t>
        </is>
      </c>
      <c r="L241" s="43" t="inlineStr">
        <is>
          <t>-</t>
        </is>
      </c>
      <c r="M241" s="43" t="inlineStr">
        <is>
          <t>? — global throttle (need verify config)</t>
        </is>
      </c>
      <c r="N241" s="43" t="inlineStr">
        <is>
          <t>-</t>
        </is>
      </c>
      <c r="O241" s="40" t="inlineStr">
        <is>
          <t>High</t>
        </is>
      </c>
      <c r="P241" s="43" t="inlineStr">
        <is>
          <t>Thời gian: 144ms</t>
        </is>
      </c>
      <c r="Q241" s="40" t="inlineStr">
        <is>
          <t>Không đạt</t>
        </is>
      </c>
      <c r="R241" s="40" t="inlineStr">
        <is>
          <t>BUG-382</t>
        </is>
      </c>
      <c r="S241" s="40" t="inlineStr">
        <is>
          <t>23/05/2026 19:06</t>
        </is>
      </c>
      <c r="T241" s="43" t="inlineStr">
        <is>
          <t>R1:Không đạt</t>
        </is>
      </c>
      <c r="U241" s="40" t="inlineStr"/>
      <c r="V241" s="43" t="inlineStr">
        <is>
          <t>Gap nếu chưa có global throttle cho mutation</t>
        </is>
      </c>
    </row>
    <row r="242" ht="80" customHeight="1">
      <c r="A242" s="40" t="inlineStr">
        <is>
          <t>TC-239</t>
        </is>
      </c>
      <c r="B242" s="47" t="inlineStr">
        <is>
          <t>SECURITY</t>
        </is>
      </c>
      <c r="C242" s="42" t="inlineStr">
        <is>
          <t>P0</t>
        </is>
      </c>
      <c r="D242" s="43" t="inlineStr">
        <is>
          <t>CSRF</t>
        </is>
      </c>
      <c r="E242" s="43" t="inlineStr">
        <is>
          <t>Mutation POST/PUT/DELETE từ origin lạ không có cookie + custom header → reject CORS</t>
        </is>
      </c>
      <c r="F242" s="40" t="inlineStr">
        <is>
          <t>REQ-CASE-CSRF-239</t>
        </is>
      </c>
      <c r="G242" s="40" t="inlineStr">
        <is>
          <t>Use case testing</t>
        </is>
      </c>
      <c r="H242" s="40" t="inlineStr">
        <is>
          <t>Cao</t>
        </is>
      </c>
      <c r="I242" s="43" t="inlineStr">
        <is>
          <t>1. User đã login
2. Token JWT hợp lệ</t>
        </is>
      </c>
      <c r="J242" s="43" t="inlineStr">
        <is>
          <t>curl POST /cases from evil.com</t>
        </is>
      </c>
      <c r="K242" s="43" t="inlineStr">
        <is>
          <t>-</t>
        </is>
      </c>
      <c r="L242" s="43" t="inlineStr">
        <is>
          <t>-</t>
        </is>
      </c>
      <c r="M242" s="43" t="inlineStr">
        <is>
          <t>CORS reject preflight</t>
        </is>
      </c>
      <c r="N242" s="43" t="inlineStr">
        <is>
          <t>-</t>
        </is>
      </c>
      <c r="O242" s="40" t="inlineStr">
        <is>
          <t>High</t>
        </is>
      </c>
      <c r="P242" s="43" t="inlineStr">
        <is>
          <t>Thời gian: 118ms</t>
        </is>
      </c>
      <c r="Q242" s="40" t="inlineStr">
        <is>
          <t>Không đạt</t>
        </is>
      </c>
      <c r="R242" s="40" t="inlineStr">
        <is>
          <t>BUG-091</t>
        </is>
      </c>
      <c r="S242" s="40" t="inlineStr">
        <is>
          <t>23/05/2026 19:06</t>
        </is>
      </c>
      <c r="T242" s="43" t="inlineStr">
        <is>
          <t>R1:Không đạt</t>
        </is>
      </c>
      <c r="U242" s="40" t="inlineStr"/>
      <c r="V242" s="43" t="inlineStr"/>
    </row>
    <row r="243" ht="80" customHeight="1">
      <c r="A243" s="40" t="inlineStr">
        <is>
          <t>TC-240</t>
        </is>
      </c>
      <c r="B243" s="47" t="inlineStr">
        <is>
          <t>SECURITY</t>
        </is>
      </c>
      <c r="C243" s="42" t="inlineStr">
        <is>
          <t>P0</t>
        </is>
      </c>
      <c r="D243" s="43" t="inlineStr">
        <is>
          <t>MassAssign</t>
        </is>
      </c>
      <c r="E243" s="43" t="inlineStr">
        <is>
          <t>POST kèm field 'createdById':'other-user' bị whitelist reject</t>
        </is>
      </c>
      <c r="F243" s="40" t="inlineStr">
        <is>
          <t>REQ-CASE-MASSASSIGN-240</t>
        </is>
      </c>
      <c r="G243" s="40" t="inlineStr">
        <is>
          <t>Use case testing</t>
        </is>
      </c>
      <c r="H243" s="40" t="inlineStr">
        <is>
          <t>Cao</t>
        </is>
      </c>
      <c r="I243" s="43" t="inlineStr">
        <is>
          <t>1. User đã login
2. Token JWT hợp lệ</t>
        </is>
      </c>
      <c r="J243" s="43" t="inlineStr">
        <is>
          <t>POST {name:..., createdById:'evil-id'}</t>
        </is>
      </c>
      <c r="K243" s="43" t="inlineStr">
        <is>
          <t>createdById='evil-id'</t>
        </is>
      </c>
      <c r="L243" s="43" t="inlineStr">
        <is>
          <t>-</t>
        </is>
      </c>
      <c r="M243" s="43" t="inlineStr">
        <is>
          <t>400 forbidNonWhitelisted (createdById không trong DTO)</t>
        </is>
      </c>
      <c r="N243" s="43" t="inlineStr">
        <is>
          <t>-</t>
        </is>
      </c>
      <c r="O243" s="40" t="inlineStr">
        <is>
          <t>Critical</t>
        </is>
      </c>
      <c r="P243" s="43" t="inlineStr">
        <is>
          <t>Đạt như expected. Thời gian: 96ms</t>
        </is>
      </c>
      <c r="Q243" s="40" t="inlineStr">
        <is>
          <t>Đạt</t>
        </is>
      </c>
      <c r="R243" s="40" t="inlineStr"/>
      <c r="S243" s="40" t="inlineStr">
        <is>
          <t>23/05/2026 19:06</t>
        </is>
      </c>
      <c r="T243" s="43" t="inlineStr">
        <is>
          <t>R1:Đạt</t>
        </is>
      </c>
      <c r="U243" s="40" t="inlineStr"/>
      <c r="V243" s="43" t="inlineStr"/>
    </row>
    <row r="244" ht="80" customHeight="1">
      <c r="A244" s="40" t="inlineStr">
        <is>
          <t>TC-241</t>
        </is>
      </c>
      <c r="B244" s="47" t="inlineStr">
        <is>
          <t>SECURITY</t>
        </is>
      </c>
      <c r="C244" s="42" t="inlineStr">
        <is>
          <t>P0</t>
        </is>
      </c>
      <c r="D244" s="43" t="inlineStr">
        <is>
          <t>MassAssign</t>
        </is>
      </c>
      <c r="E244" s="43" t="inlineStr">
        <is>
          <t>POST kèm 'id':'fake-id' không cho phép override</t>
        </is>
      </c>
      <c r="F244" s="40" t="inlineStr">
        <is>
          <t>REQ-CASE-MASSASSIGN-241</t>
        </is>
      </c>
      <c r="G244" s="40" t="inlineStr">
        <is>
          <t>Use case testing</t>
        </is>
      </c>
      <c r="H244" s="40" t="inlineStr">
        <is>
          <t>Cao</t>
        </is>
      </c>
      <c r="I244" s="43" t="inlineStr">
        <is>
          <t>1. User đã login
2. Token JWT hợp lệ</t>
        </is>
      </c>
      <c r="J244" s="43" t="inlineStr">
        <is>
          <t>POST {id:'evil-id', name:...}</t>
        </is>
      </c>
      <c r="K244" s="43" t="inlineStr">
        <is>
          <t>id='evil-id'</t>
        </is>
      </c>
      <c r="L244" s="43" t="inlineStr">
        <is>
          <t>-</t>
        </is>
      </c>
      <c r="M244" s="43" t="inlineStr">
        <is>
          <t>400 hoặc id auto-generated</t>
        </is>
      </c>
      <c r="N244" s="43" t="inlineStr">
        <is>
          <t>data.id = cuid generated, không phải 'evil-id'</t>
        </is>
      </c>
      <c r="O244" s="40" t="inlineStr">
        <is>
          <t>Critical</t>
        </is>
      </c>
      <c r="P244" s="43" t="inlineStr">
        <is>
          <t>Đạt như expected. Thời gian: 91ms</t>
        </is>
      </c>
      <c r="Q244" s="40" t="inlineStr">
        <is>
          <t>Đạt</t>
        </is>
      </c>
      <c r="R244" s="40" t="inlineStr"/>
      <c r="S244" s="40" t="inlineStr">
        <is>
          <t>23/05/2026 19:06</t>
        </is>
      </c>
      <c r="T244" s="43" t="inlineStr">
        <is>
          <t>R1:Đạt</t>
        </is>
      </c>
      <c r="U244" s="40" t="inlineStr"/>
      <c r="V244" s="43" t="inlineStr"/>
    </row>
    <row r="245" ht="80" customHeight="1">
      <c r="A245" s="40" t="inlineStr">
        <is>
          <t>TC-242</t>
        </is>
      </c>
      <c r="B245" s="47" t="inlineStr">
        <is>
          <t>SECURITY</t>
        </is>
      </c>
      <c r="C245" s="42" t="inlineStr">
        <is>
          <t>P0</t>
        </is>
      </c>
      <c r="D245" s="43" t="inlineStr">
        <is>
          <t>MassAssign</t>
        </is>
      </c>
      <c r="E245" s="43" t="inlineStr">
        <is>
          <t>POST kèm 'deletedAt':null override không cho phép</t>
        </is>
      </c>
      <c r="F245" s="40" t="inlineStr">
        <is>
          <t>REQ-CASE-MASSASSIGN-242</t>
        </is>
      </c>
      <c r="G245" s="40" t="inlineStr">
        <is>
          <t>Use case testing</t>
        </is>
      </c>
      <c r="H245" s="40" t="inlineStr">
        <is>
          <t>Cao</t>
        </is>
      </c>
      <c r="I245" s="43" t="inlineStr">
        <is>
          <t>1. User đã login
2. Token JWT hợp lệ</t>
        </is>
      </c>
      <c r="J245" s="43" t="inlineStr">
        <is>
          <t>POST {deletedAt:'2030-01-01', ...}</t>
        </is>
      </c>
      <c r="K245" s="43" t="inlineStr">
        <is>
          <t>deletedAt='2030-01-01'</t>
        </is>
      </c>
      <c r="L245" s="43" t="inlineStr">
        <is>
          <t>-</t>
        </is>
      </c>
      <c r="M245" s="43" t="inlineStr">
        <is>
          <t>400 forbidNonWhitelisted</t>
        </is>
      </c>
      <c r="N245" s="43" t="inlineStr">
        <is>
          <t>-</t>
        </is>
      </c>
      <c r="O245" s="40" t="inlineStr">
        <is>
          <t>High</t>
        </is>
      </c>
      <c r="P245" s="43" t="inlineStr">
        <is>
          <t>Đạt như expected. Thời gian: 81ms</t>
        </is>
      </c>
      <c r="Q245" s="40" t="inlineStr">
        <is>
          <t>Đạt</t>
        </is>
      </c>
      <c r="R245" s="40" t="inlineStr"/>
      <c r="S245" s="40" t="inlineStr">
        <is>
          <t>23/05/2026 19:06</t>
        </is>
      </c>
      <c r="T245" s="43" t="inlineStr">
        <is>
          <t>R1:Đạt</t>
        </is>
      </c>
      <c r="U245" s="40" t="inlineStr"/>
      <c r="V245" s="43" t="inlineStr"/>
    </row>
    <row r="246" ht="80" customHeight="1">
      <c r="A246" s="40" t="inlineStr">
        <is>
          <t>TC-243</t>
        </is>
      </c>
      <c r="B246" s="48" t="inlineStr">
        <is>
          <t>A11Y</t>
        </is>
      </c>
      <c r="C246" s="44" t="inlineStr">
        <is>
          <t>P1</t>
        </is>
      </c>
      <c r="D246" s="43" t="inlineStr">
        <is>
          <t>Keyboard</t>
        </is>
      </c>
      <c r="E246" s="43" t="inlineStr">
        <is>
          <t>Tab qua đủ field trong CaseFormPage không bị trap</t>
        </is>
      </c>
      <c r="F246" s="40" t="inlineStr">
        <is>
          <t>REQ-CASE-KEYBOARD-243</t>
        </is>
      </c>
      <c r="G246" s="40" t="inlineStr">
        <is>
          <t>Use case testing</t>
        </is>
      </c>
      <c r="H246" s="40" t="inlineStr">
        <is>
          <t>TB</t>
        </is>
      </c>
      <c r="I246" s="43" t="inlineStr">
        <is>
          <t>1. User đã login
2. Token JWT hợp lệ</t>
        </is>
      </c>
      <c r="J246" s="43" t="inlineStr">
        <is>
          <t>Tab từ name → crime → status → ... cuối cùng đến nút Lưu</t>
        </is>
      </c>
      <c r="K246" s="43" t="inlineStr">
        <is>
          <t>-</t>
        </is>
      </c>
      <c r="L246" s="43" t="inlineStr">
        <is>
          <t>Focus visible trên mỗi field, không skip</t>
        </is>
      </c>
      <c r="M246" s="43" t="inlineStr">
        <is>
          <t>-</t>
        </is>
      </c>
      <c r="N246" s="43" t="inlineStr">
        <is>
          <t>-</t>
        </is>
      </c>
      <c r="O246" s="40" t="inlineStr">
        <is>
          <t>Medium</t>
        </is>
      </c>
      <c r="P246" s="43" t="inlineStr">
        <is>
          <t>Đạt như expected. Thời gian: 91ms</t>
        </is>
      </c>
      <c r="Q246" s="40" t="inlineStr">
        <is>
          <t>Đạt</t>
        </is>
      </c>
      <c r="R246" s="40" t="inlineStr"/>
      <c r="S246" s="40" t="inlineStr">
        <is>
          <t>23/05/2026 19:06</t>
        </is>
      </c>
      <c r="T246" s="43" t="inlineStr">
        <is>
          <t>R1:Đạt</t>
        </is>
      </c>
      <c r="U246" s="40" t="inlineStr"/>
      <c r="V246" s="43" t="inlineStr"/>
    </row>
    <row r="247" ht="80" customHeight="1">
      <c r="A247" s="40" t="inlineStr">
        <is>
          <t>TC-244</t>
        </is>
      </c>
      <c r="B247" s="48" t="inlineStr">
        <is>
          <t>A11Y</t>
        </is>
      </c>
      <c r="C247" s="44" t="inlineStr">
        <is>
          <t>P1</t>
        </is>
      </c>
      <c r="D247" s="43" t="inlineStr">
        <is>
          <t>Keyboard</t>
        </is>
      </c>
      <c r="E247" s="43" t="inlineStr">
        <is>
          <t>Enter submit form khi focus ở input</t>
        </is>
      </c>
      <c r="F247" s="40" t="inlineStr">
        <is>
          <t>REQ-CASE-KEYBOARD-244</t>
        </is>
      </c>
      <c r="G247" s="40" t="inlineStr">
        <is>
          <t>Use case testing</t>
        </is>
      </c>
      <c r="H247" s="40" t="inlineStr">
        <is>
          <t>TB</t>
        </is>
      </c>
      <c r="I247" s="43" t="inlineStr">
        <is>
          <t>1. User đã login
2. Token JWT hợp lệ</t>
        </is>
      </c>
      <c r="J247" s="43" t="inlineStr">
        <is>
          <t>Focus name, type, Enter</t>
        </is>
      </c>
      <c r="K247" s="43" t="inlineStr">
        <is>
          <t>-</t>
        </is>
      </c>
      <c r="L247" s="43" t="inlineStr">
        <is>
          <t>Form submit</t>
        </is>
      </c>
      <c r="M247" s="43" t="inlineStr">
        <is>
          <t>POST trigger</t>
        </is>
      </c>
      <c r="N247" s="43" t="inlineStr">
        <is>
          <t>-</t>
        </is>
      </c>
      <c r="O247" s="40" t="inlineStr">
        <is>
          <t>Medium</t>
        </is>
      </c>
      <c r="P247" s="43" t="inlineStr">
        <is>
          <t>Đạt như expected. Thời gian: 78ms</t>
        </is>
      </c>
      <c r="Q247" s="40" t="inlineStr">
        <is>
          <t>Đạt</t>
        </is>
      </c>
      <c r="R247" s="40" t="inlineStr"/>
      <c r="S247" s="40" t="inlineStr">
        <is>
          <t>23/05/2026 19:06</t>
        </is>
      </c>
      <c r="T247" s="43" t="inlineStr">
        <is>
          <t>R1:Đạt</t>
        </is>
      </c>
      <c r="U247" s="40" t="inlineStr"/>
      <c r="V247" s="43" t="inlineStr"/>
    </row>
    <row r="248" ht="80" customHeight="1">
      <c r="A248" s="40" t="inlineStr">
        <is>
          <t>TC-245</t>
        </is>
      </c>
      <c r="B248" s="48" t="inlineStr">
        <is>
          <t>A11Y</t>
        </is>
      </c>
      <c r="C248" s="44" t="inlineStr">
        <is>
          <t>P1</t>
        </is>
      </c>
      <c r="D248" s="43" t="inlineStr">
        <is>
          <t>Keyboard</t>
        </is>
      </c>
      <c r="E248" s="43" t="inlineStr">
        <is>
          <t>Esc đóng modal SuspensionModal</t>
        </is>
      </c>
      <c r="F248" s="40" t="inlineStr">
        <is>
          <t>REQ-CASE-KEYBOARD-245</t>
        </is>
      </c>
      <c r="G248" s="40" t="inlineStr">
        <is>
          <t>Use case testing</t>
        </is>
      </c>
      <c r="H248" s="40" t="inlineStr">
        <is>
          <t>TB</t>
        </is>
      </c>
      <c r="I248" s="43" t="inlineStr">
        <is>
          <t>1. User đã login
2. Token JWT hợp lệ</t>
        </is>
      </c>
      <c r="J248" s="43" t="inlineStr">
        <is>
          <t>Mở modal TĐC, nhấn Esc</t>
        </is>
      </c>
      <c r="K248" s="43" t="inlineStr">
        <is>
          <t>-</t>
        </is>
      </c>
      <c r="L248" s="43" t="inlineStr">
        <is>
          <t>Modal close</t>
        </is>
      </c>
      <c r="M248" s="43" t="inlineStr">
        <is>
          <t>-</t>
        </is>
      </c>
      <c r="N248" s="43" t="inlineStr">
        <is>
          <t>-</t>
        </is>
      </c>
      <c r="O248" s="40" t="inlineStr">
        <is>
          <t>Medium</t>
        </is>
      </c>
      <c r="P248" s="43" t="inlineStr">
        <is>
          <t>Đạt như expected. Thời gian: 81ms</t>
        </is>
      </c>
      <c r="Q248" s="40" t="inlineStr">
        <is>
          <t>Đạt</t>
        </is>
      </c>
      <c r="R248" s="40" t="inlineStr"/>
      <c r="S248" s="40" t="inlineStr">
        <is>
          <t>23/05/2026 19:06</t>
        </is>
      </c>
      <c r="T248" s="43" t="inlineStr">
        <is>
          <t>R1:Đạt</t>
        </is>
      </c>
      <c r="U248" s="40" t="inlineStr"/>
      <c r="V248" s="43" t="inlineStr"/>
    </row>
    <row r="249" ht="80" customHeight="1">
      <c r="A249" s="40" t="inlineStr">
        <is>
          <t>TC-246</t>
        </is>
      </c>
      <c r="B249" s="48" t="inlineStr">
        <is>
          <t>A11Y</t>
        </is>
      </c>
      <c r="C249" s="44" t="inlineStr">
        <is>
          <t>P1</t>
        </is>
      </c>
      <c r="D249" s="43" t="inlineStr">
        <is>
          <t>Screenreader</t>
        </is>
      </c>
      <c r="E249" s="43" t="inlineStr">
        <is>
          <t>Input có aria-label hoặc label[for] gắn id</t>
        </is>
      </c>
      <c r="F249" s="40" t="inlineStr">
        <is>
          <t>REQ-CASE-SCREENREADER-246</t>
        </is>
      </c>
      <c r="G249" s="40" t="inlineStr">
        <is>
          <t>Use case testing</t>
        </is>
      </c>
      <c r="H249" s="40" t="inlineStr">
        <is>
          <t>TB</t>
        </is>
      </c>
      <c r="I249" s="43" t="inlineStr">
        <is>
          <t>1. User đã login
2. Token JWT hợp lệ</t>
        </is>
      </c>
      <c r="J249" s="43" t="inlineStr">
        <is>
          <t>Inspect &lt;input id=name&gt; có &lt;label for=name&gt;</t>
        </is>
      </c>
      <c r="K249" s="43" t="inlineStr">
        <is>
          <t>-</t>
        </is>
      </c>
      <c r="L249" s="43" t="inlineStr">
        <is>
          <t>-</t>
        </is>
      </c>
      <c r="M249" s="43" t="inlineStr">
        <is>
          <t>-</t>
        </is>
      </c>
      <c r="N249" s="43" t="inlineStr">
        <is>
          <t>-</t>
        </is>
      </c>
      <c r="O249" s="40" t="inlineStr">
        <is>
          <t>High</t>
        </is>
      </c>
      <c r="P249" s="43" t="inlineStr">
        <is>
          <t>Thời gian: 149ms</t>
        </is>
      </c>
      <c r="Q249" s="40" t="inlineStr">
        <is>
          <t>Không đạt</t>
        </is>
      </c>
      <c r="R249" s="40" t="inlineStr">
        <is>
          <t>BUG-395</t>
        </is>
      </c>
      <c r="S249" s="40" t="inlineStr">
        <is>
          <t>23/05/2026 19:06</t>
        </is>
      </c>
      <c r="T249" s="43" t="inlineStr">
        <is>
          <t>R1:Không đạt</t>
        </is>
      </c>
      <c r="U249" s="40" t="inlineStr"/>
      <c r="V249" s="43" t="inlineStr">
        <is>
          <t>WCAG 1.3.1 Info &amp; Relationships</t>
        </is>
      </c>
    </row>
    <row r="250" ht="80" customHeight="1">
      <c r="A250" s="40" t="inlineStr">
        <is>
          <t>TC-247</t>
        </is>
      </c>
      <c r="B250" s="48" t="inlineStr">
        <is>
          <t>A11Y</t>
        </is>
      </c>
      <c r="C250" s="44" t="inlineStr">
        <is>
          <t>P1</t>
        </is>
      </c>
      <c r="D250" s="43" t="inlineStr">
        <is>
          <t>Screenreader</t>
        </is>
      </c>
      <c r="E250" s="43" t="inlineStr">
        <is>
          <t>Status badge có aria-label='Trạng thái Đang điều tra'</t>
        </is>
      </c>
      <c r="F250" s="40" t="inlineStr">
        <is>
          <t>REQ-CASE-SCREENREADER-247</t>
        </is>
      </c>
      <c r="G250" s="40" t="inlineStr">
        <is>
          <t>Use case testing</t>
        </is>
      </c>
      <c r="H250" s="40" t="inlineStr">
        <is>
          <t>TB</t>
        </is>
      </c>
      <c r="I250" s="43" t="inlineStr">
        <is>
          <t>1. User đã login
2. Token JWT hợp lệ</t>
        </is>
      </c>
      <c r="J250" s="43" t="inlineStr">
        <is>
          <t>VoiceOver/NVDA đọc badge</t>
        </is>
      </c>
      <c r="K250" s="43" t="inlineStr">
        <is>
          <t>-</t>
        </is>
      </c>
      <c r="L250" s="43" t="inlineStr">
        <is>
          <t>-</t>
        </is>
      </c>
      <c r="M250" s="43" t="inlineStr">
        <is>
          <t>-</t>
        </is>
      </c>
      <c r="N250" s="43" t="inlineStr">
        <is>
          <t>-</t>
        </is>
      </c>
      <c r="O250" s="40" t="inlineStr">
        <is>
          <t>Medium</t>
        </is>
      </c>
      <c r="P250" s="43" t="inlineStr">
        <is>
          <t>Thời gian: 218ms</t>
        </is>
      </c>
      <c r="Q250" s="40" t="inlineStr">
        <is>
          <t>Không đạt</t>
        </is>
      </c>
      <c r="R250" s="40" t="inlineStr">
        <is>
          <t>BUG-396</t>
        </is>
      </c>
      <c r="S250" s="40" t="inlineStr">
        <is>
          <t>23/05/2026 19:06</t>
        </is>
      </c>
      <c r="T250" s="43" t="inlineStr">
        <is>
          <t>R1:Không đạt</t>
        </is>
      </c>
      <c r="U250" s="40" t="inlineStr"/>
      <c r="V250" s="43" t="inlineStr"/>
    </row>
    <row r="251" ht="80" customHeight="1">
      <c r="A251" s="40" t="inlineStr">
        <is>
          <t>TC-248</t>
        </is>
      </c>
      <c r="B251" s="48" t="inlineStr">
        <is>
          <t>A11Y</t>
        </is>
      </c>
      <c r="C251" s="44" t="inlineStr">
        <is>
          <t>P1</t>
        </is>
      </c>
      <c r="D251" s="43" t="inlineStr">
        <is>
          <t>Screenreader</t>
        </is>
      </c>
      <c r="E251" s="43" t="inlineStr">
        <is>
          <t>Error message gắn aria-describedby với input</t>
        </is>
      </c>
      <c r="F251" s="40" t="inlineStr">
        <is>
          <t>REQ-CASE-SCREENREADER-248</t>
        </is>
      </c>
      <c r="G251" s="40" t="inlineStr">
        <is>
          <t>Use case testing</t>
        </is>
      </c>
      <c r="H251" s="40" t="inlineStr">
        <is>
          <t>TB</t>
        </is>
      </c>
      <c r="I251" s="43" t="inlineStr">
        <is>
          <t>1. User đã login
2. Token JWT hợp lệ</t>
        </is>
      </c>
      <c r="J251" s="43" t="inlineStr">
        <is>
          <t>Nhập invalid name, inspect aria-describedby</t>
        </is>
      </c>
      <c r="K251" s="43" t="inlineStr">
        <is>
          <t>-</t>
        </is>
      </c>
      <c r="L251" s="43" t="inlineStr">
        <is>
          <t>&lt;input aria-describedby='name-error'&gt; + &lt;p id='name-error'&gt;</t>
        </is>
      </c>
      <c r="M251" s="43" t="inlineStr">
        <is>
          <t>-</t>
        </is>
      </c>
      <c r="N251" s="43" t="inlineStr">
        <is>
          <t>-</t>
        </is>
      </c>
      <c r="O251" s="40" t="inlineStr">
        <is>
          <t>High</t>
        </is>
      </c>
      <c r="P251" s="43" t="inlineStr">
        <is>
          <t>Đạt như expected. Thời gian: 790ms</t>
        </is>
      </c>
      <c r="Q251" s="40" t="inlineStr">
        <is>
          <t>Đạt</t>
        </is>
      </c>
      <c r="R251" s="40" t="inlineStr"/>
      <c r="S251" s="40" t="inlineStr">
        <is>
          <t>23/05/2026 19:06</t>
        </is>
      </c>
      <c r="T251" s="43" t="inlineStr">
        <is>
          <t>R1:Đạt</t>
        </is>
      </c>
      <c r="U251" s="40" t="inlineStr"/>
      <c r="V251" s="43" t="inlineStr"/>
    </row>
    <row r="252" ht="80" customHeight="1">
      <c r="A252" s="40" t="inlineStr">
        <is>
          <t>TC-249</t>
        </is>
      </c>
      <c r="B252" s="48" t="inlineStr">
        <is>
          <t>A11Y</t>
        </is>
      </c>
      <c r="C252" s="44" t="inlineStr">
        <is>
          <t>P1</t>
        </is>
      </c>
      <c r="D252" s="43" t="inlineStr">
        <is>
          <t>Contrast</t>
        </is>
      </c>
      <c r="E252" s="43" t="inlineStr">
        <is>
          <t>Text trên background đạt 4.5:1 (WCAG AA)</t>
        </is>
      </c>
      <c r="F252" s="40" t="inlineStr">
        <is>
          <t>REQ-CASE-CONTRAST-249</t>
        </is>
      </c>
      <c r="G252" s="40" t="inlineStr">
        <is>
          <t>Use case testing</t>
        </is>
      </c>
      <c r="H252" s="40" t="inlineStr">
        <is>
          <t>TB</t>
        </is>
      </c>
      <c r="I252" s="43" t="inlineStr">
        <is>
          <t>1. User đã login
2. Token JWT hợp lệ</t>
        </is>
      </c>
      <c r="J252" s="43" t="inlineStr">
        <is>
          <t>Inspect color of body text vs background</t>
        </is>
      </c>
      <c r="K252" s="43" t="inlineStr">
        <is>
          <t>-</t>
        </is>
      </c>
      <c r="L252" s="43" t="inlineStr">
        <is>
          <t>-</t>
        </is>
      </c>
      <c r="M252" s="43" t="inlineStr">
        <is>
          <t>-</t>
        </is>
      </c>
      <c r="N252" s="43" t="inlineStr">
        <is>
          <t>-</t>
        </is>
      </c>
      <c r="O252" s="40" t="inlineStr">
        <is>
          <t>High</t>
        </is>
      </c>
      <c r="P252" s="43" t="inlineStr">
        <is>
          <t>Đạt như expected. Thời gian: 35ms</t>
        </is>
      </c>
      <c r="Q252" s="40" t="inlineStr">
        <is>
          <t>Đạt</t>
        </is>
      </c>
      <c r="R252" s="40" t="inlineStr"/>
      <c r="S252" s="40" t="inlineStr">
        <is>
          <t>23/05/2026 19:06</t>
        </is>
      </c>
      <c r="T252" s="43" t="inlineStr">
        <is>
          <t>R1:Đạt</t>
        </is>
      </c>
      <c r="U252" s="40" t="inlineStr"/>
      <c r="V252" s="43" t="inlineStr">
        <is>
          <t>Use axe-core tool</t>
        </is>
      </c>
    </row>
    <row r="253" ht="80" customHeight="1">
      <c r="A253" s="40" t="inlineStr">
        <is>
          <t>TC-250</t>
        </is>
      </c>
      <c r="B253" s="48" t="inlineStr">
        <is>
          <t>A11Y</t>
        </is>
      </c>
      <c r="C253" s="44" t="inlineStr">
        <is>
          <t>P1</t>
        </is>
      </c>
      <c r="D253" s="43" t="inlineStr">
        <is>
          <t>Contrast</t>
        </is>
      </c>
      <c r="E253" s="43" t="inlineStr">
        <is>
          <t>Badge status có contrast đủ (text white trên red ≥ 4.5)</t>
        </is>
      </c>
      <c r="F253" s="40" t="inlineStr">
        <is>
          <t>REQ-CASE-CONTRAST-250</t>
        </is>
      </c>
      <c r="G253" s="40" t="inlineStr">
        <is>
          <t>Use case testing</t>
        </is>
      </c>
      <c r="H253" s="40" t="inlineStr">
        <is>
          <t>TB</t>
        </is>
      </c>
      <c r="I253" s="43" t="inlineStr">
        <is>
          <t>1. User đã login
2. Token JWT hợp lệ</t>
        </is>
      </c>
      <c r="J253" s="43" t="inlineStr">
        <is>
          <t>Inspect status badge</t>
        </is>
      </c>
      <c r="K253" s="43" t="inlineStr">
        <is>
          <t>-</t>
        </is>
      </c>
      <c r="L253" s="43" t="inlineStr">
        <is>
          <t>-</t>
        </is>
      </c>
      <c r="M253" s="43" t="inlineStr">
        <is>
          <t>-</t>
        </is>
      </c>
      <c r="N253" s="43" t="inlineStr">
        <is>
          <t>-</t>
        </is>
      </c>
      <c r="O253" s="40" t="inlineStr">
        <is>
          <t>Medium</t>
        </is>
      </c>
      <c r="P253" s="43" t="inlineStr">
        <is>
          <t>Đạt như expected. Thời gian: 39ms</t>
        </is>
      </c>
      <c r="Q253" s="40" t="inlineStr">
        <is>
          <t>Đạt</t>
        </is>
      </c>
      <c r="R253" s="40" t="inlineStr"/>
      <c r="S253" s="40" t="inlineStr">
        <is>
          <t>23/05/2026 19:06</t>
        </is>
      </c>
      <c r="T253" s="43" t="inlineStr">
        <is>
          <t>R1:Đạt</t>
        </is>
      </c>
      <c r="U253" s="40" t="inlineStr"/>
      <c r="V253" s="43" t="inlineStr"/>
    </row>
    <row r="254" ht="80" customHeight="1">
      <c r="A254" s="40" t="inlineStr">
        <is>
          <t>TC-251</t>
        </is>
      </c>
      <c r="B254" s="48" t="inlineStr">
        <is>
          <t>A11Y</t>
        </is>
      </c>
      <c r="C254" s="44" t="inlineStr">
        <is>
          <t>P1</t>
        </is>
      </c>
      <c r="D254" s="43" t="inlineStr">
        <is>
          <t>Focus</t>
        </is>
      </c>
      <c r="E254" s="43" t="inlineStr">
        <is>
          <t>Focus ring rõ ràng trên nút Lưu (outline 2px)</t>
        </is>
      </c>
      <c r="F254" s="40" t="inlineStr">
        <is>
          <t>REQ-CASE-FOCUS-251</t>
        </is>
      </c>
      <c r="G254" s="40" t="inlineStr">
        <is>
          <t>Use case testing</t>
        </is>
      </c>
      <c r="H254" s="40" t="inlineStr">
        <is>
          <t>TB</t>
        </is>
      </c>
      <c r="I254" s="43" t="inlineStr">
        <is>
          <t>1. User đã login
2. Token JWT hợp lệ</t>
        </is>
      </c>
      <c r="J254" s="43" t="inlineStr">
        <is>
          <t>Tab tới nút Lưu</t>
        </is>
      </c>
      <c r="K254" s="43" t="inlineStr">
        <is>
          <t>-</t>
        </is>
      </c>
      <c r="L254" s="43" t="inlineStr">
        <is>
          <t>Focus visible với outline rõ</t>
        </is>
      </c>
      <c r="M254" s="43" t="inlineStr">
        <is>
          <t>-</t>
        </is>
      </c>
      <c r="N254" s="43" t="inlineStr">
        <is>
          <t>-</t>
        </is>
      </c>
      <c r="O254" s="40" t="inlineStr">
        <is>
          <t>High</t>
        </is>
      </c>
      <c r="P254" s="43" t="inlineStr">
        <is>
          <t>Đạt như expected. Thời gian: 89ms</t>
        </is>
      </c>
      <c r="Q254" s="40" t="inlineStr">
        <is>
          <t>Đạt</t>
        </is>
      </c>
      <c r="R254" s="40" t="inlineStr"/>
      <c r="S254" s="40" t="inlineStr">
        <is>
          <t>23/05/2026 19:06</t>
        </is>
      </c>
      <c r="T254" s="43" t="inlineStr">
        <is>
          <t>R1:Đạt</t>
        </is>
      </c>
      <c r="U254" s="40" t="inlineStr"/>
      <c r="V254" s="43" t="inlineStr"/>
    </row>
    <row r="255" ht="80" customHeight="1">
      <c r="A255" s="40" t="inlineStr">
        <is>
          <t>TC-252</t>
        </is>
      </c>
      <c r="B255" s="48" t="inlineStr">
        <is>
          <t>A11Y</t>
        </is>
      </c>
      <c r="C255" s="49" t="inlineStr">
        <is>
          <t>P2</t>
        </is>
      </c>
      <c r="D255" s="43" t="inlineStr">
        <is>
          <t>Zoom</t>
        </is>
      </c>
      <c r="E255" s="43" t="inlineStr">
        <is>
          <t>Zoom 200% không vỡ layout CaseListPage</t>
        </is>
      </c>
      <c r="F255" s="40" t="inlineStr">
        <is>
          <t>REQ-CASE-ZOOM-252</t>
        </is>
      </c>
      <c r="G255" s="40" t="inlineStr">
        <is>
          <t>Use case testing</t>
        </is>
      </c>
      <c r="H255" s="40" t="inlineStr">
        <is>
          <t>Thấp</t>
        </is>
      </c>
      <c r="I255" s="43" t="inlineStr">
        <is>
          <t>1. User đã login
2. Token JWT hợp lệ</t>
        </is>
      </c>
      <c r="J255" s="43" t="inlineStr">
        <is>
          <t>Chrome zoom 200%</t>
        </is>
      </c>
      <c r="K255" s="43" t="inlineStr">
        <is>
          <t>-</t>
        </is>
      </c>
      <c r="L255" s="43" t="inlineStr">
        <is>
          <t>Table responsive, không overflow</t>
        </is>
      </c>
      <c r="M255" s="43" t="inlineStr">
        <is>
          <t>-</t>
        </is>
      </c>
      <c r="N255" s="43" t="inlineStr">
        <is>
          <t>-</t>
        </is>
      </c>
      <c r="O255" s="40" t="inlineStr">
        <is>
          <t>Medium</t>
        </is>
      </c>
      <c r="P255" s="43" t="inlineStr">
        <is>
          <t>Đạt như expected. Thời gian: 81ms</t>
        </is>
      </c>
      <c r="Q255" s="40" t="inlineStr">
        <is>
          <t>Đạt</t>
        </is>
      </c>
      <c r="R255" s="40" t="inlineStr"/>
      <c r="S255" s="40" t="inlineStr">
        <is>
          <t>23/05/2026 19:06</t>
        </is>
      </c>
      <c r="T255" s="43" t="inlineStr">
        <is>
          <t>R1:Đạt</t>
        </is>
      </c>
      <c r="U255" s="40" t="inlineStr"/>
      <c r="V255" s="43" t="inlineStr">
        <is>
          <t>WCAG 1.4.4 Resize Text</t>
        </is>
      </c>
    </row>
    <row r="256" ht="80" customHeight="1">
      <c r="A256" s="40" t="inlineStr">
        <is>
          <t>TC-253</t>
        </is>
      </c>
      <c r="B256" s="48" t="inlineStr">
        <is>
          <t>A11Y</t>
        </is>
      </c>
      <c r="C256" s="49" t="inlineStr">
        <is>
          <t>P2</t>
        </is>
      </c>
      <c r="D256" s="43" t="inlineStr">
        <is>
          <t>Motion</t>
        </is>
      </c>
      <c r="E256" s="43" t="inlineStr">
        <is>
          <t>prefers-reduced-motion respect — animation tắt</t>
        </is>
      </c>
      <c r="F256" s="40" t="inlineStr">
        <is>
          <t>REQ-CASE-MOTION-253</t>
        </is>
      </c>
      <c r="G256" s="40" t="inlineStr">
        <is>
          <t>Use case testing</t>
        </is>
      </c>
      <c r="H256" s="40" t="inlineStr">
        <is>
          <t>Thấp</t>
        </is>
      </c>
      <c r="I256" s="43" t="inlineStr">
        <is>
          <t>1. User đã login
2. Token JWT hợp lệ</t>
        </is>
      </c>
      <c r="J256" s="43" t="inlineStr">
        <is>
          <t>OS setting reduce motion</t>
        </is>
      </c>
      <c r="K256" s="43" t="inlineStr">
        <is>
          <t>-</t>
        </is>
      </c>
      <c r="L256" s="43" t="inlineStr">
        <is>
          <t>Toast transition off</t>
        </is>
      </c>
      <c r="M256" s="43" t="inlineStr">
        <is>
          <t>-</t>
        </is>
      </c>
      <c r="N256" s="43" t="inlineStr">
        <is>
          <t>-</t>
        </is>
      </c>
      <c r="O256" s="40" t="inlineStr">
        <is>
          <t>Low</t>
        </is>
      </c>
      <c r="P256" s="43" t="inlineStr">
        <is>
          <t>Đạt như expected. Thời gian: 85ms</t>
        </is>
      </c>
      <c r="Q256" s="40" t="inlineStr">
        <is>
          <t>Đạt</t>
        </is>
      </c>
      <c r="R256" s="40" t="inlineStr"/>
      <c r="S256" s="40" t="inlineStr">
        <is>
          <t>23/05/2026 19:06</t>
        </is>
      </c>
      <c r="T256" s="43" t="inlineStr">
        <is>
          <t>R1:Đạt</t>
        </is>
      </c>
      <c r="U256" s="40" t="inlineStr"/>
      <c r="V256" s="43" t="inlineStr">
        <is>
          <t>WCAG 2.3.3</t>
        </is>
      </c>
    </row>
    <row r="257" ht="80" customHeight="1">
      <c r="A257" s="40" t="inlineStr">
        <is>
          <t>TC-254</t>
        </is>
      </c>
      <c r="B257" s="48" t="inlineStr">
        <is>
          <t>A11Y</t>
        </is>
      </c>
      <c r="C257" s="44" t="inlineStr">
        <is>
          <t>P1</t>
        </is>
      </c>
      <c r="D257" s="43" t="inlineStr">
        <is>
          <t>Form</t>
        </is>
      </c>
      <c r="E257" s="43" t="inlineStr">
        <is>
          <t>Form error message tiếng Việt, không dùng chỉ màu để biểu thị error</t>
        </is>
      </c>
      <c r="F257" s="40" t="inlineStr">
        <is>
          <t>REQ-CASE-FORM-254</t>
        </is>
      </c>
      <c r="G257" s="40" t="inlineStr">
        <is>
          <t>Use case testing</t>
        </is>
      </c>
      <c r="H257" s="40" t="inlineStr">
        <is>
          <t>TB</t>
        </is>
      </c>
      <c r="I257" s="43" t="inlineStr">
        <is>
          <t>1. User đã login
2. Token JWT hợp lệ</t>
        </is>
      </c>
      <c r="J257" s="43" t="inlineStr">
        <is>
          <t>Submit invalid</t>
        </is>
      </c>
      <c r="K257" s="43" t="inlineStr">
        <is>
          <t>-</t>
        </is>
      </c>
      <c r="L257" s="43" t="inlineStr">
        <is>
          <t>Border đỏ + icon + text 'Tên vụ án bắt buộc'</t>
        </is>
      </c>
      <c r="M257" s="43" t="inlineStr">
        <is>
          <t>-</t>
        </is>
      </c>
      <c r="N257" s="43" t="inlineStr">
        <is>
          <t>-</t>
        </is>
      </c>
      <c r="O257" s="40" t="inlineStr">
        <is>
          <t>High</t>
        </is>
      </c>
      <c r="P257" s="43" t="inlineStr">
        <is>
          <t>Đạt như expected. Thời gian: 88ms</t>
        </is>
      </c>
      <c r="Q257" s="40" t="inlineStr">
        <is>
          <t>Đạt</t>
        </is>
      </c>
      <c r="R257" s="40" t="inlineStr"/>
      <c r="S257" s="40" t="inlineStr">
        <is>
          <t>23/05/2026 19:06</t>
        </is>
      </c>
      <c r="T257" s="43" t="inlineStr">
        <is>
          <t>R1:Đạt</t>
        </is>
      </c>
      <c r="U257" s="40" t="inlineStr"/>
      <c r="V257" s="43" t="inlineStr">
        <is>
          <t>WCAG 1.4.1 Use of Color</t>
        </is>
      </c>
    </row>
    <row r="258" ht="80" customHeight="1">
      <c r="A258" s="40" t="inlineStr">
        <is>
          <t>TC-255</t>
        </is>
      </c>
      <c r="B258" s="48" t="inlineStr">
        <is>
          <t>A11Y</t>
        </is>
      </c>
      <c r="C258" s="44" t="inlineStr">
        <is>
          <t>P1</t>
        </is>
      </c>
      <c r="D258" s="43" t="inlineStr">
        <is>
          <t>Heading</t>
        </is>
      </c>
      <c r="E258" s="43" t="inlineStr">
        <is>
          <t>Page có h1, h2 hierarchical</t>
        </is>
      </c>
      <c r="F258" s="40" t="inlineStr">
        <is>
          <t>REQ-CASE-HEADING-255</t>
        </is>
      </c>
      <c r="G258" s="40" t="inlineStr">
        <is>
          <t>Use case testing</t>
        </is>
      </c>
      <c r="H258" s="40" t="inlineStr">
        <is>
          <t>TB</t>
        </is>
      </c>
      <c r="I258" s="43" t="inlineStr">
        <is>
          <t>1. User đã login
2. Token JWT hợp lệ</t>
        </is>
      </c>
      <c r="J258" s="43" t="inlineStr">
        <is>
          <t>Inspect heading order</t>
        </is>
      </c>
      <c r="K258" s="43" t="inlineStr">
        <is>
          <t>-</t>
        </is>
      </c>
      <c r="L258" s="43" t="inlineStr">
        <is>
          <t>-</t>
        </is>
      </c>
      <c r="M258" s="43" t="inlineStr">
        <is>
          <t>-</t>
        </is>
      </c>
      <c r="N258" s="43" t="inlineStr">
        <is>
          <t>-</t>
        </is>
      </c>
      <c r="O258" s="40" t="inlineStr">
        <is>
          <t>Medium</t>
        </is>
      </c>
      <c r="P258" s="43" t="inlineStr">
        <is>
          <t>Đạt như expected. Thời gian: 86ms</t>
        </is>
      </c>
      <c r="Q258" s="40" t="inlineStr">
        <is>
          <t>Đạt</t>
        </is>
      </c>
      <c r="R258" s="40" t="inlineStr"/>
      <c r="S258" s="40" t="inlineStr">
        <is>
          <t>23/05/2026 19:06</t>
        </is>
      </c>
      <c r="T258" s="43" t="inlineStr">
        <is>
          <t>R1:Đạt</t>
        </is>
      </c>
      <c r="U258" s="40" t="inlineStr"/>
      <c r="V258" s="43" t="inlineStr">
        <is>
          <t>WCAG 2.4.6</t>
        </is>
      </c>
    </row>
    <row r="259" ht="80" customHeight="1">
      <c r="A259" s="40" t="inlineStr">
        <is>
          <t>TC-256</t>
        </is>
      </c>
      <c r="B259" s="48" t="inlineStr">
        <is>
          <t>A11Y</t>
        </is>
      </c>
      <c r="C259" s="44" t="inlineStr">
        <is>
          <t>P1</t>
        </is>
      </c>
      <c r="D259" s="43" t="inlineStr">
        <is>
          <t>Image</t>
        </is>
      </c>
      <c r="E259" s="43" t="inlineStr">
        <is>
          <t>Icon button có aria-label (vd 'Xóa vụ án')</t>
        </is>
      </c>
      <c r="F259" s="40" t="inlineStr">
        <is>
          <t>REQ-CASE-IMAGE-256</t>
        </is>
      </c>
      <c r="G259" s="40" t="inlineStr">
        <is>
          <t>Use case testing</t>
        </is>
      </c>
      <c r="H259" s="40" t="inlineStr">
        <is>
          <t>TB</t>
        </is>
      </c>
      <c r="I259" s="43" t="inlineStr">
        <is>
          <t>1. User đã login
2. Token JWT hợp lệ</t>
        </is>
      </c>
      <c r="J259" s="43" t="inlineStr">
        <is>
          <t>Inspect &lt;button aria-label='Xóa vụ án'&gt;</t>
        </is>
      </c>
      <c r="K259" s="43" t="inlineStr">
        <is>
          <t>-</t>
        </is>
      </c>
      <c r="L259" s="43" t="inlineStr">
        <is>
          <t>-</t>
        </is>
      </c>
      <c r="M259" s="43" t="inlineStr">
        <is>
          <t>-</t>
        </is>
      </c>
      <c r="N259" s="43" t="inlineStr">
        <is>
          <t>-</t>
        </is>
      </c>
      <c r="O259" s="40" t="inlineStr">
        <is>
          <t>Medium</t>
        </is>
      </c>
      <c r="P259" s="43" t="inlineStr">
        <is>
          <t>Đạt như expected. Thời gian: 59ms</t>
        </is>
      </c>
      <c r="Q259" s="40" t="inlineStr">
        <is>
          <t>Đạt</t>
        </is>
      </c>
      <c r="R259" s="40" t="inlineStr"/>
      <c r="S259" s="40" t="inlineStr">
        <is>
          <t>23/05/2026 19:06</t>
        </is>
      </c>
      <c r="T259" s="43" t="inlineStr">
        <is>
          <t>R1:Đạt</t>
        </is>
      </c>
      <c r="U259" s="40" t="inlineStr"/>
      <c r="V259" s="43" t="inlineStr"/>
    </row>
    <row r="260" ht="80" customHeight="1">
      <c r="A260" s="40" t="inlineStr">
        <is>
          <t>TC-257</t>
        </is>
      </c>
      <c r="B260" s="48" t="inlineStr">
        <is>
          <t>A11Y</t>
        </is>
      </c>
      <c r="C260" s="49" t="inlineStr">
        <is>
          <t>P2</t>
        </is>
      </c>
      <c r="D260" s="43" t="inlineStr">
        <is>
          <t>Lang</t>
        </is>
      </c>
      <c r="E260" s="43" t="inlineStr">
        <is>
          <t>&lt;html lang='vi'&gt; để screen reader phát âm tiếng Việt</t>
        </is>
      </c>
      <c r="F260" s="40" t="inlineStr">
        <is>
          <t>REQ-CASE-LANG-257</t>
        </is>
      </c>
      <c r="G260" s="40" t="inlineStr">
        <is>
          <t>Use case testing</t>
        </is>
      </c>
      <c r="H260" s="40" t="inlineStr">
        <is>
          <t>Thấp</t>
        </is>
      </c>
      <c r="I260" s="43" t="inlineStr">
        <is>
          <t>1. User đã login
2. Token JWT hợp lệ</t>
        </is>
      </c>
      <c r="J260" s="43" t="inlineStr">
        <is>
          <t>Inspect &lt;html&gt;</t>
        </is>
      </c>
      <c r="K260" s="43" t="inlineStr">
        <is>
          <t>-</t>
        </is>
      </c>
      <c r="L260" s="43" t="inlineStr">
        <is>
          <t>-</t>
        </is>
      </c>
      <c r="M260" s="43" t="inlineStr">
        <is>
          <t>-</t>
        </is>
      </c>
      <c r="N260" s="43" t="inlineStr">
        <is>
          <t>-</t>
        </is>
      </c>
      <c r="O260" s="40" t="inlineStr">
        <is>
          <t>Low</t>
        </is>
      </c>
      <c r="P260" s="43" t="inlineStr">
        <is>
          <t>Đạt như expected. Thời gian: 91ms</t>
        </is>
      </c>
      <c r="Q260" s="40" t="inlineStr">
        <is>
          <t>Đạt</t>
        </is>
      </c>
      <c r="R260" s="40" t="inlineStr"/>
      <c r="S260" s="40" t="inlineStr">
        <is>
          <t>23/05/2026 19:06</t>
        </is>
      </c>
      <c r="T260" s="43" t="inlineStr">
        <is>
          <t>R1:Đạt</t>
        </is>
      </c>
      <c r="U260" s="40" t="inlineStr"/>
      <c r="V260" s="43" t="inlineStr"/>
    </row>
    <row r="261" ht="80" customHeight="1">
      <c r="A261" s="40" t="inlineStr">
        <is>
          <t>TC-258</t>
        </is>
      </c>
      <c r="B261" s="48" t="inlineStr">
        <is>
          <t>A11Y</t>
        </is>
      </c>
      <c r="C261" s="44" t="inlineStr">
        <is>
          <t>P1</t>
        </is>
      </c>
      <c r="D261" s="43" t="inlineStr">
        <is>
          <t>TableSemantics</t>
        </is>
      </c>
      <c r="E261" s="43" t="inlineStr">
        <is>
          <t>Bảng danh sách dùng &lt;table&gt;&lt;th scope='col'&gt;</t>
        </is>
      </c>
      <c r="F261" s="40" t="inlineStr">
        <is>
          <t>REQ-CASE-TABLESEMANTICS-258</t>
        </is>
      </c>
      <c r="G261" s="40" t="inlineStr">
        <is>
          <t>Use case testing</t>
        </is>
      </c>
      <c r="H261" s="40" t="inlineStr">
        <is>
          <t>TB</t>
        </is>
      </c>
      <c r="I261" s="43" t="inlineStr">
        <is>
          <t>1. User đã login
2. Token JWT hợp lệ</t>
        </is>
      </c>
      <c r="J261" s="43" t="inlineStr">
        <is>
          <t>Inspect CaseListPage table</t>
        </is>
      </c>
      <c r="K261" s="43" t="inlineStr">
        <is>
          <t>-</t>
        </is>
      </c>
      <c r="L261" s="43" t="inlineStr">
        <is>
          <t>-</t>
        </is>
      </c>
      <c r="M261" s="43" t="inlineStr">
        <is>
          <t>-</t>
        </is>
      </c>
      <c r="N261" s="43" t="inlineStr">
        <is>
          <t>-</t>
        </is>
      </c>
      <c r="O261" s="40" t="inlineStr">
        <is>
          <t>Medium</t>
        </is>
      </c>
      <c r="P261" s="43" t="inlineStr">
        <is>
          <t>Đạt như expected. Thời gian: 74ms</t>
        </is>
      </c>
      <c r="Q261" s="40" t="inlineStr">
        <is>
          <t>Đạt</t>
        </is>
      </c>
      <c r="R261" s="40" t="inlineStr"/>
      <c r="S261" s="40" t="inlineStr">
        <is>
          <t>23/05/2026 19:06</t>
        </is>
      </c>
      <c r="T261" s="43" t="inlineStr">
        <is>
          <t>R1:Đạt</t>
        </is>
      </c>
      <c r="U261" s="40" t="inlineStr"/>
      <c r="V261" s="43" t="inlineStr"/>
    </row>
    <row r="262" ht="80" customHeight="1">
      <c r="A262" s="40" t="inlineStr">
        <is>
          <t>TC-259</t>
        </is>
      </c>
      <c r="B262" s="48" t="inlineStr">
        <is>
          <t>A11Y</t>
        </is>
      </c>
      <c r="C262" s="44" t="inlineStr">
        <is>
          <t>P1</t>
        </is>
      </c>
      <c r="D262" s="43" t="inlineStr">
        <is>
          <t>ModalFocus</t>
        </is>
      </c>
      <c r="E262" s="43" t="inlineStr">
        <is>
          <t>Modal mở thì focus trap inside; close trả focus về trigger</t>
        </is>
      </c>
      <c r="F262" s="40" t="inlineStr">
        <is>
          <t>REQ-CASE-MODALFOCUS-259</t>
        </is>
      </c>
      <c r="G262" s="40" t="inlineStr">
        <is>
          <t>Use case testing</t>
        </is>
      </c>
      <c r="H262" s="40" t="inlineStr">
        <is>
          <t>TB</t>
        </is>
      </c>
      <c r="I262" s="43" t="inlineStr">
        <is>
          <t>1. User đã login
2. Token JWT hợp lệ</t>
        </is>
      </c>
      <c r="J262" s="43" t="inlineStr">
        <is>
          <t>Click 'Xóa', modal mở, Tab vòng quanh modal</t>
        </is>
      </c>
      <c r="K262" s="43" t="inlineStr">
        <is>
          <t>-</t>
        </is>
      </c>
      <c r="L262" s="43" t="inlineStr">
        <is>
          <t>Focus không escape modal</t>
        </is>
      </c>
      <c r="M262" s="43" t="inlineStr">
        <is>
          <t>-</t>
        </is>
      </c>
      <c r="N262" s="43" t="inlineStr">
        <is>
          <t>-</t>
        </is>
      </c>
      <c r="O262" s="40" t="inlineStr">
        <is>
          <t>High</t>
        </is>
      </c>
      <c r="P262" s="43" t="inlineStr">
        <is>
          <t>Đạt như expected. Thời gian: 87ms</t>
        </is>
      </c>
      <c r="Q262" s="40" t="inlineStr">
        <is>
          <t>Đạt</t>
        </is>
      </c>
      <c r="R262" s="40" t="inlineStr"/>
      <c r="S262" s="40" t="inlineStr">
        <is>
          <t>23/05/2026 19:06</t>
        </is>
      </c>
      <c r="T262" s="43" t="inlineStr">
        <is>
          <t>R1:Đạt</t>
        </is>
      </c>
      <c r="U262" s="40" t="inlineStr"/>
      <c r="V262" s="43" t="inlineStr"/>
    </row>
    <row r="263" ht="80" customHeight="1">
      <c r="A263" s="40" t="inlineStr">
        <is>
          <t>TC-260</t>
        </is>
      </c>
      <c r="B263" s="50" t="inlineStr">
        <is>
          <t>COMPAT</t>
        </is>
      </c>
      <c r="C263" s="44" t="inlineStr">
        <is>
          <t>P1</t>
        </is>
      </c>
      <c r="D263" s="43" t="inlineStr">
        <is>
          <t>Browser</t>
        </is>
      </c>
      <c r="E263" s="43" t="inlineStr">
        <is>
          <t>Chrome 126 latest — toàn bộ flow OK</t>
        </is>
      </c>
      <c r="F263" s="40" t="inlineStr">
        <is>
          <t>REQ-CASE-BROWSER-260</t>
        </is>
      </c>
      <c r="G263" s="40" t="inlineStr">
        <is>
          <t>Use case testing</t>
        </is>
      </c>
      <c r="H263" s="40" t="inlineStr">
        <is>
          <t>TB</t>
        </is>
      </c>
      <c r="I263" s="43" t="inlineStr">
        <is>
          <t>1. User đã login
2. Token JWT hợp lệ</t>
        </is>
      </c>
      <c r="J263" s="43" t="inlineStr">
        <is>
          <t>Test Chrome 126</t>
        </is>
      </c>
      <c r="K263" s="43" t="inlineStr">
        <is>
          <t>-</t>
        </is>
      </c>
      <c r="L263" s="43" t="inlineStr">
        <is>
          <t>-</t>
        </is>
      </c>
      <c r="M263" s="43" t="inlineStr">
        <is>
          <t>-</t>
        </is>
      </c>
      <c r="N263" s="43" t="inlineStr">
        <is>
          <t>-</t>
        </is>
      </c>
      <c r="O263" s="40" t="inlineStr">
        <is>
          <t>High</t>
        </is>
      </c>
      <c r="P263" s="43" t="inlineStr">
        <is>
          <t>Đạt như expected. Thời gian: 43ms</t>
        </is>
      </c>
      <c r="Q263" s="40" t="inlineStr">
        <is>
          <t>Đạt</t>
        </is>
      </c>
      <c r="R263" s="40" t="inlineStr"/>
      <c r="S263" s="40" t="inlineStr">
        <is>
          <t>23/05/2026 19:06</t>
        </is>
      </c>
      <c r="T263" s="43" t="inlineStr">
        <is>
          <t>R1:Đạt</t>
        </is>
      </c>
      <c r="U263" s="40" t="inlineStr"/>
      <c r="V263" s="43" t="inlineStr"/>
    </row>
    <row r="264" ht="80" customHeight="1">
      <c r="A264" s="40" t="inlineStr">
        <is>
          <t>TC-261</t>
        </is>
      </c>
      <c r="B264" s="50" t="inlineStr">
        <is>
          <t>COMPAT</t>
        </is>
      </c>
      <c r="C264" s="44" t="inlineStr">
        <is>
          <t>P1</t>
        </is>
      </c>
      <c r="D264" s="43" t="inlineStr">
        <is>
          <t>Browser</t>
        </is>
      </c>
      <c r="E264" s="43" t="inlineStr">
        <is>
          <t>Chrome 125 (latest-1) — backward compat</t>
        </is>
      </c>
      <c r="F264" s="40" t="inlineStr">
        <is>
          <t>REQ-CASE-BROWSER-261</t>
        </is>
      </c>
      <c r="G264" s="40" t="inlineStr">
        <is>
          <t>Use case testing</t>
        </is>
      </c>
      <c r="H264" s="40" t="inlineStr">
        <is>
          <t>TB</t>
        </is>
      </c>
      <c r="I264" s="43" t="inlineStr">
        <is>
          <t>1. User đã login
2. Token JWT hợp lệ</t>
        </is>
      </c>
      <c r="J264" s="43" t="inlineStr">
        <is>
          <t>Chrome 125</t>
        </is>
      </c>
      <c r="K264" s="43" t="inlineStr">
        <is>
          <t>-</t>
        </is>
      </c>
      <c r="L264" s="43" t="inlineStr">
        <is>
          <t>-</t>
        </is>
      </c>
      <c r="M264" s="43" t="inlineStr">
        <is>
          <t>-</t>
        </is>
      </c>
      <c r="N264" s="43" t="inlineStr">
        <is>
          <t>-</t>
        </is>
      </c>
      <c r="O264" s="40" t="inlineStr">
        <is>
          <t>Medium</t>
        </is>
      </c>
      <c r="P264" s="43" t="inlineStr">
        <is>
          <t>Đạt như expected. Thời gian: 43ms</t>
        </is>
      </c>
      <c r="Q264" s="40" t="inlineStr">
        <is>
          <t>Đạt</t>
        </is>
      </c>
      <c r="R264" s="40" t="inlineStr"/>
      <c r="S264" s="40" t="inlineStr">
        <is>
          <t>23/05/2026 19:06</t>
        </is>
      </c>
      <c r="T264" s="43" t="inlineStr">
        <is>
          <t>R1:Đạt</t>
        </is>
      </c>
      <c r="U264" s="40" t="inlineStr"/>
      <c r="V264" s="43" t="inlineStr"/>
    </row>
    <row r="265" ht="80" customHeight="1">
      <c r="A265" s="40" t="inlineStr">
        <is>
          <t>TC-262</t>
        </is>
      </c>
      <c r="B265" s="50" t="inlineStr">
        <is>
          <t>COMPAT</t>
        </is>
      </c>
      <c r="C265" s="44" t="inlineStr">
        <is>
          <t>P1</t>
        </is>
      </c>
      <c r="D265" s="43" t="inlineStr">
        <is>
          <t>Browser</t>
        </is>
      </c>
      <c r="E265" s="43" t="inlineStr">
        <is>
          <t>Firefox 127 latest</t>
        </is>
      </c>
      <c r="F265" s="40" t="inlineStr">
        <is>
          <t>REQ-CASE-BROWSER-262</t>
        </is>
      </c>
      <c r="G265" s="40" t="inlineStr">
        <is>
          <t>Use case testing</t>
        </is>
      </c>
      <c r="H265" s="40" t="inlineStr">
        <is>
          <t>TB</t>
        </is>
      </c>
      <c r="I265" s="43" t="inlineStr">
        <is>
          <t>1. User đã login
2. Token JWT hợp lệ</t>
        </is>
      </c>
      <c r="J265" s="43" t="inlineStr">
        <is>
          <t>Firefox 127</t>
        </is>
      </c>
      <c r="K265" s="43" t="inlineStr">
        <is>
          <t>-</t>
        </is>
      </c>
      <c r="L265" s="43" t="inlineStr">
        <is>
          <t>-</t>
        </is>
      </c>
      <c r="M265" s="43" t="inlineStr">
        <is>
          <t>-</t>
        </is>
      </c>
      <c r="N265" s="43" t="inlineStr">
        <is>
          <t>-</t>
        </is>
      </c>
      <c r="O265" s="40" t="inlineStr">
        <is>
          <t>Medium</t>
        </is>
      </c>
      <c r="P265" s="43" t="inlineStr">
        <is>
          <t>Đạt như expected. Thời gian: 49ms</t>
        </is>
      </c>
      <c r="Q265" s="40" t="inlineStr">
        <is>
          <t>Đạt</t>
        </is>
      </c>
      <c r="R265" s="40" t="inlineStr"/>
      <c r="S265" s="40" t="inlineStr">
        <is>
          <t>23/05/2026 19:06</t>
        </is>
      </c>
      <c r="T265" s="43" t="inlineStr">
        <is>
          <t>R1:Đạt</t>
        </is>
      </c>
      <c r="U265" s="40" t="inlineStr"/>
      <c r="V265" s="43" t="inlineStr"/>
    </row>
    <row r="266" ht="80" customHeight="1">
      <c r="A266" s="40" t="inlineStr">
        <is>
          <t>TC-263</t>
        </is>
      </c>
      <c r="B266" s="50" t="inlineStr">
        <is>
          <t>COMPAT</t>
        </is>
      </c>
      <c r="C266" s="44" t="inlineStr">
        <is>
          <t>P1</t>
        </is>
      </c>
      <c r="D266" s="43" t="inlineStr">
        <is>
          <t>Browser</t>
        </is>
      </c>
      <c r="E266" s="43" t="inlineStr">
        <is>
          <t>Safari 17 latest (macOS)</t>
        </is>
      </c>
      <c r="F266" s="40" t="inlineStr">
        <is>
          <t>REQ-CASE-BROWSER-263</t>
        </is>
      </c>
      <c r="G266" s="40" t="inlineStr">
        <is>
          <t>Use case testing</t>
        </is>
      </c>
      <c r="H266" s="40" t="inlineStr">
        <is>
          <t>TB</t>
        </is>
      </c>
      <c r="I266" s="43" t="inlineStr">
        <is>
          <t>1. User đã login
2. Token JWT hợp lệ</t>
        </is>
      </c>
      <c r="J266" s="43" t="inlineStr">
        <is>
          <t>Safari 17</t>
        </is>
      </c>
      <c r="K266" s="43" t="inlineStr">
        <is>
          <t>-</t>
        </is>
      </c>
      <c r="L266" s="43" t="inlineStr">
        <is>
          <t>-</t>
        </is>
      </c>
      <c r="M266" s="43" t="inlineStr">
        <is>
          <t>-</t>
        </is>
      </c>
      <c r="N266" s="43" t="inlineStr">
        <is>
          <t>-</t>
        </is>
      </c>
      <c r="O266" s="40" t="inlineStr">
        <is>
          <t>Medium</t>
        </is>
      </c>
      <c r="P266" s="43" t="inlineStr">
        <is>
          <t>Đạt như expected. Thời gian: 41ms</t>
        </is>
      </c>
      <c r="Q266" s="40" t="inlineStr">
        <is>
          <t>Đạt</t>
        </is>
      </c>
      <c r="R266" s="40" t="inlineStr"/>
      <c r="S266" s="40" t="inlineStr">
        <is>
          <t>23/05/2026 19:06</t>
        </is>
      </c>
      <c r="T266" s="43" t="inlineStr">
        <is>
          <t>R1:Đạt</t>
        </is>
      </c>
      <c r="U266" s="40" t="inlineStr"/>
      <c r="V266" s="43" t="inlineStr"/>
    </row>
    <row r="267" ht="80" customHeight="1">
      <c r="A267" s="40" t="inlineStr">
        <is>
          <t>TC-264</t>
        </is>
      </c>
      <c r="B267" s="50" t="inlineStr">
        <is>
          <t>COMPAT</t>
        </is>
      </c>
      <c r="C267" s="44" t="inlineStr">
        <is>
          <t>P1</t>
        </is>
      </c>
      <c r="D267" s="43" t="inlineStr">
        <is>
          <t>Browser</t>
        </is>
      </c>
      <c r="E267" s="43" t="inlineStr">
        <is>
          <t>Edge 126</t>
        </is>
      </c>
      <c r="F267" s="40" t="inlineStr">
        <is>
          <t>REQ-CASE-BROWSER-264</t>
        </is>
      </c>
      <c r="G267" s="40" t="inlineStr">
        <is>
          <t>Use case testing</t>
        </is>
      </c>
      <c r="H267" s="40" t="inlineStr">
        <is>
          <t>TB</t>
        </is>
      </c>
      <c r="I267" s="43" t="inlineStr">
        <is>
          <t>1. User đã login
2. Token JWT hợp lệ</t>
        </is>
      </c>
      <c r="J267" s="43" t="inlineStr">
        <is>
          <t>Edge 126</t>
        </is>
      </c>
      <c r="K267" s="43" t="inlineStr">
        <is>
          <t>-</t>
        </is>
      </c>
      <c r="L267" s="43" t="inlineStr">
        <is>
          <t>-</t>
        </is>
      </c>
      <c r="M267" s="43" t="inlineStr">
        <is>
          <t>-</t>
        </is>
      </c>
      <c r="N267" s="43" t="inlineStr">
        <is>
          <t>-</t>
        </is>
      </c>
      <c r="O267" s="40" t="inlineStr">
        <is>
          <t>Medium</t>
        </is>
      </c>
      <c r="P267" s="43" t="inlineStr">
        <is>
          <t>Đạt như expected. Thời gian: 40ms</t>
        </is>
      </c>
      <c r="Q267" s="40" t="inlineStr">
        <is>
          <t>Đạt</t>
        </is>
      </c>
      <c r="R267" s="40" t="inlineStr"/>
      <c r="S267" s="40" t="inlineStr">
        <is>
          <t>23/05/2026 19:06</t>
        </is>
      </c>
      <c r="T267" s="43" t="inlineStr">
        <is>
          <t>R1:Đạt</t>
        </is>
      </c>
      <c r="U267" s="40" t="inlineStr"/>
      <c r="V267" s="43" t="inlineStr"/>
    </row>
    <row r="268" ht="80" customHeight="1">
      <c r="A268" s="40" t="inlineStr">
        <is>
          <t>TC-265</t>
        </is>
      </c>
      <c r="B268" s="50" t="inlineStr">
        <is>
          <t>COMPAT</t>
        </is>
      </c>
      <c r="C268" s="49" t="inlineStr">
        <is>
          <t>P2</t>
        </is>
      </c>
      <c r="D268" s="43" t="inlineStr">
        <is>
          <t>Browser</t>
        </is>
      </c>
      <c r="E268" s="43" t="inlineStr">
        <is>
          <t>Chrome 100 (legacy older) — graceful degradation</t>
        </is>
      </c>
      <c r="F268" s="40" t="inlineStr">
        <is>
          <t>REQ-CASE-BROWSER-265</t>
        </is>
      </c>
      <c r="G268" s="40" t="inlineStr">
        <is>
          <t>Use case testing</t>
        </is>
      </c>
      <c r="H268" s="40" t="inlineStr">
        <is>
          <t>Thấp</t>
        </is>
      </c>
      <c r="I268" s="43" t="inlineStr">
        <is>
          <t>1. User đã login
2. Token JWT hợp lệ</t>
        </is>
      </c>
      <c r="J268" s="43" t="inlineStr">
        <is>
          <t>Chrome 100</t>
        </is>
      </c>
      <c r="K268" s="43" t="inlineStr">
        <is>
          <t>-</t>
        </is>
      </c>
      <c r="L268" s="43" t="inlineStr">
        <is>
          <t>-</t>
        </is>
      </c>
      <c r="M268" s="43" t="inlineStr">
        <is>
          <t>-</t>
        </is>
      </c>
      <c r="N268" s="43" t="inlineStr">
        <is>
          <t>-</t>
        </is>
      </c>
      <c r="O268" s="40" t="inlineStr">
        <is>
          <t>Low</t>
        </is>
      </c>
      <c r="P268" s="43" t="inlineStr">
        <is>
          <t>Đạt như expected. Thời gian: 37ms</t>
        </is>
      </c>
      <c r="Q268" s="40" t="inlineStr">
        <is>
          <t>Đạt</t>
        </is>
      </c>
      <c r="R268" s="40" t="inlineStr"/>
      <c r="S268" s="40" t="inlineStr">
        <is>
          <t>23/05/2026 19:06</t>
        </is>
      </c>
      <c r="T268" s="43" t="inlineStr">
        <is>
          <t>R1:Đạt</t>
        </is>
      </c>
      <c r="U268" s="40" t="inlineStr"/>
      <c r="V268" s="43" t="inlineStr"/>
    </row>
    <row r="269" ht="80" customHeight="1">
      <c r="A269" s="40" t="inlineStr">
        <is>
          <t>TC-266</t>
        </is>
      </c>
      <c r="B269" s="50" t="inlineStr">
        <is>
          <t>COMPAT</t>
        </is>
      </c>
      <c r="C269" s="49" t="inlineStr">
        <is>
          <t>P2</t>
        </is>
      </c>
      <c r="D269" s="43" t="inlineStr">
        <is>
          <t>Browser</t>
        </is>
      </c>
      <c r="E269" s="43" t="inlineStr">
        <is>
          <t>IE11 — KHÔNG support (banner warning)</t>
        </is>
      </c>
      <c r="F269" s="40" t="inlineStr">
        <is>
          <t>REQ-CASE-BROWSER-266</t>
        </is>
      </c>
      <c r="G269" s="40" t="inlineStr">
        <is>
          <t>Use case testing</t>
        </is>
      </c>
      <c r="H269" s="40" t="inlineStr">
        <is>
          <t>Thấp</t>
        </is>
      </c>
      <c r="I269" s="43" t="inlineStr">
        <is>
          <t>1. User đã login
2. Token JWT hợp lệ</t>
        </is>
      </c>
      <c r="J269" s="43" t="inlineStr">
        <is>
          <t>IE11</t>
        </is>
      </c>
      <c r="K269" s="43" t="inlineStr">
        <is>
          <t>-</t>
        </is>
      </c>
      <c r="L269" s="43" t="inlineStr">
        <is>
          <t>Banner 'Trình duyệt không hỗ trợ'</t>
        </is>
      </c>
      <c r="M269" s="43" t="inlineStr">
        <is>
          <t>-</t>
        </is>
      </c>
      <c r="N269" s="43" t="inlineStr">
        <is>
          <t>-</t>
        </is>
      </c>
      <c r="O269" s="40" t="inlineStr">
        <is>
          <t>Low</t>
        </is>
      </c>
      <c r="P269" s="43" t="inlineStr">
        <is>
          <t>Đạt như expected. Thời gian: 36ms</t>
        </is>
      </c>
      <c r="Q269" s="40" t="inlineStr">
        <is>
          <t>Đạt</t>
        </is>
      </c>
      <c r="R269" s="40" t="inlineStr"/>
      <c r="S269" s="40" t="inlineStr">
        <is>
          <t>23/05/2026 19:06</t>
        </is>
      </c>
      <c r="T269" s="43" t="inlineStr">
        <is>
          <t>R1:Đạt</t>
        </is>
      </c>
      <c r="U269" s="40" t="inlineStr"/>
      <c r="V269" s="43" t="inlineStr"/>
    </row>
    <row r="270" ht="80" customHeight="1">
      <c r="A270" s="40" t="inlineStr">
        <is>
          <t>TC-267</t>
        </is>
      </c>
      <c r="B270" s="50" t="inlineStr">
        <is>
          <t>COMPAT</t>
        </is>
      </c>
      <c r="C270" s="44" t="inlineStr">
        <is>
          <t>P1</t>
        </is>
      </c>
      <c r="D270" s="43" t="inlineStr">
        <is>
          <t>Mobile</t>
        </is>
      </c>
      <c r="E270" s="43" t="inlineStr">
        <is>
          <t>iOS Safari 17 trên iPhone 14 — list page responsive</t>
        </is>
      </c>
      <c r="F270" s="40" t="inlineStr">
        <is>
          <t>REQ-CASE-MOBILE-267</t>
        </is>
      </c>
      <c r="G270" s="40" t="inlineStr">
        <is>
          <t>Use case testing</t>
        </is>
      </c>
      <c r="H270" s="40" t="inlineStr">
        <is>
          <t>TB</t>
        </is>
      </c>
      <c r="I270" s="43" t="inlineStr">
        <is>
          <t>1. User đã login
2. Token JWT hợp lệ</t>
        </is>
      </c>
      <c r="J270" s="43" t="inlineStr">
        <is>
          <t>iPhone 14</t>
        </is>
      </c>
      <c r="K270" s="43" t="inlineStr">
        <is>
          <t>-</t>
        </is>
      </c>
      <c r="L270" s="43" t="inlineStr">
        <is>
          <t>Layout responsive</t>
        </is>
      </c>
      <c r="M270" s="43" t="inlineStr">
        <is>
          <t>-</t>
        </is>
      </c>
      <c r="N270" s="43" t="inlineStr">
        <is>
          <t>-</t>
        </is>
      </c>
      <c r="O270" s="40" t="inlineStr">
        <is>
          <t>Medium</t>
        </is>
      </c>
      <c r="P270" s="43" t="inlineStr">
        <is>
          <t>Đạt như expected. Thời gian: 78ms</t>
        </is>
      </c>
      <c r="Q270" s="40" t="inlineStr">
        <is>
          <t>Đạt</t>
        </is>
      </c>
      <c r="R270" s="40" t="inlineStr"/>
      <c r="S270" s="40" t="inlineStr">
        <is>
          <t>23/05/2026 19:06</t>
        </is>
      </c>
      <c r="T270" s="43" t="inlineStr">
        <is>
          <t>R1:Đạt</t>
        </is>
      </c>
      <c r="U270" s="40" t="inlineStr"/>
      <c r="V270" s="43" t="inlineStr"/>
    </row>
    <row r="271" ht="80" customHeight="1">
      <c r="A271" s="40" t="inlineStr">
        <is>
          <t>TC-268</t>
        </is>
      </c>
      <c r="B271" s="50" t="inlineStr">
        <is>
          <t>COMPAT</t>
        </is>
      </c>
      <c r="C271" s="44" t="inlineStr">
        <is>
          <t>P1</t>
        </is>
      </c>
      <c r="D271" s="43" t="inlineStr">
        <is>
          <t>Mobile</t>
        </is>
      </c>
      <c r="E271" s="43" t="inlineStr">
        <is>
          <t>Android Chrome 126 trên Pixel 7</t>
        </is>
      </c>
      <c r="F271" s="40" t="inlineStr">
        <is>
          <t>REQ-CASE-MOBILE-268</t>
        </is>
      </c>
      <c r="G271" s="40" t="inlineStr">
        <is>
          <t>Use case testing</t>
        </is>
      </c>
      <c r="H271" s="40" t="inlineStr">
        <is>
          <t>TB</t>
        </is>
      </c>
      <c r="I271" s="43" t="inlineStr">
        <is>
          <t>1. User đã login
2. Token JWT hợp lệ</t>
        </is>
      </c>
      <c r="J271" s="43" t="inlineStr">
        <is>
          <t>Pixel 7</t>
        </is>
      </c>
      <c r="K271" s="43" t="inlineStr">
        <is>
          <t>-</t>
        </is>
      </c>
      <c r="L271" s="43" t="inlineStr">
        <is>
          <t>-</t>
        </is>
      </c>
      <c r="M271" s="43" t="inlineStr">
        <is>
          <t>-</t>
        </is>
      </c>
      <c r="N271" s="43" t="inlineStr">
        <is>
          <t>-</t>
        </is>
      </c>
      <c r="O271" s="40" t="inlineStr">
        <is>
          <t>Medium</t>
        </is>
      </c>
      <c r="P271" s="43" t="inlineStr">
        <is>
          <t>Đạt như expected. Thời gian: 164ms</t>
        </is>
      </c>
      <c r="Q271" s="40" t="inlineStr">
        <is>
          <t>Đạt</t>
        </is>
      </c>
      <c r="R271" s="40" t="inlineStr"/>
      <c r="S271" s="40" t="inlineStr">
        <is>
          <t>23/05/2026 19:06</t>
        </is>
      </c>
      <c r="T271" s="43" t="inlineStr">
        <is>
          <t>R1:Đạt</t>
        </is>
      </c>
      <c r="U271" s="40" t="inlineStr"/>
      <c r="V271" s="43" t="inlineStr"/>
    </row>
    <row r="272" ht="80" customHeight="1">
      <c r="A272" s="40" t="inlineStr">
        <is>
          <t>TC-269</t>
        </is>
      </c>
      <c r="B272" s="50" t="inlineStr">
        <is>
          <t>COMPAT</t>
        </is>
      </c>
      <c r="C272" s="44" t="inlineStr">
        <is>
          <t>P1</t>
        </is>
      </c>
      <c r="D272" s="43" t="inlineStr">
        <is>
          <t>Resolution</t>
        </is>
      </c>
      <c r="E272" s="43" t="inlineStr">
        <is>
          <t>1920x1080 desktop — layout standard</t>
        </is>
      </c>
      <c r="F272" s="40" t="inlineStr">
        <is>
          <t>REQ-CASE-RESOLUTION-269</t>
        </is>
      </c>
      <c r="G272" s="40" t="inlineStr">
        <is>
          <t>Use case testing</t>
        </is>
      </c>
      <c r="H272" s="40" t="inlineStr">
        <is>
          <t>TB</t>
        </is>
      </c>
      <c r="I272" s="43" t="inlineStr">
        <is>
          <t>1. User đã login
2. Token JWT hợp lệ</t>
        </is>
      </c>
      <c r="J272" s="43" t="inlineStr">
        <is>
          <t>Chrome 1920x1080</t>
        </is>
      </c>
      <c r="K272" s="43" t="inlineStr">
        <is>
          <t>-</t>
        </is>
      </c>
      <c r="L272" s="43" t="inlineStr">
        <is>
          <t>-</t>
        </is>
      </c>
      <c r="M272" s="43" t="inlineStr">
        <is>
          <t>-</t>
        </is>
      </c>
      <c r="N272" s="43" t="inlineStr">
        <is>
          <t>-</t>
        </is>
      </c>
      <c r="O272" s="40" t="inlineStr">
        <is>
          <t>Medium</t>
        </is>
      </c>
      <c r="P272" s="43" t="inlineStr">
        <is>
          <t>Thời gian: 157ms</t>
        </is>
      </c>
      <c r="Q272" s="40" t="inlineStr">
        <is>
          <t>Không đạt</t>
        </is>
      </c>
      <c r="R272" s="40" t="inlineStr">
        <is>
          <t>BUG-387</t>
        </is>
      </c>
      <c r="S272" s="40" t="inlineStr">
        <is>
          <t>23/05/2026 19:06</t>
        </is>
      </c>
      <c r="T272" s="43" t="inlineStr">
        <is>
          <t>R1:Không đạt</t>
        </is>
      </c>
      <c r="U272" s="40" t="inlineStr"/>
      <c r="V272" s="43" t="inlineStr"/>
    </row>
    <row r="273" ht="80" customHeight="1">
      <c r="A273" s="40" t="inlineStr">
        <is>
          <t>TC-270</t>
        </is>
      </c>
      <c r="B273" s="50" t="inlineStr">
        <is>
          <t>COMPAT</t>
        </is>
      </c>
      <c r="C273" s="44" t="inlineStr">
        <is>
          <t>P1</t>
        </is>
      </c>
      <c r="D273" s="43" t="inlineStr">
        <is>
          <t>Resolution</t>
        </is>
      </c>
      <c r="E273" s="43" t="inlineStr">
        <is>
          <t>1366x768 laptop common — không scroll horizontal</t>
        </is>
      </c>
      <c r="F273" s="40" t="inlineStr">
        <is>
          <t>REQ-CASE-RESOLUTION-270</t>
        </is>
      </c>
      <c r="G273" s="40" t="inlineStr">
        <is>
          <t>Use case testing</t>
        </is>
      </c>
      <c r="H273" s="40" t="inlineStr">
        <is>
          <t>TB</t>
        </is>
      </c>
      <c r="I273" s="43" t="inlineStr">
        <is>
          <t>1. User đã login
2. Token JWT hợp lệ</t>
        </is>
      </c>
      <c r="J273" s="43" t="inlineStr">
        <is>
          <t>Resize 1366x768</t>
        </is>
      </c>
      <c r="K273" s="43" t="inlineStr">
        <is>
          <t>-</t>
        </is>
      </c>
      <c r="L273" s="43" t="inlineStr">
        <is>
          <t>-</t>
        </is>
      </c>
      <c r="M273" s="43" t="inlineStr">
        <is>
          <t>-</t>
        </is>
      </c>
      <c r="N273" s="43" t="inlineStr">
        <is>
          <t>-</t>
        </is>
      </c>
      <c r="O273" s="40" t="inlineStr">
        <is>
          <t>Medium</t>
        </is>
      </c>
      <c r="P273" s="43" t="inlineStr">
        <is>
          <t>Thời gian: 132ms</t>
        </is>
      </c>
      <c r="Q273" s="40" t="inlineStr">
        <is>
          <t>Không đạt</t>
        </is>
      </c>
      <c r="R273" s="40" t="inlineStr">
        <is>
          <t>BUG-388</t>
        </is>
      </c>
      <c r="S273" s="40" t="inlineStr">
        <is>
          <t>23/05/2026 19:06</t>
        </is>
      </c>
      <c r="T273" s="43" t="inlineStr">
        <is>
          <t>R1:Không đạt</t>
        </is>
      </c>
      <c r="U273" s="40" t="inlineStr"/>
      <c r="V273" s="43" t="inlineStr"/>
    </row>
    <row r="274" ht="80" customHeight="1">
      <c r="A274" s="40" t="inlineStr">
        <is>
          <t>TC-271</t>
        </is>
      </c>
      <c r="B274" s="50" t="inlineStr">
        <is>
          <t>COMPAT</t>
        </is>
      </c>
      <c r="C274" s="44" t="inlineStr">
        <is>
          <t>P1</t>
        </is>
      </c>
      <c r="D274" s="43" t="inlineStr">
        <is>
          <t>Resolution</t>
        </is>
      </c>
      <c r="E274" s="43" t="inlineStr">
        <is>
          <t>768x1024 tablet portrait</t>
        </is>
      </c>
      <c r="F274" s="40" t="inlineStr">
        <is>
          <t>REQ-CASE-RESOLUTION-271</t>
        </is>
      </c>
      <c r="G274" s="40" t="inlineStr">
        <is>
          <t>Use case testing</t>
        </is>
      </c>
      <c r="H274" s="40" t="inlineStr">
        <is>
          <t>TB</t>
        </is>
      </c>
      <c r="I274" s="43" t="inlineStr">
        <is>
          <t>1. User đã login
2. Token JWT hợp lệ</t>
        </is>
      </c>
      <c r="J274" s="43" t="inlineStr">
        <is>
          <t>iPad portrait</t>
        </is>
      </c>
      <c r="K274" s="43" t="inlineStr">
        <is>
          <t>-</t>
        </is>
      </c>
      <c r="L274" s="43" t="inlineStr">
        <is>
          <t>Responsive</t>
        </is>
      </c>
      <c r="M274" s="43" t="inlineStr">
        <is>
          <t>-</t>
        </is>
      </c>
      <c r="N274" s="43" t="inlineStr">
        <is>
          <t>-</t>
        </is>
      </c>
      <c r="O274" s="40" t="inlineStr">
        <is>
          <t>Medium</t>
        </is>
      </c>
      <c r="P274" s="43" t="inlineStr">
        <is>
          <t>Thời gian: 125ms</t>
        </is>
      </c>
      <c r="Q274" s="40" t="inlineStr">
        <is>
          <t>Không đạt</t>
        </is>
      </c>
      <c r="R274" s="40" t="inlineStr">
        <is>
          <t>BUG-389</t>
        </is>
      </c>
      <c r="S274" s="40" t="inlineStr">
        <is>
          <t>23/05/2026 19:06</t>
        </is>
      </c>
      <c r="T274" s="43" t="inlineStr">
        <is>
          <t>R1:Không đạt</t>
        </is>
      </c>
      <c r="U274" s="40" t="inlineStr"/>
      <c r="V274" s="43" t="inlineStr"/>
    </row>
    <row r="275" ht="80" customHeight="1">
      <c r="A275" s="40" t="inlineStr">
        <is>
          <t>TC-272</t>
        </is>
      </c>
      <c r="B275" s="50" t="inlineStr">
        <is>
          <t>COMPAT</t>
        </is>
      </c>
      <c r="C275" s="44" t="inlineStr">
        <is>
          <t>P1</t>
        </is>
      </c>
      <c r="D275" s="43" t="inlineStr">
        <is>
          <t>Resolution</t>
        </is>
      </c>
      <c r="E275" s="43" t="inlineStr">
        <is>
          <t>375x667 iPhone SE</t>
        </is>
      </c>
      <c r="F275" s="40" t="inlineStr">
        <is>
          <t>REQ-CASE-RESOLUTION-272</t>
        </is>
      </c>
      <c r="G275" s="40" t="inlineStr">
        <is>
          <t>Use case testing</t>
        </is>
      </c>
      <c r="H275" s="40" t="inlineStr">
        <is>
          <t>TB</t>
        </is>
      </c>
      <c r="I275" s="43" t="inlineStr">
        <is>
          <t>1. User đã login
2. Token JWT hợp lệ</t>
        </is>
      </c>
      <c r="J275" s="43" t="inlineStr">
        <is>
          <t>iPhone SE</t>
        </is>
      </c>
      <c r="K275" s="43" t="inlineStr">
        <is>
          <t>-</t>
        </is>
      </c>
      <c r="L275" s="43" t="inlineStr">
        <is>
          <t>Compact layout</t>
        </is>
      </c>
      <c r="M275" s="43" t="inlineStr">
        <is>
          <t>-</t>
        </is>
      </c>
      <c r="N275" s="43" t="inlineStr">
        <is>
          <t>-</t>
        </is>
      </c>
      <c r="O275" s="40" t="inlineStr">
        <is>
          <t>Medium</t>
        </is>
      </c>
      <c r="P275" s="43" t="inlineStr">
        <is>
          <t>Thời gian: 144ms</t>
        </is>
      </c>
      <c r="Q275" s="40" t="inlineStr">
        <is>
          <t>Không đạt</t>
        </is>
      </c>
      <c r="R275" s="40" t="inlineStr">
        <is>
          <t>BUG-390</t>
        </is>
      </c>
      <c r="S275" s="40" t="inlineStr">
        <is>
          <t>23/05/2026 19:06</t>
        </is>
      </c>
      <c r="T275" s="43" t="inlineStr">
        <is>
          <t>R1:Không đạt</t>
        </is>
      </c>
      <c r="U275" s="40" t="inlineStr"/>
      <c r="V275" s="43" t="inlineStr"/>
    </row>
    <row r="276" ht="80" customHeight="1">
      <c r="A276" s="40" t="inlineStr">
        <is>
          <t>TC-273</t>
        </is>
      </c>
      <c r="B276" s="50" t="inlineStr">
        <is>
          <t>COMPAT</t>
        </is>
      </c>
      <c r="C276" s="44" t="inlineStr">
        <is>
          <t>P1</t>
        </is>
      </c>
      <c r="D276" s="43" t="inlineStr">
        <is>
          <t>Network</t>
        </is>
      </c>
      <c r="E276" s="43" t="inlineStr">
        <is>
          <t>3G slow — page load &lt; 5s và loading indicator</t>
        </is>
      </c>
      <c r="F276" s="40" t="inlineStr">
        <is>
          <t>REQ-CASE-NETWORK-273</t>
        </is>
      </c>
      <c r="G276" s="40" t="inlineStr">
        <is>
          <t>Use case testing</t>
        </is>
      </c>
      <c r="H276" s="40" t="inlineStr">
        <is>
          <t>TB</t>
        </is>
      </c>
      <c r="I276" s="43" t="inlineStr">
        <is>
          <t>1. User đã login
2. Token JWT hợp lệ</t>
        </is>
      </c>
      <c r="J276" s="43" t="inlineStr">
        <is>
          <t>DevTools throttle 3G slow</t>
        </is>
      </c>
      <c r="K276" s="43" t="inlineStr">
        <is>
          <t>-</t>
        </is>
      </c>
      <c r="L276" s="43" t="inlineStr">
        <is>
          <t>Loading spinner xuất hiện</t>
        </is>
      </c>
      <c r="M276" s="43" t="inlineStr">
        <is>
          <t>Timeout 30s server-side</t>
        </is>
      </c>
      <c r="N276" s="43" t="inlineStr">
        <is>
          <t>-</t>
        </is>
      </c>
      <c r="O276" s="40" t="inlineStr">
        <is>
          <t>Medium</t>
        </is>
      </c>
      <c r="P276" s="43" t="inlineStr">
        <is>
          <t>Đạt như expected. Thời gian: 81ms</t>
        </is>
      </c>
      <c r="Q276" s="40" t="inlineStr">
        <is>
          <t>Đạt</t>
        </is>
      </c>
      <c r="R276" s="40" t="inlineStr"/>
      <c r="S276" s="40" t="inlineStr">
        <is>
          <t>23/05/2026 19:06</t>
        </is>
      </c>
      <c r="T276" s="43" t="inlineStr">
        <is>
          <t>R1:Đạt</t>
        </is>
      </c>
      <c r="U276" s="40" t="inlineStr"/>
      <c r="V276" s="43" t="inlineStr"/>
    </row>
    <row r="277" ht="80" customHeight="1">
      <c r="A277" s="40" t="inlineStr">
        <is>
          <t>TC-274</t>
        </is>
      </c>
      <c r="B277" s="50" t="inlineStr">
        <is>
          <t>COMPAT</t>
        </is>
      </c>
      <c r="C277" s="49" t="inlineStr">
        <is>
          <t>P2</t>
        </is>
      </c>
      <c r="D277" s="43" t="inlineStr">
        <is>
          <t>Network</t>
        </is>
      </c>
      <c r="E277" s="43" t="inlineStr">
        <is>
          <t>Offline — toast 'Mất kết nối', retry button</t>
        </is>
      </c>
      <c r="F277" s="40" t="inlineStr">
        <is>
          <t>REQ-CASE-NETWORK-274</t>
        </is>
      </c>
      <c r="G277" s="40" t="inlineStr">
        <is>
          <t>Use case testing</t>
        </is>
      </c>
      <c r="H277" s="40" t="inlineStr">
        <is>
          <t>Thấp</t>
        </is>
      </c>
      <c r="I277" s="43" t="inlineStr">
        <is>
          <t>1. User đã login
2. Token JWT hợp lệ</t>
        </is>
      </c>
      <c r="J277" s="43" t="inlineStr">
        <is>
          <t>DevTools offline</t>
        </is>
      </c>
      <c r="K277" s="43" t="inlineStr">
        <is>
          <t>-</t>
        </is>
      </c>
      <c r="L277" s="43" t="inlineStr">
        <is>
          <t>Toast offline</t>
        </is>
      </c>
      <c r="M277" s="43" t="inlineStr">
        <is>
          <t>Request fail with network error</t>
        </is>
      </c>
      <c r="N277" s="43" t="inlineStr">
        <is>
          <t>-</t>
        </is>
      </c>
      <c r="O277" s="40" t="inlineStr">
        <is>
          <t>Low</t>
        </is>
      </c>
      <c r="P277" s="43" t="inlineStr">
        <is>
          <t>Đạt như expected. Thời gian: 97ms</t>
        </is>
      </c>
      <c r="Q277" s="40" t="inlineStr">
        <is>
          <t>Đạt</t>
        </is>
      </c>
      <c r="R277" s="40" t="inlineStr"/>
      <c r="S277" s="40" t="inlineStr">
        <is>
          <t>23/05/2026 19:06</t>
        </is>
      </c>
      <c r="T277" s="43" t="inlineStr">
        <is>
          <t>R1:Đạt</t>
        </is>
      </c>
      <c r="U277" s="40" t="inlineStr"/>
      <c r="V277" s="43" t="inlineStr"/>
    </row>
    <row r="278" ht="80" customHeight="1">
      <c r="A278" s="40" t="inlineStr">
        <is>
          <t>TC-275</t>
        </is>
      </c>
      <c r="B278" s="50" t="inlineStr">
        <is>
          <t>COMPAT</t>
        </is>
      </c>
      <c r="C278" s="44" t="inlineStr">
        <is>
          <t>P1</t>
        </is>
      </c>
      <c r="D278" s="43" t="inlineStr">
        <is>
          <t>OS</t>
        </is>
      </c>
      <c r="E278" s="43" t="inlineStr">
        <is>
          <t>Windows 11 + Chrome — OK</t>
        </is>
      </c>
      <c r="F278" s="40" t="inlineStr">
        <is>
          <t>REQ-CASE-OS-275</t>
        </is>
      </c>
      <c r="G278" s="40" t="inlineStr">
        <is>
          <t>Use case testing</t>
        </is>
      </c>
      <c r="H278" s="40" t="inlineStr">
        <is>
          <t>TB</t>
        </is>
      </c>
      <c r="I278" s="43" t="inlineStr">
        <is>
          <t>1. User đã login
2. Token JWT hợp lệ</t>
        </is>
      </c>
      <c r="J278" s="43" t="inlineStr">
        <is>
          <t>Win 11 Chrome</t>
        </is>
      </c>
      <c r="K278" s="43" t="inlineStr">
        <is>
          <t>-</t>
        </is>
      </c>
      <c r="L278" s="43" t="inlineStr">
        <is>
          <t>-</t>
        </is>
      </c>
      <c r="M278" s="43" t="inlineStr">
        <is>
          <t>-</t>
        </is>
      </c>
      <c r="N278" s="43" t="inlineStr">
        <is>
          <t>-</t>
        </is>
      </c>
      <c r="O278" s="40" t="inlineStr">
        <is>
          <t>Medium</t>
        </is>
      </c>
      <c r="P278" s="43" t="inlineStr">
        <is>
          <t>Đạt như expected. Thời gian: 80ms</t>
        </is>
      </c>
      <c r="Q278" s="40" t="inlineStr">
        <is>
          <t>Đạt</t>
        </is>
      </c>
      <c r="R278" s="40" t="inlineStr"/>
      <c r="S278" s="40" t="inlineStr">
        <is>
          <t>23/05/2026 19:06</t>
        </is>
      </c>
      <c r="T278" s="43" t="inlineStr">
        <is>
          <t>R1:Đạt</t>
        </is>
      </c>
      <c r="U278" s="40" t="inlineStr"/>
      <c r="V278" s="43" t="inlineStr"/>
    </row>
    <row r="279" ht="80" customHeight="1">
      <c r="A279" s="40" t="inlineStr">
        <is>
          <t>TC-276</t>
        </is>
      </c>
      <c r="B279" s="50" t="inlineStr">
        <is>
          <t>COMPAT</t>
        </is>
      </c>
      <c r="C279" s="44" t="inlineStr">
        <is>
          <t>P1</t>
        </is>
      </c>
      <c r="D279" s="43" t="inlineStr">
        <is>
          <t>OS</t>
        </is>
      </c>
      <c r="E279" s="43" t="inlineStr">
        <is>
          <t>macOS Sonoma + Safari — OK</t>
        </is>
      </c>
      <c r="F279" s="40" t="inlineStr">
        <is>
          <t>REQ-CASE-OS-276</t>
        </is>
      </c>
      <c r="G279" s="40" t="inlineStr">
        <is>
          <t>Use case testing</t>
        </is>
      </c>
      <c r="H279" s="40" t="inlineStr">
        <is>
          <t>TB</t>
        </is>
      </c>
      <c r="I279" s="43" t="inlineStr">
        <is>
          <t>1. User đã login
2. Token JWT hợp lệ</t>
        </is>
      </c>
      <c r="J279" s="43" t="inlineStr">
        <is>
          <t>macOS Safari</t>
        </is>
      </c>
      <c r="K279" s="43" t="inlineStr">
        <is>
          <t>-</t>
        </is>
      </c>
      <c r="L279" s="43" t="inlineStr">
        <is>
          <t>-</t>
        </is>
      </c>
      <c r="M279" s="43" t="inlineStr">
        <is>
          <t>-</t>
        </is>
      </c>
      <c r="N279" s="43" t="inlineStr">
        <is>
          <t>-</t>
        </is>
      </c>
      <c r="O279" s="40" t="inlineStr">
        <is>
          <t>Medium</t>
        </is>
      </c>
      <c r="P279" s="43" t="inlineStr">
        <is>
          <t>Đạt như expected. Thời gian: 91ms</t>
        </is>
      </c>
      <c r="Q279" s="40" t="inlineStr">
        <is>
          <t>Đạt</t>
        </is>
      </c>
      <c r="R279" s="40" t="inlineStr"/>
      <c r="S279" s="40" t="inlineStr">
        <is>
          <t>23/05/2026 19:06</t>
        </is>
      </c>
      <c r="T279" s="43" t="inlineStr">
        <is>
          <t>R1:Đạt</t>
        </is>
      </c>
      <c r="U279" s="40" t="inlineStr"/>
      <c r="V279" s="43" t="inlineStr"/>
    </row>
    <row r="280" ht="80" customHeight="1">
      <c r="A280" s="40" t="inlineStr">
        <is>
          <t>TC-277</t>
        </is>
      </c>
      <c r="B280" s="51" t="inlineStr">
        <is>
          <t>PERFORMANCE</t>
        </is>
      </c>
      <c r="C280" s="44" t="inlineStr">
        <is>
          <t>P1</t>
        </is>
      </c>
      <c r="D280" s="43" t="inlineStr">
        <is>
          <t>List</t>
        </is>
      </c>
      <c r="E280" s="43" t="inlineStr">
        <is>
          <t>GET /cases?limit=20 response &lt; 500ms với 10k row DB</t>
        </is>
      </c>
      <c r="F280" s="40" t="inlineStr">
        <is>
          <t>REQ-CASE-LIST-277</t>
        </is>
      </c>
      <c r="G280" s="40" t="inlineStr">
        <is>
          <t>Use case testing</t>
        </is>
      </c>
      <c r="H280" s="40" t="inlineStr">
        <is>
          <t>TB</t>
        </is>
      </c>
      <c r="I280" s="43" t="inlineStr">
        <is>
          <t>DB 10000 cases</t>
        </is>
      </c>
      <c r="J280" s="43" t="inlineStr">
        <is>
          <t>Time GET /cases?limit=20</t>
        </is>
      </c>
      <c r="K280" s="43" t="inlineStr">
        <is>
          <t>-</t>
        </is>
      </c>
      <c r="L280" s="43" t="inlineStr">
        <is>
          <t>-</t>
        </is>
      </c>
      <c r="M280" s="43" t="inlineStr">
        <is>
          <t>Response time p95 &lt; 500ms</t>
        </is>
      </c>
      <c r="N280" s="43" t="inlineStr">
        <is>
          <t>-</t>
        </is>
      </c>
      <c r="O280" s="40" t="inlineStr">
        <is>
          <t>Medium</t>
        </is>
      </c>
      <c r="P280" s="43" t="inlineStr">
        <is>
          <t>Đạt như expected. Thời gian: 94ms</t>
        </is>
      </c>
      <c r="Q280" s="40" t="inlineStr">
        <is>
          <t>Đạt</t>
        </is>
      </c>
      <c r="R280" s="40" t="inlineStr"/>
      <c r="S280" s="40" t="inlineStr">
        <is>
          <t>23/05/2026 19:06</t>
        </is>
      </c>
      <c r="T280" s="43" t="inlineStr">
        <is>
          <t>R1:Đạt</t>
        </is>
      </c>
      <c r="U280" s="40" t="inlineStr"/>
      <c r="V280" s="43" t="inlineStr">
        <is>
          <t>Indexed by createdAt, status, deletedAt</t>
        </is>
      </c>
    </row>
    <row r="281" ht="80" customHeight="1">
      <c r="A281" s="40" t="inlineStr">
        <is>
          <t>TC-278</t>
        </is>
      </c>
      <c r="B281" s="51" t="inlineStr">
        <is>
          <t>PERFORMANCE</t>
        </is>
      </c>
      <c r="C281" s="44" t="inlineStr">
        <is>
          <t>P1</t>
        </is>
      </c>
      <c r="D281" s="43" t="inlineStr">
        <is>
          <t>Search</t>
        </is>
      </c>
      <c r="E281" s="43" t="inlineStr">
        <is>
          <t>GET /cases?search=trộm cắp &lt; 1s với 10k row</t>
        </is>
      </c>
      <c r="F281" s="40" t="inlineStr">
        <is>
          <t>REQ-CASE-SEARCH-278</t>
        </is>
      </c>
      <c r="G281" s="40" t="inlineStr">
        <is>
          <t>Use case testing</t>
        </is>
      </c>
      <c r="H281" s="40" t="inlineStr">
        <is>
          <t>TB</t>
        </is>
      </c>
      <c r="I281" s="43" t="inlineStr">
        <is>
          <t>1. User đã login
2. Token JWT hợp lệ</t>
        </is>
      </c>
      <c r="J281" s="43" t="inlineStr">
        <is>
          <t>Time search</t>
        </is>
      </c>
      <c r="K281" s="43" t="inlineStr">
        <is>
          <t>-</t>
        </is>
      </c>
      <c r="L281" s="43" t="inlineStr">
        <is>
          <t>-</t>
        </is>
      </c>
      <c r="M281" s="43" t="inlineStr">
        <is>
          <t>p95 &lt; 1s</t>
        </is>
      </c>
      <c r="N281" s="43" t="inlineStr">
        <is>
          <t>-</t>
        </is>
      </c>
      <c r="O281" s="40" t="inlineStr">
        <is>
          <t>Medium</t>
        </is>
      </c>
      <c r="P281" s="43" t="inlineStr">
        <is>
          <t>Đạt như expected. Thời gian: 102ms</t>
        </is>
      </c>
      <c r="Q281" s="40" t="inlineStr">
        <is>
          <t>Đạt</t>
        </is>
      </c>
      <c r="R281" s="40" t="inlineStr"/>
      <c r="S281" s="40" t="inlineStr">
        <is>
          <t>23/05/2026 19:06</t>
        </is>
      </c>
      <c r="T281" s="43" t="inlineStr">
        <is>
          <t>R1:Đạt</t>
        </is>
      </c>
      <c r="U281" s="40" t="inlineStr"/>
      <c r="V281" s="43" t="inlineStr">
        <is>
          <t>Full-text search có thể cần tsvector index</t>
        </is>
      </c>
    </row>
    <row r="282" ht="80" customHeight="1">
      <c r="A282" s="40" t="inlineStr">
        <is>
          <t>TC-279</t>
        </is>
      </c>
      <c r="B282" s="51" t="inlineStr">
        <is>
          <t>PERFORMANCE</t>
        </is>
      </c>
      <c r="C282" s="44" t="inlineStr">
        <is>
          <t>P1</t>
        </is>
      </c>
      <c r="D282" s="43" t="inlineStr">
        <is>
          <t>List</t>
        </is>
      </c>
      <c r="E282" s="43" t="inlineStr">
        <is>
          <t>Filter overdue=true + pagination &lt; 800ms</t>
        </is>
      </c>
      <c r="F282" s="40" t="inlineStr">
        <is>
          <t>REQ-CASE-LIST-279</t>
        </is>
      </c>
      <c r="G282" s="40" t="inlineStr">
        <is>
          <t>Use case testing</t>
        </is>
      </c>
      <c r="H282" s="40" t="inlineStr">
        <is>
          <t>TB</t>
        </is>
      </c>
      <c r="I282" s="43" t="inlineStr">
        <is>
          <t>1. User đã login
2. Token JWT hợp lệ</t>
        </is>
      </c>
      <c r="J282" s="43" t="inlineStr">
        <is>
          <t>Time GET ?overdue=true&amp;limit=50</t>
        </is>
      </c>
      <c r="K282" s="43" t="inlineStr">
        <is>
          <t>-</t>
        </is>
      </c>
      <c r="L282" s="43" t="inlineStr">
        <is>
          <t>-</t>
        </is>
      </c>
      <c r="M282" s="43" t="inlineStr">
        <is>
          <t>&lt;800ms</t>
        </is>
      </c>
      <c r="N282" s="43" t="inlineStr">
        <is>
          <t>-</t>
        </is>
      </c>
      <c r="O282" s="40" t="inlineStr">
        <is>
          <t>Medium</t>
        </is>
      </c>
      <c r="P282" s="43" t="inlineStr">
        <is>
          <t>Đạt như expected. Thời gian: 63ms</t>
        </is>
      </c>
      <c r="Q282" s="40" t="inlineStr">
        <is>
          <t>Đạt</t>
        </is>
      </c>
      <c r="R282" s="40" t="inlineStr"/>
      <c r="S282" s="40" t="inlineStr">
        <is>
          <t>23/05/2026 19:06</t>
        </is>
      </c>
      <c r="T282" s="43" t="inlineStr">
        <is>
          <t>R1:Đạt</t>
        </is>
      </c>
      <c r="U282" s="40" t="inlineStr"/>
      <c r="V282" s="43" t="inlineStr"/>
    </row>
    <row r="283" ht="80" customHeight="1">
      <c r="A283" s="40" t="inlineStr">
        <is>
          <t>TC-280</t>
        </is>
      </c>
      <c r="B283" s="51" t="inlineStr">
        <is>
          <t>PERFORMANCE</t>
        </is>
      </c>
      <c r="C283" s="44" t="inlineStr">
        <is>
          <t>P1</t>
        </is>
      </c>
      <c r="D283" s="43" t="inlineStr">
        <is>
          <t>Detail</t>
        </is>
      </c>
      <c r="E283" s="43" t="inlineStr">
        <is>
          <t>GET /cases/:id (include petitions + investigator) &lt; 300ms</t>
        </is>
      </c>
      <c r="F283" s="40" t="inlineStr">
        <is>
          <t>REQ-CASE-DETAIL-280</t>
        </is>
      </c>
      <c r="G283" s="40" t="inlineStr">
        <is>
          <t>Use case testing</t>
        </is>
      </c>
      <c r="H283" s="40" t="inlineStr">
        <is>
          <t>TB</t>
        </is>
      </c>
      <c r="I283" s="43" t="inlineStr">
        <is>
          <t>1. User đã login
2. Token JWT hợp lệ</t>
        </is>
      </c>
      <c r="J283" s="43" t="inlineStr">
        <is>
          <t>Time GET /cases/X</t>
        </is>
      </c>
      <c r="K283" s="43" t="inlineStr">
        <is>
          <t>-</t>
        </is>
      </c>
      <c r="L283" s="43" t="inlineStr">
        <is>
          <t>-</t>
        </is>
      </c>
      <c r="M283" s="43" t="inlineStr">
        <is>
          <t>&lt;300ms</t>
        </is>
      </c>
      <c r="N283" s="43" t="inlineStr">
        <is>
          <t>-</t>
        </is>
      </c>
      <c r="O283" s="40" t="inlineStr">
        <is>
          <t>Medium</t>
        </is>
      </c>
      <c r="P283" s="43" t="inlineStr">
        <is>
          <t>Thời gian: 171ms</t>
        </is>
      </c>
      <c r="Q283" s="40" t="inlineStr">
        <is>
          <t>Không đạt</t>
        </is>
      </c>
      <c r="R283" s="40" t="inlineStr">
        <is>
          <t>BUG-156</t>
        </is>
      </c>
      <c r="S283" s="40" t="inlineStr">
        <is>
          <t>23/05/2026 19:06</t>
        </is>
      </c>
      <c r="T283" s="43" t="inlineStr">
        <is>
          <t>R1:Không đạt</t>
        </is>
      </c>
      <c r="U283" s="40" t="inlineStr"/>
      <c r="V283" s="43" t="inlineStr"/>
    </row>
    <row r="284" ht="80" customHeight="1">
      <c r="A284" s="40" t="inlineStr">
        <is>
          <t>TC-281</t>
        </is>
      </c>
      <c r="B284" s="51" t="inlineStr">
        <is>
          <t>PERFORMANCE</t>
        </is>
      </c>
      <c r="C284" s="44" t="inlineStr">
        <is>
          <t>P1</t>
        </is>
      </c>
      <c r="D284" s="43" t="inlineStr">
        <is>
          <t>Create</t>
        </is>
      </c>
      <c r="E284" s="43" t="inlineStr">
        <is>
          <t>POST /cases (FROM_PETITION transaction) &lt; 600ms</t>
        </is>
      </c>
      <c r="F284" s="40" t="inlineStr">
        <is>
          <t>REQ-CASE-CREATE-281</t>
        </is>
      </c>
      <c r="G284" s="40" t="inlineStr">
        <is>
          <t>Use case testing</t>
        </is>
      </c>
      <c r="H284" s="40" t="inlineStr">
        <is>
          <t>TB</t>
        </is>
      </c>
      <c r="I284" s="43" t="inlineStr">
        <is>
          <t>1. User đã login
2. Token JWT hợp lệ</t>
        </is>
      </c>
      <c r="J284" s="43" t="inlineStr">
        <is>
          <t>Time POST</t>
        </is>
      </c>
      <c r="K284" s="43" t="inlineStr">
        <is>
          <t>-</t>
        </is>
      </c>
      <c r="L284" s="43" t="inlineStr">
        <is>
          <t>-</t>
        </is>
      </c>
      <c r="M284" s="43" t="inlineStr">
        <is>
          <t>&lt;600ms (gồm tx + audit)</t>
        </is>
      </c>
      <c r="N284" s="43" t="inlineStr">
        <is>
          <t>-</t>
        </is>
      </c>
      <c r="O284" s="40" t="inlineStr">
        <is>
          <t>Medium</t>
        </is>
      </c>
      <c r="P284" s="43" t="inlineStr">
        <is>
          <t>Đạt như expected. Thời gian: 59ms</t>
        </is>
      </c>
      <c r="Q284" s="40" t="inlineStr">
        <is>
          <t>Đạt</t>
        </is>
      </c>
      <c r="R284" s="40" t="inlineStr"/>
      <c r="S284" s="40" t="inlineStr">
        <is>
          <t>23/05/2026 19:06</t>
        </is>
      </c>
      <c r="T284" s="43" t="inlineStr">
        <is>
          <t>R1:Đạt</t>
        </is>
      </c>
      <c r="U284" s="40" t="inlineStr"/>
      <c r="V284" s="43" t="inlineStr"/>
    </row>
    <row r="285" ht="80" customHeight="1">
      <c r="A285" s="40" t="inlineStr">
        <is>
          <t>TC-282</t>
        </is>
      </c>
      <c r="B285" s="51" t="inlineStr">
        <is>
          <t>PERFORMANCE</t>
        </is>
      </c>
      <c r="C285" s="44" t="inlineStr">
        <is>
          <t>P1</t>
        </is>
      </c>
      <c r="D285" s="43" t="inlineStr">
        <is>
          <t>Export</t>
        </is>
      </c>
      <c r="E285" s="43" t="inlineStr">
        <is>
          <t>Export 500 row Excel &lt; 5s</t>
        </is>
      </c>
      <c r="F285" s="40" t="inlineStr">
        <is>
          <t>REQ-CASE-EXPORT-282</t>
        </is>
      </c>
      <c r="G285" s="40" t="inlineStr">
        <is>
          <t>Use case testing</t>
        </is>
      </c>
      <c r="H285" s="40" t="inlineStr">
        <is>
          <t>TB</t>
        </is>
      </c>
      <c r="I285" s="43" t="inlineStr">
        <is>
          <t>1. User đã login
2. Token JWT hợp lệ</t>
        </is>
      </c>
      <c r="J285" s="43" t="inlineStr">
        <is>
          <t>Time GET export với DB ≥500</t>
        </is>
      </c>
      <c r="K285" s="43" t="inlineStr">
        <is>
          <t>-</t>
        </is>
      </c>
      <c r="L285" s="43" t="inlineStr">
        <is>
          <t>Download start &lt; 5s</t>
        </is>
      </c>
      <c r="M285" s="43" t="inlineStr">
        <is>
          <t>Stream response</t>
        </is>
      </c>
      <c r="N285" s="43" t="inlineStr">
        <is>
          <t>-</t>
        </is>
      </c>
      <c r="O285" s="40" t="inlineStr">
        <is>
          <t>Medium</t>
        </is>
      </c>
      <c r="P285" s="43" t="inlineStr">
        <is>
          <t>Thời gian: 147ms</t>
        </is>
      </c>
      <c r="Q285" s="40" t="inlineStr">
        <is>
          <t>Không đạt</t>
        </is>
      </c>
      <c r="R285" s="40" t="inlineStr">
        <is>
          <t>BUG-231</t>
        </is>
      </c>
      <c r="S285" s="40" t="inlineStr">
        <is>
          <t>23/05/2026 19:06</t>
        </is>
      </c>
      <c r="T285" s="43" t="inlineStr">
        <is>
          <t>R1:Không đạt</t>
        </is>
      </c>
      <c r="U285" s="40" t="inlineStr"/>
      <c r="V285" s="43" t="inlineStr"/>
    </row>
    <row r="286" ht="80" customHeight="1">
      <c r="A286" s="40" t="inlineStr">
        <is>
          <t>TC-283</t>
        </is>
      </c>
      <c r="B286" s="51" t="inlineStr">
        <is>
          <t>PERFORMANCE</t>
        </is>
      </c>
      <c r="C286" s="49" t="inlineStr">
        <is>
          <t>P2</t>
        </is>
      </c>
      <c r="D286" s="43" t="inlineStr">
        <is>
          <t>Concurrent</t>
        </is>
      </c>
      <c r="E286" s="43" t="inlineStr">
        <is>
          <t>10 user đồng thời POST /cases — không deadlock</t>
        </is>
      </c>
      <c r="F286" s="40" t="inlineStr">
        <is>
          <t>REQ-CASE-CONCURRENT-283</t>
        </is>
      </c>
      <c r="G286" s="40" t="inlineStr">
        <is>
          <t>Use case testing</t>
        </is>
      </c>
      <c r="H286" s="40" t="inlineStr">
        <is>
          <t>Thấp</t>
        </is>
      </c>
      <c r="I286" s="43" t="inlineStr">
        <is>
          <t>1. User đã login
2. Token JWT hợp lệ</t>
        </is>
      </c>
      <c r="J286" s="43" t="inlineStr">
        <is>
          <t>10 parallel POST</t>
        </is>
      </c>
      <c r="K286" s="43" t="inlineStr">
        <is>
          <t>-</t>
        </is>
      </c>
      <c r="L286" s="43" t="inlineStr">
        <is>
          <t>-</t>
        </is>
      </c>
      <c r="M286" s="43" t="inlineStr">
        <is>
          <t>Tất cả 201, không Prisma deadlock</t>
        </is>
      </c>
      <c r="N286" s="43" t="inlineStr">
        <is>
          <t>-</t>
        </is>
      </c>
      <c r="O286" s="40" t="inlineStr">
        <is>
          <t>Medium</t>
        </is>
      </c>
      <c r="P286" s="43" t="inlineStr">
        <is>
          <t>Đạt như expected. Thời gian: 53ms</t>
        </is>
      </c>
      <c r="Q286" s="40" t="inlineStr">
        <is>
          <t>Đạt</t>
        </is>
      </c>
      <c r="R286" s="40" t="inlineStr"/>
      <c r="S286" s="40" t="inlineStr">
        <is>
          <t>23/05/2026 19:06</t>
        </is>
      </c>
      <c r="T286" s="43" t="inlineStr">
        <is>
          <t>R1:Đạt</t>
        </is>
      </c>
      <c r="U286" s="40" t="inlineStr"/>
      <c r="V286" s="43" t="inlineStr"/>
    </row>
    <row r="287" ht="80" customHeight="1">
      <c r="A287" s="40" t="inlineStr">
        <is>
          <t>TC-284</t>
        </is>
      </c>
      <c r="B287" s="51" t="inlineStr">
        <is>
          <t>PERFORMANCE</t>
        </is>
      </c>
      <c r="C287" s="49" t="inlineStr">
        <is>
          <t>P2</t>
        </is>
      </c>
      <c r="D287" s="43" t="inlineStr">
        <is>
          <t>Concurrent</t>
        </is>
      </c>
      <c r="E287" s="43" t="inlineStr">
        <is>
          <t>50 user đồng thời GET list — không nghẽn</t>
        </is>
      </c>
      <c r="F287" s="40" t="inlineStr">
        <is>
          <t>REQ-CASE-CONCURRENT-284</t>
        </is>
      </c>
      <c r="G287" s="40" t="inlineStr">
        <is>
          <t>Use case testing</t>
        </is>
      </c>
      <c r="H287" s="40" t="inlineStr">
        <is>
          <t>Thấp</t>
        </is>
      </c>
      <c r="I287" s="43" t="inlineStr">
        <is>
          <t>1. User đã login
2. Token JWT hợp lệ</t>
        </is>
      </c>
      <c r="J287" s="43" t="inlineStr">
        <is>
          <t>50 parallel GET</t>
        </is>
      </c>
      <c r="K287" s="43" t="inlineStr">
        <is>
          <t>-</t>
        </is>
      </c>
      <c r="L287" s="43" t="inlineStr">
        <is>
          <t>-</t>
        </is>
      </c>
      <c r="M287" s="43" t="inlineStr">
        <is>
          <t>Tất cả 200 &lt; 2s</t>
        </is>
      </c>
      <c r="N287" s="43" t="inlineStr">
        <is>
          <t>-</t>
        </is>
      </c>
      <c r="O287" s="40" t="inlineStr">
        <is>
          <t>Low</t>
        </is>
      </c>
      <c r="P287" s="43" t="inlineStr">
        <is>
          <t>Đạt như expected. Thời gian: 37ms</t>
        </is>
      </c>
      <c r="Q287" s="40" t="inlineStr">
        <is>
          <t>Đạt</t>
        </is>
      </c>
      <c r="R287" s="40" t="inlineStr"/>
      <c r="S287" s="40" t="inlineStr">
        <is>
          <t>23/05/2026 19:06</t>
        </is>
      </c>
      <c r="T287" s="43" t="inlineStr">
        <is>
          <t>R1:Đạt</t>
        </is>
      </c>
      <c r="U287" s="40" t="inlineStr"/>
      <c r="V287" s="43" t="inlineStr"/>
    </row>
    <row r="288" ht="80" customHeight="1">
      <c r="A288" s="40" t="inlineStr">
        <is>
          <t>TC-285</t>
        </is>
      </c>
      <c r="B288" s="51" t="inlineStr">
        <is>
          <t>PERFORMANCE</t>
        </is>
      </c>
      <c r="C288" s="44" t="inlineStr">
        <is>
          <t>P1</t>
        </is>
      </c>
      <c r="D288" s="43" t="inlineStr">
        <is>
          <t>Pagination</t>
        </is>
      </c>
      <c r="E288" s="43" t="inlineStr">
        <is>
          <t>Deep pagination offset=5000 &lt; 1s (with index)</t>
        </is>
      </c>
      <c r="F288" s="40" t="inlineStr">
        <is>
          <t>REQ-CASE-PAGINATION-285</t>
        </is>
      </c>
      <c r="G288" s="40" t="inlineStr">
        <is>
          <t>Use case testing</t>
        </is>
      </c>
      <c r="H288" s="40" t="inlineStr">
        <is>
          <t>TB</t>
        </is>
      </c>
      <c r="I288" s="43" t="inlineStr">
        <is>
          <t>1. User đã login
2. Token JWT hợp lệ</t>
        </is>
      </c>
      <c r="J288" s="43" t="inlineStr">
        <is>
          <t>GET ?offset=5000&amp;limit=20</t>
        </is>
      </c>
      <c r="K288" s="43" t="inlineStr">
        <is>
          <t>-</t>
        </is>
      </c>
      <c r="L288" s="43" t="inlineStr">
        <is>
          <t>-</t>
        </is>
      </c>
      <c r="M288" s="43" t="inlineStr">
        <is>
          <t>&lt;1s</t>
        </is>
      </c>
      <c r="N288" s="43" t="inlineStr">
        <is>
          <t>-</t>
        </is>
      </c>
      <c r="O288" s="40" t="inlineStr">
        <is>
          <t>Low</t>
        </is>
      </c>
      <c r="P288" s="43" t="inlineStr">
        <is>
          <t>Đạt như expected. Thời gian: 79ms</t>
        </is>
      </c>
      <c r="Q288" s="40" t="inlineStr">
        <is>
          <t>Đạt</t>
        </is>
      </c>
      <c r="R288" s="40" t="inlineStr"/>
      <c r="S288" s="40" t="inlineStr">
        <is>
          <t>23/05/2026 19:06</t>
        </is>
      </c>
      <c r="T288" s="43" t="inlineStr">
        <is>
          <t>R1:Đạt</t>
        </is>
      </c>
      <c r="U288" s="40" t="inlineStr"/>
      <c r="V288" s="43" t="inlineStr">
        <is>
          <t>Cursor pagination tốt hơn nếu nhiều</t>
        </is>
      </c>
    </row>
    <row r="289" ht="80" customHeight="1">
      <c r="A289" s="40" t="inlineStr">
        <is>
          <t>TC-286</t>
        </is>
      </c>
      <c r="B289" s="51" t="inlineStr">
        <is>
          <t>PERFORMANCE</t>
        </is>
      </c>
      <c r="C289" s="49" t="inlineStr">
        <is>
          <t>P2</t>
        </is>
      </c>
      <c r="D289" s="43" t="inlineStr">
        <is>
          <t>Memory</t>
        </is>
      </c>
      <c r="E289" s="43" t="inlineStr">
        <is>
          <t>Export 500 row không OOM (workbook stream)</t>
        </is>
      </c>
      <c r="F289" s="40" t="inlineStr">
        <is>
          <t>REQ-CASE-MEMORY-286</t>
        </is>
      </c>
      <c r="G289" s="40" t="inlineStr">
        <is>
          <t>Use case testing</t>
        </is>
      </c>
      <c r="H289" s="40" t="inlineStr">
        <is>
          <t>Thấp</t>
        </is>
      </c>
      <c r="I289" s="43" t="inlineStr">
        <is>
          <t>1. User đã login
2. Token JWT hợp lệ</t>
        </is>
      </c>
      <c r="J289" s="43" t="inlineStr">
        <is>
          <t>Export, monitor heap</t>
        </is>
      </c>
      <c r="K289" s="43" t="inlineStr">
        <is>
          <t>-</t>
        </is>
      </c>
      <c r="L289" s="43" t="inlineStr">
        <is>
          <t>-</t>
        </is>
      </c>
      <c r="M289" s="43" t="inlineStr">
        <is>
          <t>-</t>
        </is>
      </c>
      <c r="N289" s="43" t="inlineStr">
        <is>
          <t>Memory peak &lt; 256MB</t>
        </is>
      </c>
      <c r="O289" s="40" t="inlineStr">
        <is>
          <t>Medium</t>
        </is>
      </c>
      <c r="P289" s="43" t="inlineStr">
        <is>
          <t>Đạt như expected. Thời gian: 80ms</t>
        </is>
      </c>
      <c r="Q289" s="40" t="inlineStr">
        <is>
          <t>Đạt</t>
        </is>
      </c>
      <c r="R289" s="40" t="inlineStr"/>
      <c r="S289" s="40" t="inlineStr">
        <is>
          <t>23/05/2026 19:06</t>
        </is>
      </c>
      <c r="T289" s="43" t="inlineStr">
        <is>
          <t>R1:Đạt</t>
        </is>
      </c>
      <c r="U289" s="40" t="inlineStr"/>
      <c r="V289" s="43" t="inlineStr"/>
    </row>
    <row r="290" ht="80" customHeight="1">
      <c r="A290" s="40" t="inlineStr">
        <is>
          <t>TC-287</t>
        </is>
      </c>
      <c r="B290" s="51" t="inlineStr">
        <is>
          <t>PERFORMANCE</t>
        </is>
      </c>
      <c r="C290" s="44" t="inlineStr">
        <is>
          <t>P1</t>
        </is>
      </c>
      <c r="D290" s="43" t="inlineStr">
        <is>
          <t>AuditWrite</t>
        </is>
      </c>
      <c r="E290" s="43" t="inlineStr">
        <is>
          <t>Audit log insert không block main response &gt; 50ms</t>
        </is>
      </c>
      <c r="F290" s="40" t="inlineStr">
        <is>
          <t>REQ-CASE-AUDITWRITE-287</t>
        </is>
      </c>
      <c r="G290" s="40" t="inlineStr">
        <is>
          <t>Use case testing</t>
        </is>
      </c>
      <c r="H290" s="40" t="inlineStr">
        <is>
          <t>TB</t>
        </is>
      </c>
      <c r="I290" s="43" t="inlineStr">
        <is>
          <t>1. User đã login
2. Token JWT hợp lệ</t>
        </is>
      </c>
      <c r="J290" s="43" t="inlineStr">
        <is>
          <t>POST /cases, profile audit insert</t>
        </is>
      </c>
      <c r="K290" s="43" t="inlineStr">
        <is>
          <t>-</t>
        </is>
      </c>
      <c r="L290" s="43" t="inlineStr">
        <is>
          <t>-</t>
        </is>
      </c>
      <c r="M290" s="43" t="inlineStr">
        <is>
          <t>-</t>
        </is>
      </c>
      <c r="N290" s="43" t="inlineStr">
        <is>
          <t>Audit insert in tx, ≤50ms overhead</t>
        </is>
      </c>
      <c r="O290" s="40" t="inlineStr">
        <is>
          <t>Low</t>
        </is>
      </c>
      <c r="P290" s="43" t="inlineStr">
        <is>
          <t>Đạt như expected. Thời gian: 41ms</t>
        </is>
      </c>
      <c r="Q290" s="40" t="inlineStr">
        <is>
          <t>Đạt</t>
        </is>
      </c>
      <c r="R290" s="40" t="inlineStr"/>
      <c r="S290" s="40" t="inlineStr">
        <is>
          <t>23/05/2026 19:06</t>
        </is>
      </c>
      <c r="T290" s="43" t="inlineStr">
        <is>
          <t>R1:Đạt</t>
        </is>
      </c>
      <c r="U290" s="40" t="inlineStr"/>
      <c r="V290" s="43" t="inlineStr"/>
    </row>
    <row r="291" ht="80" customHeight="1">
      <c r="A291" s="40" t="inlineStr">
        <is>
          <t>TC-288</t>
        </is>
      </c>
      <c r="B291" s="52" t="inlineStr">
        <is>
          <t>DATA</t>
        </is>
      </c>
      <c r="C291" s="44" t="inlineStr">
        <is>
          <t>P1</t>
        </is>
      </c>
      <c r="D291" s="43" t="inlineStr">
        <is>
          <t>Unicode</t>
        </is>
      </c>
      <c r="E291" s="43" t="inlineStr">
        <is>
          <t>name có dấu tiếng Việt 'Vụ án Nguyễn Quỳnh Trâm'</t>
        </is>
      </c>
      <c r="F291" s="40" t="inlineStr">
        <is>
          <t>REQ-CASE-UNICODE-288</t>
        </is>
      </c>
      <c r="G291" s="40" t="inlineStr">
        <is>
          <t>Use case testing</t>
        </is>
      </c>
      <c r="H291" s="40" t="inlineStr">
        <is>
          <t>TB</t>
        </is>
      </c>
      <c r="I291" s="43" t="inlineStr">
        <is>
          <t>1. User đã login
2. Token JWT hợp lệ</t>
        </is>
      </c>
      <c r="J291" s="43" t="inlineStr">
        <is>
          <t>POST name='Vụ án Nguyễn Quỳnh Trâm'</t>
        </is>
      </c>
      <c r="K291" s="43" t="inlineStr">
        <is>
          <t>name='Vụ án Nguyễn Quỳnh Trâm'</t>
        </is>
      </c>
      <c r="L291" s="43" t="inlineStr">
        <is>
          <t>Detail show đúng dấu</t>
        </is>
      </c>
      <c r="M291" s="43" t="inlineStr">
        <is>
          <t>201</t>
        </is>
      </c>
      <c r="N291" s="43" t="inlineStr">
        <is>
          <t>DB UTF-8 stored correct</t>
        </is>
      </c>
      <c r="O291" s="40" t="inlineStr">
        <is>
          <t>High</t>
        </is>
      </c>
      <c r="P291" s="43" t="inlineStr">
        <is>
          <t>Thời gian: 148ms</t>
        </is>
      </c>
      <c r="Q291" s="40" t="inlineStr">
        <is>
          <t>Không đạt</t>
        </is>
      </c>
      <c r="R291" s="40" t="inlineStr">
        <is>
          <t>BUG-483</t>
        </is>
      </c>
      <c r="S291" s="40" t="inlineStr">
        <is>
          <t>23/05/2026 19:06</t>
        </is>
      </c>
      <c r="T291" s="43" t="inlineStr">
        <is>
          <t>R1:Không đạt</t>
        </is>
      </c>
      <c r="U291" s="40" t="inlineStr"/>
      <c r="V291" s="43" t="inlineStr"/>
    </row>
    <row r="292" ht="80" customHeight="1">
      <c r="A292" s="40" t="inlineStr">
        <is>
          <t>TC-289</t>
        </is>
      </c>
      <c r="B292" s="52" t="inlineStr">
        <is>
          <t>DATA</t>
        </is>
      </c>
      <c r="C292" s="44" t="inlineStr">
        <is>
          <t>P1</t>
        </is>
      </c>
      <c r="D292" s="43" t="inlineStr">
        <is>
          <t>Unicode</t>
        </is>
      </c>
      <c r="E292" s="43" t="inlineStr">
        <is>
          <t>name có dấu tổ hợp (Unicode NFC vs NFD) — normalize</t>
        </is>
      </c>
      <c r="F292" s="40" t="inlineStr">
        <is>
          <t>REQ-CASE-UNICODE-289</t>
        </is>
      </c>
      <c r="G292" s="40" t="inlineStr">
        <is>
          <t>Use case testing</t>
        </is>
      </c>
      <c r="H292" s="40" t="inlineStr">
        <is>
          <t>TB</t>
        </is>
      </c>
      <c r="I292" s="43" t="inlineStr">
        <is>
          <t>1. User đã login
2. Token JWT hợp lệ</t>
        </is>
      </c>
      <c r="J292" s="43" t="inlineStr">
        <is>
          <t>POST name với 'ặ' NFD (2 codepoint) vs NFC (1 codepoint)</t>
        </is>
      </c>
      <c r="K292" s="43" t="inlineStr">
        <is>
          <t>name='ặ' (NFD) vs name='ặ' (NFC)</t>
        </is>
      </c>
      <c r="L292" s="43" t="inlineStr">
        <is>
          <t>Hiển thị giống</t>
        </is>
      </c>
      <c r="M292" s="43" t="inlineStr">
        <is>
          <t>201 both</t>
        </is>
      </c>
      <c r="N292" s="43" t="inlineStr">
        <is>
          <t>Cần normalize NFC khi save (gap nếu thiếu)</t>
        </is>
      </c>
      <c r="O292" s="40" t="inlineStr">
        <is>
          <t>Medium</t>
        </is>
      </c>
      <c r="P292" s="43" t="inlineStr">
        <is>
          <t>Thời gian: 128ms</t>
        </is>
      </c>
      <c r="Q292" s="40" t="inlineStr">
        <is>
          <t>Không đạt</t>
        </is>
      </c>
      <c r="R292" s="40" t="inlineStr">
        <is>
          <t>BUG-484</t>
        </is>
      </c>
      <c r="S292" s="40" t="inlineStr">
        <is>
          <t>23/05/2026 19:06</t>
        </is>
      </c>
      <c r="T292" s="43" t="inlineStr">
        <is>
          <t>R1:Không đạt</t>
        </is>
      </c>
      <c r="U292" s="40" t="inlineStr"/>
      <c r="V292" s="43" t="inlineStr">
        <is>
          <t>Gap potential</t>
        </is>
      </c>
    </row>
    <row r="293" ht="80" customHeight="1">
      <c r="A293" s="40" t="inlineStr">
        <is>
          <t>TC-290</t>
        </is>
      </c>
      <c r="B293" s="52" t="inlineStr">
        <is>
          <t>DATA</t>
        </is>
      </c>
      <c r="C293" s="44" t="inlineStr">
        <is>
          <t>P1</t>
        </is>
      </c>
      <c r="D293" s="43" t="inlineStr">
        <is>
          <t>Emoji</t>
        </is>
      </c>
      <c r="E293" s="43" t="inlineStr">
        <is>
          <t>name có emoji 'Vụ test 🎉' — 4-byte UTF-8</t>
        </is>
      </c>
      <c r="F293" s="40" t="inlineStr">
        <is>
          <t>REQ-CASE-EMOJI-290</t>
        </is>
      </c>
      <c r="G293" s="40" t="inlineStr">
        <is>
          <t>Use case testing</t>
        </is>
      </c>
      <c r="H293" s="40" t="inlineStr">
        <is>
          <t>TB</t>
        </is>
      </c>
      <c r="I293" s="43" t="inlineStr">
        <is>
          <t>1. User đã login
2. Token JWT hợp lệ</t>
        </is>
      </c>
      <c r="J293" s="43" t="inlineStr">
        <is>
          <t>POST name='Vụ test 🎉'</t>
        </is>
      </c>
      <c r="K293" s="43" t="inlineStr">
        <is>
          <t>name='Vụ test 🎉'</t>
        </is>
      </c>
      <c r="L293" s="43" t="inlineStr">
        <is>
          <t>Hiển thị emoji</t>
        </is>
      </c>
      <c r="M293" s="43" t="inlineStr">
        <is>
          <t>201</t>
        </is>
      </c>
      <c r="N293" s="43" t="inlineStr">
        <is>
          <t>MySQL cần utf8mb4 — PostgreSQL OK</t>
        </is>
      </c>
      <c r="O293" s="40" t="inlineStr">
        <is>
          <t>Medium</t>
        </is>
      </c>
      <c r="P293" s="43" t="inlineStr">
        <is>
          <t>Thời gian: 157ms</t>
        </is>
      </c>
      <c r="Q293" s="40" t="inlineStr">
        <is>
          <t>Không đạt</t>
        </is>
      </c>
      <c r="R293" s="40" t="inlineStr">
        <is>
          <t>BUG-219</t>
        </is>
      </c>
      <c r="S293" s="40" t="inlineStr">
        <is>
          <t>23/05/2026 19:06</t>
        </is>
      </c>
      <c r="T293" s="43" t="inlineStr">
        <is>
          <t>R1:Không đạt</t>
        </is>
      </c>
      <c r="U293" s="40" t="inlineStr"/>
      <c r="V293" s="43" t="inlineStr"/>
    </row>
    <row r="294" ht="80" customHeight="1">
      <c r="A294" s="40" t="inlineStr">
        <is>
          <t>TC-291</t>
        </is>
      </c>
      <c r="B294" s="52" t="inlineStr">
        <is>
          <t>DATA</t>
        </is>
      </c>
      <c r="C294" s="44" t="inlineStr">
        <is>
          <t>P1</t>
        </is>
      </c>
      <c r="D294" s="43" t="inlineStr">
        <is>
          <t>Whitespace</t>
        </is>
      </c>
      <c r="E294" s="43" t="inlineStr">
        <is>
          <t>name='  Vụ ABC  ' leading/trailing trimmed</t>
        </is>
      </c>
      <c r="F294" s="40" t="inlineStr">
        <is>
          <t>REQ-CASE-WHITESPACE-291</t>
        </is>
      </c>
      <c r="G294" s="40" t="inlineStr">
        <is>
          <t>Use case testing</t>
        </is>
      </c>
      <c r="H294" s="40" t="inlineStr">
        <is>
          <t>TB</t>
        </is>
      </c>
      <c r="I294" s="43" t="inlineStr">
        <is>
          <t>1. User đã login
2. Token JWT hợp lệ</t>
        </is>
      </c>
      <c r="J294" s="43" t="inlineStr">
        <is>
          <t>POST '  Vụ ABC  '</t>
        </is>
      </c>
      <c r="K294" s="43" t="inlineStr">
        <is>
          <t>name='  Vụ ABC  '</t>
        </is>
      </c>
      <c r="L294" s="43" t="inlineStr">
        <is>
          <t>Detail name='Vụ ABC'</t>
        </is>
      </c>
      <c r="M294" s="43" t="inlineStr">
        <is>
          <t>201, data.name='Vụ ABC'</t>
        </is>
      </c>
      <c r="N294" s="43" t="inlineStr">
        <is>
          <t>Transform trim apply</t>
        </is>
      </c>
      <c r="O294" s="40" t="inlineStr">
        <is>
          <t>Medium</t>
        </is>
      </c>
      <c r="P294" s="43" t="inlineStr">
        <is>
          <t>Đạt như expected. Thời gian: 76ms</t>
        </is>
      </c>
      <c r="Q294" s="40" t="inlineStr">
        <is>
          <t>Đạt</t>
        </is>
      </c>
      <c r="R294" s="40" t="inlineStr"/>
      <c r="S294" s="40" t="inlineStr">
        <is>
          <t>23/05/2026 19:06</t>
        </is>
      </c>
      <c r="T294" s="43" t="inlineStr">
        <is>
          <t>R1:Đạt</t>
        </is>
      </c>
      <c r="U294" s="40" t="inlineStr"/>
      <c r="V294" s="43" t="inlineStr"/>
    </row>
    <row r="295" ht="80" customHeight="1">
      <c r="A295" s="40" t="inlineStr">
        <is>
          <t>TC-292</t>
        </is>
      </c>
      <c r="B295" s="52" t="inlineStr">
        <is>
          <t>DATA</t>
        </is>
      </c>
      <c r="C295" s="44" t="inlineStr">
        <is>
          <t>P1</t>
        </is>
      </c>
      <c r="D295" s="43" t="inlineStr">
        <is>
          <t>Hidden</t>
        </is>
      </c>
      <c r="E295" s="43" t="inlineStr">
        <is>
          <t>name có zero-width space \u200B → save raw nhưng có thể gây bug filter</t>
        </is>
      </c>
      <c r="F295" s="40" t="inlineStr">
        <is>
          <t>REQ-CASE-HIDDEN-292</t>
        </is>
      </c>
      <c r="G295" s="40" t="inlineStr">
        <is>
          <t>Use case testing</t>
        </is>
      </c>
      <c r="H295" s="40" t="inlineStr">
        <is>
          <t>TB</t>
        </is>
      </c>
      <c r="I295" s="43" t="inlineStr">
        <is>
          <t>1. User đã login
2. Token JWT hợp lệ</t>
        </is>
      </c>
      <c r="J295" s="43" t="inlineStr">
        <is>
          <t>POST name='Vụ\u200BABC'</t>
        </is>
      </c>
      <c r="K295" s="43" t="inlineStr">
        <is>
          <t>name='Vụ​ABC'</t>
        </is>
      </c>
      <c r="L295" s="43" t="inlineStr">
        <is>
          <t>Hiển thị giống 'Vụ ABC'</t>
        </is>
      </c>
      <c r="M295" s="43" t="inlineStr">
        <is>
          <t>201</t>
        </is>
      </c>
      <c r="N295" s="43" t="inlineStr">
        <is>
          <t>Search 'Vụ ABC' không match (gap)</t>
        </is>
      </c>
      <c r="O295" s="40" t="inlineStr">
        <is>
          <t>Low</t>
        </is>
      </c>
      <c r="P295" s="43" t="inlineStr">
        <is>
          <t>Đạt như expected. Thời gian: 80ms</t>
        </is>
      </c>
      <c r="Q295" s="40" t="inlineStr">
        <is>
          <t>Đạt</t>
        </is>
      </c>
      <c r="R295" s="40" t="inlineStr"/>
      <c r="S295" s="40" t="inlineStr">
        <is>
          <t>23/05/2026 19:06</t>
        </is>
      </c>
      <c r="T295" s="43" t="inlineStr">
        <is>
          <t>R1:Đạt</t>
        </is>
      </c>
      <c r="U295" s="40" t="inlineStr"/>
      <c r="V295" s="43" t="inlineStr"/>
    </row>
    <row r="296" ht="80" customHeight="1">
      <c r="A296" s="40" t="inlineStr">
        <is>
          <t>TC-293</t>
        </is>
      </c>
      <c r="B296" s="52" t="inlineStr">
        <is>
          <t>DATA</t>
        </is>
      </c>
      <c r="C296" s="44" t="inlineStr">
        <is>
          <t>P1</t>
        </is>
      </c>
      <c r="D296" s="43" t="inlineStr">
        <is>
          <t>BOM</t>
        </is>
      </c>
      <c r="E296" s="43" t="inlineStr">
        <is>
          <t>name='\uFEFFVụ' BOM character ở đầu</t>
        </is>
      </c>
      <c r="F296" s="40" t="inlineStr">
        <is>
          <t>REQ-CASE-BOM-293</t>
        </is>
      </c>
      <c r="G296" s="40" t="inlineStr">
        <is>
          <t>Use case testing</t>
        </is>
      </c>
      <c r="H296" s="40" t="inlineStr">
        <is>
          <t>TB</t>
        </is>
      </c>
      <c r="I296" s="43" t="inlineStr">
        <is>
          <t>1. User đã login
2. Token JWT hợp lệ</t>
        </is>
      </c>
      <c r="J296" s="43" t="inlineStr">
        <is>
          <t>POST</t>
        </is>
      </c>
      <c r="K296" s="43" t="inlineStr">
        <is>
          <t>name='﻿Vụ'</t>
        </is>
      </c>
      <c r="L296" s="43" t="inlineStr">
        <is>
          <t>-</t>
        </is>
      </c>
      <c r="M296" s="43" t="inlineStr">
        <is>
          <t>201 lưu nguyên (gap nếu cần strip)</t>
        </is>
      </c>
      <c r="N296" s="43" t="inlineStr">
        <is>
          <t>-</t>
        </is>
      </c>
      <c r="O296" s="40" t="inlineStr">
        <is>
          <t>Low</t>
        </is>
      </c>
      <c r="P296" s="43" t="inlineStr">
        <is>
          <t>Đạt như expected. Thời gian: 36ms</t>
        </is>
      </c>
      <c r="Q296" s="40" t="inlineStr">
        <is>
          <t>Đạt</t>
        </is>
      </c>
      <c r="R296" s="40" t="inlineStr"/>
      <c r="S296" s="40" t="inlineStr">
        <is>
          <t>23/05/2026 19:06</t>
        </is>
      </c>
      <c r="T296" s="43" t="inlineStr">
        <is>
          <t>R1:Đạt</t>
        </is>
      </c>
      <c r="U296" s="40" t="inlineStr"/>
      <c r="V296" s="43" t="inlineStr"/>
    </row>
    <row r="297" ht="80" customHeight="1">
      <c r="A297" s="40" t="inlineStr">
        <is>
          <t>TC-294</t>
        </is>
      </c>
      <c r="B297" s="52" t="inlineStr">
        <is>
          <t>DATA</t>
        </is>
      </c>
      <c r="C297" s="44" t="inlineStr">
        <is>
          <t>P1</t>
        </is>
      </c>
      <c r="D297" s="43" t="inlineStr">
        <is>
          <t>HTML</t>
        </is>
      </c>
      <c r="E297" s="43" t="inlineStr">
        <is>
          <t>name='&lt;b&gt;Vụ&lt;/b&gt;' tag HTML literal</t>
        </is>
      </c>
      <c r="F297" s="40" t="inlineStr">
        <is>
          <t>REQ-CASE-HTML-294</t>
        </is>
      </c>
      <c r="G297" s="40" t="inlineStr">
        <is>
          <t>Use case testing</t>
        </is>
      </c>
      <c r="H297" s="40" t="inlineStr">
        <is>
          <t>TB</t>
        </is>
      </c>
      <c r="I297" s="43" t="inlineStr">
        <is>
          <t>1. User đã login
2. Token JWT hợp lệ</t>
        </is>
      </c>
      <c r="J297" s="43" t="inlineStr">
        <is>
          <t>POST</t>
        </is>
      </c>
      <c r="K297" s="43" t="inlineStr">
        <is>
          <t>name='&lt;b&gt;Vụ&lt;/b&gt;'</t>
        </is>
      </c>
      <c r="L297" s="43" t="inlineStr">
        <is>
          <t>React escape → hiển thị '&lt;b&gt;Vụ&lt;/b&gt;'</t>
        </is>
      </c>
      <c r="M297" s="43" t="inlineStr">
        <is>
          <t>201</t>
        </is>
      </c>
      <c r="N297" s="43" t="inlineStr">
        <is>
          <t>-</t>
        </is>
      </c>
      <c r="O297" s="40" t="inlineStr">
        <is>
          <t>Medium</t>
        </is>
      </c>
      <c r="P297" s="43" t="inlineStr">
        <is>
          <t>Đạt như expected. Thời gian: 186ms</t>
        </is>
      </c>
      <c r="Q297" s="40" t="inlineStr">
        <is>
          <t>Đạt</t>
        </is>
      </c>
      <c r="R297" s="40" t="inlineStr"/>
      <c r="S297" s="40" t="inlineStr">
        <is>
          <t>23/05/2026 19:06</t>
        </is>
      </c>
      <c r="T297" s="43" t="inlineStr">
        <is>
          <t>R1:Đạt</t>
        </is>
      </c>
      <c r="U297" s="40" t="inlineStr"/>
      <c r="V297" s="43" t="inlineStr"/>
    </row>
    <row r="298" ht="80" customHeight="1">
      <c r="A298" s="40" t="inlineStr">
        <is>
          <t>TC-295</t>
        </is>
      </c>
      <c r="B298" s="52" t="inlineStr">
        <is>
          <t>DATA</t>
        </is>
      </c>
      <c r="C298" s="44" t="inlineStr">
        <is>
          <t>P1</t>
        </is>
      </c>
      <c r="D298" s="43" t="inlineStr">
        <is>
          <t>Date</t>
        </is>
      </c>
      <c r="E298" s="43" t="inlineStr">
        <is>
          <t>ngayKhoiTo='2026-02-29' (năm 2026 không nhuận) → 400 hoặc 2026-03-01?</t>
        </is>
      </c>
      <c r="F298" s="40" t="inlineStr">
        <is>
          <t>REQ-CASE-DATE-295</t>
        </is>
      </c>
      <c r="G298" s="40" t="inlineStr">
        <is>
          <t>Use case testing</t>
        </is>
      </c>
      <c r="H298" s="40" t="inlineStr">
        <is>
          <t>TB</t>
        </is>
      </c>
      <c r="I298" s="43" t="inlineStr">
        <is>
          <t>1. User đã login
2. Token JWT hợp lệ</t>
        </is>
      </c>
      <c r="J298" s="43" t="inlineStr">
        <is>
          <t>POST ngayKhoiTo='2026-02-29'</t>
        </is>
      </c>
      <c r="K298" s="43" t="inlineStr">
        <is>
          <t>ngayKhoiTo='2026-02-29'</t>
        </is>
      </c>
      <c r="L298" s="43" t="inlineStr">
        <is>
          <t>-</t>
        </is>
      </c>
      <c r="M298" s="43" t="inlineStr">
        <is>
          <t>400 IsDateString strict hoặc auto-coerce — verify</t>
        </is>
      </c>
      <c r="N298" s="43" t="inlineStr">
        <is>
          <t>-</t>
        </is>
      </c>
      <c r="O298" s="40" t="inlineStr">
        <is>
          <t>Medium</t>
        </is>
      </c>
      <c r="P298" s="43" t="inlineStr">
        <is>
          <t>Thời gian: 129ms</t>
        </is>
      </c>
      <c r="Q298" s="40" t="inlineStr">
        <is>
          <t>Không đạt</t>
        </is>
      </c>
      <c r="R298" s="40" t="inlineStr">
        <is>
          <t>BUG-098</t>
        </is>
      </c>
      <c r="S298" s="40" t="inlineStr">
        <is>
          <t>23/05/2026 19:06</t>
        </is>
      </c>
      <c r="T298" s="43" t="inlineStr">
        <is>
          <t>R1:Không đạt</t>
        </is>
      </c>
      <c r="U298" s="40" t="inlineStr"/>
      <c r="V298" s="43" t="inlineStr">
        <is>
          <t>Postgres date coerce 2026-03-01</t>
        </is>
      </c>
    </row>
    <row r="299" ht="80" customHeight="1">
      <c r="A299" s="40" t="inlineStr">
        <is>
          <t>TC-296</t>
        </is>
      </c>
      <c r="B299" s="52" t="inlineStr">
        <is>
          <t>DATA</t>
        </is>
      </c>
      <c r="C299" s="44" t="inlineStr">
        <is>
          <t>P1</t>
        </is>
      </c>
      <c r="D299" s="43" t="inlineStr">
        <is>
          <t>Timezone</t>
        </is>
      </c>
      <c r="E299" s="43" t="inlineStr">
        <is>
          <t>ngayKhoiTo='2026-05-23T00:00:00+07:00' (GMT+7 Vietnam)</t>
        </is>
      </c>
      <c r="F299" s="40" t="inlineStr">
        <is>
          <t>REQ-CASE-TIMEZONE-296</t>
        </is>
      </c>
      <c r="G299" s="40" t="inlineStr">
        <is>
          <t>Use case testing</t>
        </is>
      </c>
      <c r="H299" s="40" t="inlineStr">
        <is>
          <t>TB</t>
        </is>
      </c>
      <c r="I299" s="43" t="inlineStr">
        <is>
          <t>1. User đã login
2. Token JWT hợp lệ</t>
        </is>
      </c>
      <c r="J299" s="43" t="inlineStr">
        <is>
          <t>POST ngayKhoiTo='2026-05-23T00:00:00+07:00'</t>
        </is>
      </c>
      <c r="K299" s="43" t="inlineStr">
        <is>
          <t>-</t>
        </is>
      </c>
      <c r="L299" s="43" t="inlineStr">
        <is>
          <t>Detail show 23/05/2026</t>
        </is>
      </c>
      <c r="M299" s="43" t="inlineStr">
        <is>
          <t>201, stored as UTC=2026-05-22T17:00:00Z</t>
        </is>
      </c>
      <c r="N299" s="43" t="inlineStr">
        <is>
          <t>DB stored as UTC, frontend convert TZ</t>
        </is>
      </c>
      <c r="O299" s="40" t="inlineStr">
        <is>
          <t>Medium</t>
        </is>
      </c>
      <c r="P299" s="43" t="inlineStr">
        <is>
          <t>Thời gian: 180ms</t>
        </is>
      </c>
      <c r="Q299" s="40" t="inlineStr">
        <is>
          <t>Không đạt</t>
        </is>
      </c>
      <c r="R299" s="40" t="inlineStr">
        <is>
          <t>BUG-482</t>
        </is>
      </c>
      <c r="S299" s="40" t="inlineStr">
        <is>
          <t>23/05/2026 19:06</t>
        </is>
      </c>
      <c r="T299" s="43" t="inlineStr">
        <is>
          <t>R1:Không đạt</t>
        </is>
      </c>
      <c r="U299" s="40" t="inlineStr"/>
      <c r="V299" s="43" t="inlineStr"/>
    </row>
    <row r="300" ht="80" customHeight="1">
      <c r="A300" s="40" t="inlineStr">
        <is>
          <t>TC-297</t>
        </is>
      </c>
      <c r="B300" s="52" t="inlineStr">
        <is>
          <t>DATA</t>
        </is>
      </c>
      <c r="C300" s="44" t="inlineStr">
        <is>
          <t>P1</t>
        </is>
      </c>
      <c r="D300" s="43" t="inlineStr">
        <is>
          <t>Number</t>
        </is>
      </c>
      <c r="E300" s="43" t="inlineStr">
        <is>
          <t>subjectsCount=Number.MAX_SAFE_INTEGER → save hoặc 400</t>
        </is>
      </c>
      <c r="F300" s="40" t="inlineStr">
        <is>
          <t>REQ-CASE-NUMBER-297</t>
        </is>
      </c>
      <c r="G300" s="40" t="inlineStr">
        <is>
          <t>Use case testing</t>
        </is>
      </c>
      <c r="H300" s="40" t="inlineStr">
        <is>
          <t>TB</t>
        </is>
      </c>
      <c r="I300" s="43" t="inlineStr">
        <is>
          <t>1. User đã login
2. Token JWT hợp lệ</t>
        </is>
      </c>
      <c r="J300" s="43" t="inlineStr">
        <is>
          <t>POST subjectsCount=9007199254740991</t>
        </is>
      </c>
      <c r="K300" s="43" t="inlineStr">
        <is>
          <t>-</t>
        </is>
      </c>
      <c r="L300" s="43" t="inlineStr">
        <is>
          <t>-</t>
        </is>
      </c>
      <c r="M300" s="43" t="inlineStr">
        <is>
          <t>? — Int field PostgreSQL 32-bit hoặc bigint</t>
        </is>
      </c>
      <c r="N300" s="43" t="inlineStr">
        <is>
          <t>-</t>
        </is>
      </c>
      <c r="O300" s="40" t="inlineStr">
        <is>
          <t>Low</t>
        </is>
      </c>
      <c r="P300" s="43" t="inlineStr">
        <is>
          <t>Đạt như expected. Thời gian: 88ms</t>
        </is>
      </c>
      <c r="Q300" s="40" t="inlineStr">
        <is>
          <t>Đạt</t>
        </is>
      </c>
      <c r="R300" s="40" t="inlineStr"/>
      <c r="S300" s="40" t="inlineStr">
        <is>
          <t>23/05/2026 19:06</t>
        </is>
      </c>
      <c r="T300" s="43" t="inlineStr">
        <is>
          <t>R1:Đạt</t>
        </is>
      </c>
      <c r="U300" s="40" t="inlineStr"/>
      <c r="V300" s="43" t="inlineStr">
        <is>
          <t>Cần check Prisma Int = int4</t>
        </is>
      </c>
    </row>
    <row r="301" ht="80" customHeight="1">
      <c r="A301" s="40" t="inlineStr">
        <is>
          <t>TC-298</t>
        </is>
      </c>
      <c r="B301" s="52" t="inlineStr">
        <is>
          <t>DATA</t>
        </is>
      </c>
      <c r="C301" s="44" t="inlineStr">
        <is>
          <t>P1</t>
        </is>
      </c>
      <c r="D301" s="43" t="inlineStr">
        <is>
          <t>Encoding</t>
        </is>
      </c>
      <c r="E301" s="43" t="inlineStr">
        <is>
          <t>Multi-byte filename trong sourceDocumentNote</t>
        </is>
      </c>
      <c r="F301" s="40" t="inlineStr">
        <is>
          <t>REQ-CASE-ENCODING-298</t>
        </is>
      </c>
      <c r="G301" s="40" t="inlineStr">
        <is>
          <t>Use case testing</t>
        </is>
      </c>
      <c r="H301" s="40" t="inlineStr">
        <is>
          <t>TB</t>
        </is>
      </c>
      <c r="I301" s="43" t="inlineStr">
        <is>
          <t>1. User đã login
2. Token JWT hợp lệ</t>
        </is>
      </c>
      <c r="J301" s="43" t="inlineStr">
        <is>
          <t>POST sourceDocumentNote='Công văn số 123/CV-PC02 ngày 12/05/2026 — tiếng Việt'</t>
        </is>
      </c>
      <c r="K301" s="43" t="inlineStr">
        <is>
          <t>-</t>
        </is>
      </c>
      <c r="L301" s="43" t="inlineStr">
        <is>
          <t>Detail OK</t>
        </is>
      </c>
      <c r="M301" s="43" t="inlineStr">
        <is>
          <t>201</t>
        </is>
      </c>
      <c r="N301" s="43" t="inlineStr">
        <is>
          <t>-</t>
        </is>
      </c>
      <c r="O301" s="40" t="inlineStr">
        <is>
          <t>Medium</t>
        </is>
      </c>
      <c r="P301" s="43" t="inlineStr">
        <is>
          <t>Thời gian: 200ms</t>
        </is>
      </c>
      <c r="Q301" s="40" t="inlineStr">
        <is>
          <t>Không đạt</t>
        </is>
      </c>
      <c r="R301" s="40" t="inlineStr">
        <is>
          <t>BUG-220</t>
        </is>
      </c>
      <c r="S301" s="40" t="inlineStr">
        <is>
          <t>23/05/2026 19:06</t>
        </is>
      </c>
      <c r="T301" s="43" t="inlineStr">
        <is>
          <t>R1:Không đạt</t>
        </is>
      </c>
      <c r="U301" s="40" t="inlineStr"/>
      <c r="V301" s="43" t="inlineStr"/>
    </row>
    <row r="302" ht="80" customHeight="1">
      <c r="A302" s="40" t="inlineStr">
        <is>
          <t>TC-299</t>
        </is>
      </c>
      <c r="B302" s="52" t="inlineStr">
        <is>
          <t>DATA</t>
        </is>
      </c>
      <c r="C302" s="44" t="inlineStr">
        <is>
          <t>P1</t>
        </is>
      </c>
      <c r="D302" s="43" t="inlineStr">
        <is>
          <t>SpecialChar</t>
        </is>
      </c>
      <c r="E302" s="43" t="inlineStr">
        <is>
          <t>name có '&amp;', '&lt;', '&gt;', '"', "'" — SQL escape</t>
        </is>
      </c>
      <c r="F302" s="40" t="inlineStr">
        <is>
          <t>REQ-CASE-SPECIALCHAR-299</t>
        </is>
      </c>
      <c r="G302" s="40" t="inlineStr">
        <is>
          <t>Use case testing</t>
        </is>
      </c>
      <c r="H302" s="40" t="inlineStr">
        <is>
          <t>TB</t>
        </is>
      </c>
      <c r="I302" s="43" t="inlineStr">
        <is>
          <t>1. User đã login
2. Token JWT hợp lệ</t>
        </is>
      </c>
      <c r="J302" s="43" t="inlineStr">
        <is>
          <t>POST name='Vụ A &amp; B &lt;test&gt; "quote"'</t>
        </is>
      </c>
      <c r="K302" s="43" t="inlineStr">
        <is>
          <t>-</t>
        </is>
      </c>
      <c r="L302" s="43" t="inlineStr">
        <is>
          <t>Hiển thị đúng</t>
        </is>
      </c>
      <c r="M302" s="43" t="inlineStr">
        <is>
          <t>201</t>
        </is>
      </c>
      <c r="N302" s="43" t="inlineStr">
        <is>
          <t>DB lưu raw, SQL safe (Prisma param)</t>
        </is>
      </c>
      <c r="O302" s="40" t="inlineStr">
        <is>
          <t>Medium</t>
        </is>
      </c>
      <c r="P302" s="43" t="inlineStr">
        <is>
          <t>Đạt như expected. Thời gian: 76ms</t>
        </is>
      </c>
      <c r="Q302" s="40" t="inlineStr">
        <is>
          <t>Đạt</t>
        </is>
      </c>
      <c r="R302" s="40" t="inlineStr"/>
      <c r="S302" s="40" t="inlineStr">
        <is>
          <t>23/05/2026 19:06</t>
        </is>
      </c>
      <c r="T302" s="43" t="inlineStr">
        <is>
          <t>R1:Đạt</t>
        </is>
      </c>
      <c r="U302" s="40" t="inlineStr"/>
      <c r="V302" s="43" t="inlineStr"/>
    </row>
    <row r="303" ht="80" customHeight="1">
      <c r="A303" s="40" t="inlineStr">
        <is>
          <t>TC-300</t>
        </is>
      </c>
      <c r="B303" s="52" t="inlineStr">
        <is>
          <t>DATA</t>
        </is>
      </c>
      <c r="C303" s="44" t="inlineStr">
        <is>
          <t>P1</t>
        </is>
      </c>
      <c r="D303" s="43" t="inlineStr">
        <is>
          <t>LongString</t>
        </is>
      </c>
      <c r="E303" s="43" t="inlineStr">
        <is>
          <t>metadata.note 5000 ký tự (JSONB không limit)</t>
        </is>
      </c>
      <c r="F303" s="40" t="inlineStr">
        <is>
          <t>REQ-CASE-LONGSTRING-300</t>
        </is>
      </c>
      <c r="G303" s="40" t="inlineStr">
        <is>
          <t>Use case testing</t>
        </is>
      </c>
      <c r="H303" s="40" t="inlineStr">
        <is>
          <t>TB</t>
        </is>
      </c>
      <c r="I303" s="43" t="inlineStr">
        <is>
          <t>1. User đã login
2. Token JWT hợp lệ</t>
        </is>
      </c>
      <c r="J303" s="43" t="inlineStr">
        <is>
          <t>POST metadata={note:'X'.repeat(5000)}</t>
        </is>
      </c>
      <c r="K303" s="43" t="inlineStr">
        <is>
          <t>-</t>
        </is>
      </c>
      <c r="L303" s="43" t="inlineStr">
        <is>
          <t>-</t>
        </is>
      </c>
      <c r="M303" s="43" t="inlineStr">
        <is>
          <t>201</t>
        </is>
      </c>
      <c r="N303" s="43" t="inlineStr">
        <is>
          <t>JSONB stored</t>
        </is>
      </c>
      <c r="O303" s="40" t="inlineStr">
        <is>
          <t>Low</t>
        </is>
      </c>
      <c r="P303" s="43" t="inlineStr">
        <is>
          <t>Đạt như expected. Thời gian: 106ms</t>
        </is>
      </c>
      <c r="Q303" s="40" t="inlineStr">
        <is>
          <t>Đạt</t>
        </is>
      </c>
      <c r="R303" s="40" t="inlineStr"/>
      <c r="S303" s="40" t="inlineStr">
        <is>
          <t>23/05/2026 19:06</t>
        </is>
      </c>
      <c r="T303" s="43" t="inlineStr">
        <is>
          <t>R1:Đạt</t>
        </is>
      </c>
      <c r="U303" s="40" t="inlineStr"/>
      <c r="V303" s="43" t="inlineStr"/>
    </row>
    <row r="304" ht="80" customHeight="1">
      <c r="A304" s="40" t="inlineStr">
        <is>
          <t>TC-301</t>
        </is>
      </c>
      <c r="B304" s="53" t="inlineStr">
        <is>
          <t>BOUNDARY</t>
        </is>
      </c>
      <c r="C304" s="42" t="inlineStr">
        <is>
          <t>P0</t>
        </is>
      </c>
      <c r="D304" s="43" t="inlineStr">
        <is>
          <t>name</t>
        </is>
      </c>
      <c r="E304" s="43" t="inlineStr">
        <is>
          <t>name 1 ký tự 'A' (min) → pass</t>
        </is>
      </c>
      <c r="F304" s="40" t="inlineStr">
        <is>
          <t>REQ-CASE-NAME-301</t>
        </is>
      </c>
      <c r="G304" s="40" t="inlineStr">
        <is>
          <t>Use case testing</t>
        </is>
      </c>
      <c r="H304" s="40" t="inlineStr">
        <is>
          <t>Cao</t>
        </is>
      </c>
      <c r="I304" s="43" t="inlineStr">
        <is>
          <t>1. User đã login
2. Token JWT hợp lệ</t>
        </is>
      </c>
      <c r="J304" s="43" t="inlineStr">
        <is>
          <t>POST name='A'</t>
        </is>
      </c>
      <c r="K304" s="43" t="inlineStr">
        <is>
          <t>name='A' (length 1)</t>
        </is>
      </c>
      <c r="L304" s="43" t="inlineStr">
        <is>
          <t>-</t>
        </is>
      </c>
      <c r="M304" s="43" t="inlineStr">
        <is>
          <t>201</t>
        </is>
      </c>
      <c r="N304" s="43" t="inlineStr">
        <is>
          <t>-</t>
        </is>
      </c>
      <c r="O304" s="40" t="inlineStr">
        <is>
          <t>Medium</t>
        </is>
      </c>
      <c r="P304" s="43" t="inlineStr">
        <is>
          <t>Đạt như expected. Thời gian: 829ms</t>
        </is>
      </c>
      <c r="Q304" s="40" t="inlineStr">
        <is>
          <t>Đạt</t>
        </is>
      </c>
      <c r="R304" s="40" t="inlineStr"/>
      <c r="S304" s="40" t="inlineStr">
        <is>
          <t>23/05/2026 19:06</t>
        </is>
      </c>
      <c r="T304" s="43" t="inlineStr">
        <is>
          <t>R1:Đạt</t>
        </is>
      </c>
      <c r="U304" s="40" t="inlineStr"/>
      <c r="V304" s="43" t="inlineStr"/>
    </row>
    <row r="305" ht="80" customHeight="1">
      <c r="A305" s="40" t="inlineStr">
        <is>
          <t>TC-302</t>
        </is>
      </c>
      <c r="B305" s="53" t="inlineStr">
        <is>
          <t>BOUNDARY</t>
        </is>
      </c>
      <c r="C305" s="42" t="inlineStr">
        <is>
          <t>P0</t>
        </is>
      </c>
      <c r="D305" s="43" t="inlineStr">
        <is>
          <t>name</t>
        </is>
      </c>
      <c r="E305" s="43" t="inlineStr">
        <is>
          <t>name 500 ký tự (max) → pass</t>
        </is>
      </c>
      <c r="F305" s="40" t="inlineStr">
        <is>
          <t>REQ-CASE-NAME-302</t>
        </is>
      </c>
      <c r="G305" s="40" t="inlineStr">
        <is>
          <t>Use case testing</t>
        </is>
      </c>
      <c r="H305" s="40" t="inlineStr">
        <is>
          <t>Cao</t>
        </is>
      </c>
      <c r="I305" s="43" t="inlineStr">
        <is>
          <t>1. User đã login
2. Token JWT hợp lệ</t>
        </is>
      </c>
      <c r="J305" s="43" t="inlineStr">
        <is>
          <t>POST name='X'.repeat(500)</t>
        </is>
      </c>
      <c r="K305" s="43" t="inlineStr">
        <is>
          <t>length=500</t>
        </is>
      </c>
      <c r="L305" s="43" t="inlineStr">
        <is>
          <t>-</t>
        </is>
      </c>
      <c r="M305" s="43" t="inlineStr">
        <is>
          <t>201</t>
        </is>
      </c>
      <c r="N305" s="43" t="inlineStr">
        <is>
          <t>-</t>
        </is>
      </c>
      <c r="O305" s="40" t="inlineStr">
        <is>
          <t>Medium</t>
        </is>
      </c>
      <c r="P305" s="43" t="inlineStr">
        <is>
          <t>Đạt như expected. Thời gian: 101ms</t>
        </is>
      </c>
      <c r="Q305" s="40" t="inlineStr">
        <is>
          <t>Đạt</t>
        </is>
      </c>
      <c r="R305" s="40" t="inlineStr"/>
      <c r="S305" s="40" t="inlineStr">
        <is>
          <t>23/05/2026 19:06</t>
        </is>
      </c>
      <c r="T305" s="43" t="inlineStr">
        <is>
          <t>R1:Đạt</t>
        </is>
      </c>
      <c r="U305" s="40" t="inlineStr"/>
      <c r="V305" s="43" t="inlineStr"/>
    </row>
    <row r="306" ht="80" customHeight="1">
      <c r="A306" s="40" t="inlineStr">
        <is>
          <t>TC-303</t>
        </is>
      </c>
      <c r="B306" s="53" t="inlineStr">
        <is>
          <t>BOUNDARY</t>
        </is>
      </c>
      <c r="C306" s="42" t="inlineStr">
        <is>
          <t>P0</t>
        </is>
      </c>
      <c r="D306" s="43" t="inlineStr">
        <is>
          <t>name</t>
        </is>
      </c>
      <c r="E306" s="43" t="inlineStr">
        <is>
          <t>name 501 ký tự → 400</t>
        </is>
      </c>
      <c r="F306" s="40" t="inlineStr">
        <is>
          <t>REQ-CASE-NAME-303</t>
        </is>
      </c>
      <c r="G306" s="40" t="inlineStr">
        <is>
          <t>Use case testing</t>
        </is>
      </c>
      <c r="H306" s="40" t="inlineStr">
        <is>
          <t>Cao</t>
        </is>
      </c>
      <c r="I306" s="43" t="inlineStr">
        <is>
          <t>1. User đã login
2. Token JWT hợp lệ</t>
        </is>
      </c>
      <c r="J306" s="43" t="inlineStr">
        <is>
          <t>POST</t>
        </is>
      </c>
      <c r="K306" s="43" t="inlineStr">
        <is>
          <t>length=501</t>
        </is>
      </c>
      <c r="L306" s="43" t="inlineStr">
        <is>
          <t>-</t>
        </is>
      </c>
      <c r="M306" s="43" t="inlineStr">
        <is>
          <t>400 MaxLength</t>
        </is>
      </c>
      <c r="N306" s="43" t="inlineStr">
        <is>
          <t>-</t>
        </is>
      </c>
      <c r="O306" s="40" t="inlineStr">
        <is>
          <t>High</t>
        </is>
      </c>
      <c r="P306" s="43" t="inlineStr">
        <is>
          <t>Đạt như expected. Thời gian: 62ms</t>
        </is>
      </c>
      <c r="Q306" s="40" t="inlineStr">
        <is>
          <t>Đạt</t>
        </is>
      </c>
      <c r="R306" s="40" t="inlineStr"/>
      <c r="S306" s="40" t="inlineStr">
        <is>
          <t>23/05/2026 19:06</t>
        </is>
      </c>
      <c r="T306" s="43" t="inlineStr">
        <is>
          <t>R1:Đạt</t>
        </is>
      </c>
      <c r="U306" s="40" t="inlineStr"/>
      <c r="V306" s="43" t="inlineStr"/>
    </row>
    <row r="307" ht="80" customHeight="1">
      <c r="A307" s="40" t="inlineStr">
        <is>
          <t>TC-304</t>
        </is>
      </c>
      <c r="B307" s="53" t="inlineStr">
        <is>
          <t>BOUNDARY</t>
        </is>
      </c>
      <c r="C307" s="42" t="inlineStr">
        <is>
          <t>P0</t>
        </is>
      </c>
      <c r="D307" s="43" t="inlineStr">
        <is>
          <t>name</t>
        </is>
      </c>
      <c r="E307" s="43" t="inlineStr">
        <is>
          <t>name 499 ký tự → pass</t>
        </is>
      </c>
      <c r="F307" s="40" t="inlineStr">
        <is>
          <t>REQ-CASE-NAME-304</t>
        </is>
      </c>
      <c r="G307" s="40" t="inlineStr">
        <is>
          <t>Use case testing</t>
        </is>
      </c>
      <c r="H307" s="40" t="inlineStr">
        <is>
          <t>Cao</t>
        </is>
      </c>
      <c r="I307" s="43" t="inlineStr">
        <is>
          <t>1. User đã login
2. Token JWT hợp lệ</t>
        </is>
      </c>
      <c r="J307" s="43" t="inlineStr">
        <is>
          <t>POST</t>
        </is>
      </c>
      <c r="K307" s="43" t="inlineStr">
        <is>
          <t>length=499</t>
        </is>
      </c>
      <c r="L307" s="43" t="inlineStr">
        <is>
          <t>-</t>
        </is>
      </c>
      <c r="M307" s="43" t="inlineStr">
        <is>
          <t>201</t>
        </is>
      </c>
      <c r="N307" s="43" t="inlineStr">
        <is>
          <t>-</t>
        </is>
      </c>
      <c r="O307" s="40" t="inlineStr">
        <is>
          <t>Low</t>
        </is>
      </c>
      <c r="P307" s="43" t="inlineStr">
        <is>
          <t>Đạt như expected. Thời gian: 89ms</t>
        </is>
      </c>
      <c r="Q307" s="40" t="inlineStr">
        <is>
          <t>Đạt</t>
        </is>
      </c>
      <c r="R307" s="40" t="inlineStr"/>
      <c r="S307" s="40" t="inlineStr">
        <is>
          <t>23/05/2026 19:06</t>
        </is>
      </c>
      <c r="T307" s="43" t="inlineStr">
        <is>
          <t>R1:Đạt</t>
        </is>
      </c>
      <c r="U307" s="40" t="inlineStr"/>
      <c r="V307" s="43" t="inlineStr"/>
    </row>
    <row r="308" ht="80" customHeight="1">
      <c r="A308" s="40" t="inlineStr">
        <is>
          <t>TC-305</t>
        </is>
      </c>
      <c r="B308" s="53" t="inlineStr">
        <is>
          <t>BOUNDARY</t>
        </is>
      </c>
      <c r="C308" s="44" t="inlineStr">
        <is>
          <t>P1</t>
        </is>
      </c>
      <c r="D308" s="43" t="inlineStr">
        <is>
          <t>crime</t>
        </is>
      </c>
      <c r="E308" s="43" t="inlineStr">
        <is>
          <t>crime 255 ký tự (max) → pass</t>
        </is>
      </c>
      <c r="F308" s="40" t="inlineStr">
        <is>
          <t>REQ-CASE-CRIME-305</t>
        </is>
      </c>
      <c r="G308" s="40" t="inlineStr">
        <is>
          <t>Use case testing</t>
        </is>
      </c>
      <c r="H308" s="40" t="inlineStr">
        <is>
          <t>TB</t>
        </is>
      </c>
      <c r="I308" s="43" t="inlineStr">
        <is>
          <t>1. User đã login
2. Token JWT hợp lệ</t>
        </is>
      </c>
      <c r="J308" s="43" t="inlineStr">
        <is>
          <t>POST</t>
        </is>
      </c>
      <c r="K308" s="43" t="inlineStr">
        <is>
          <t>length=255</t>
        </is>
      </c>
      <c r="L308" s="43" t="inlineStr">
        <is>
          <t>-</t>
        </is>
      </c>
      <c r="M308" s="43" t="inlineStr">
        <is>
          <t>201</t>
        </is>
      </c>
      <c r="N308" s="43" t="inlineStr">
        <is>
          <t>-</t>
        </is>
      </c>
      <c r="O308" s="40" t="inlineStr">
        <is>
          <t>Medium</t>
        </is>
      </c>
      <c r="P308" s="43" t="inlineStr">
        <is>
          <t>Thời gian: 128ms</t>
        </is>
      </c>
      <c r="Q308" s="40" t="inlineStr">
        <is>
          <t>Không đạt</t>
        </is>
      </c>
      <c r="R308" s="40" t="inlineStr">
        <is>
          <t>BUG-089</t>
        </is>
      </c>
      <c r="S308" s="40" t="inlineStr">
        <is>
          <t>23/05/2026 19:06</t>
        </is>
      </c>
      <c r="T308" s="43" t="inlineStr">
        <is>
          <t>R1:Không đạt</t>
        </is>
      </c>
      <c r="U308" s="40" t="inlineStr"/>
      <c r="V308" s="43" t="inlineStr"/>
    </row>
    <row r="309" ht="80" customHeight="1">
      <c r="A309" s="40" t="inlineStr">
        <is>
          <t>TC-306</t>
        </is>
      </c>
      <c r="B309" s="53" t="inlineStr">
        <is>
          <t>BOUNDARY</t>
        </is>
      </c>
      <c r="C309" s="44" t="inlineStr">
        <is>
          <t>P1</t>
        </is>
      </c>
      <c r="D309" s="43" t="inlineStr">
        <is>
          <t>crime</t>
        </is>
      </c>
      <c r="E309" s="43" t="inlineStr">
        <is>
          <t>crime 256 ký tự → 400</t>
        </is>
      </c>
      <c r="F309" s="40" t="inlineStr">
        <is>
          <t>REQ-CASE-CRIME-306</t>
        </is>
      </c>
      <c r="G309" s="40" t="inlineStr">
        <is>
          <t>Use case testing</t>
        </is>
      </c>
      <c r="H309" s="40" t="inlineStr">
        <is>
          <t>TB</t>
        </is>
      </c>
      <c r="I309" s="43" t="inlineStr">
        <is>
          <t>1. User đã login
2. Token JWT hợp lệ</t>
        </is>
      </c>
      <c r="J309" s="43" t="inlineStr">
        <is>
          <t>POST</t>
        </is>
      </c>
      <c r="K309" s="43" t="inlineStr">
        <is>
          <t>length=256</t>
        </is>
      </c>
      <c r="L309" s="43" t="inlineStr">
        <is>
          <t>-</t>
        </is>
      </c>
      <c r="M309" s="43" t="inlineStr">
        <is>
          <t>400</t>
        </is>
      </c>
      <c r="N309" s="43" t="inlineStr">
        <is>
          <t>-</t>
        </is>
      </c>
      <c r="O309" s="40" t="inlineStr">
        <is>
          <t>Medium</t>
        </is>
      </c>
      <c r="P309" s="43" t="inlineStr">
        <is>
          <t>Thời gian: 148ms</t>
        </is>
      </c>
      <c r="Q309" s="40" t="inlineStr">
        <is>
          <t>Không đạt</t>
        </is>
      </c>
      <c r="R309" s="40" t="inlineStr">
        <is>
          <t>BUG-090</t>
        </is>
      </c>
      <c r="S309" s="40" t="inlineStr">
        <is>
          <t>23/05/2026 19:06</t>
        </is>
      </c>
      <c r="T309" s="43" t="inlineStr">
        <is>
          <t>R1:Không đạt</t>
        </is>
      </c>
      <c r="U309" s="40" t="inlineStr"/>
      <c r="V309" s="43" t="inlineStr"/>
    </row>
    <row r="310" ht="80" customHeight="1">
      <c r="A310" s="40" t="inlineStr">
        <is>
          <t>TC-307</t>
        </is>
      </c>
      <c r="B310" s="53" t="inlineStr">
        <is>
          <t>BOUNDARY</t>
        </is>
      </c>
      <c r="C310" s="44" t="inlineStr">
        <is>
          <t>P1</t>
        </is>
      </c>
      <c r="D310" s="43" t="inlineStr">
        <is>
          <t>unit</t>
        </is>
      </c>
      <c r="E310" s="43" t="inlineStr">
        <is>
          <t>unit 255 ký tự → pass</t>
        </is>
      </c>
      <c r="F310" s="40" t="inlineStr">
        <is>
          <t>REQ-CASE-UNIT-307</t>
        </is>
      </c>
      <c r="G310" s="40" t="inlineStr">
        <is>
          <t>Use case testing</t>
        </is>
      </c>
      <c r="H310" s="40" t="inlineStr">
        <is>
          <t>TB</t>
        </is>
      </c>
      <c r="I310" s="43" t="inlineStr">
        <is>
          <t>1. User đã login
2. Token JWT hợp lệ</t>
        </is>
      </c>
      <c r="J310" s="43" t="inlineStr">
        <is>
          <t>POST</t>
        </is>
      </c>
      <c r="K310" s="43" t="inlineStr">
        <is>
          <t>length=255</t>
        </is>
      </c>
      <c r="L310" s="43" t="inlineStr">
        <is>
          <t>-</t>
        </is>
      </c>
      <c r="M310" s="43" t="inlineStr">
        <is>
          <t>201</t>
        </is>
      </c>
      <c r="N310" s="43" t="inlineStr">
        <is>
          <t>-</t>
        </is>
      </c>
      <c r="O310" s="40" t="inlineStr">
        <is>
          <t>Low</t>
        </is>
      </c>
      <c r="P310" s="43" t="inlineStr">
        <is>
          <t>Thời gian: 167ms</t>
        </is>
      </c>
      <c r="Q310" s="40" t="inlineStr">
        <is>
          <t>Không đạt</t>
        </is>
      </c>
      <c r="R310" s="40" t="inlineStr">
        <is>
          <t>BUG-485</t>
        </is>
      </c>
      <c r="S310" s="40" t="inlineStr">
        <is>
          <t>23/05/2026 19:06</t>
        </is>
      </c>
      <c r="T310" s="43" t="inlineStr">
        <is>
          <t>R1:Không đạt</t>
        </is>
      </c>
      <c r="U310" s="40" t="inlineStr"/>
      <c r="V310" s="43" t="inlineStr"/>
    </row>
    <row r="311" ht="80" customHeight="1">
      <c r="A311" s="40" t="inlineStr">
        <is>
          <t>TC-308</t>
        </is>
      </c>
      <c r="B311" s="53" t="inlineStr">
        <is>
          <t>BOUNDARY</t>
        </is>
      </c>
      <c r="C311" s="44" t="inlineStr">
        <is>
          <t>P1</t>
        </is>
      </c>
      <c r="D311" s="43" t="inlineStr">
        <is>
          <t>unit</t>
        </is>
      </c>
      <c r="E311" s="43" t="inlineStr">
        <is>
          <t>unit 256 ký tự → 400</t>
        </is>
      </c>
      <c r="F311" s="40" t="inlineStr">
        <is>
          <t>REQ-CASE-UNIT-308</t>
        </is>
      </c>
      <c r="G311" s="40" t="inlineStr">
        <is>
          <t>Use case testing</t>
        </is>
      </c>
      <c r="H311" s="40" t="inlineStr">
        <is>
          <t>TB</t>
        </is>
      </c>
      <c r="I311" s="43" t="inlineStr">
        <is>
          <t>1. User đã login
2. Token JWT hợp lệ</t>
        </is>
      </c>
      <c r="J311" s="43" t="inlineStr">
        <is>
          <t>POST</t>
        </is>
      </c>
      <c r="K311" s="43" t="inlineStr">
        <is>
          <t>length=256</t>
        </is>
      </c>
      <c r="L311" s="43" t="inlineStr">
        <is>
          <t>-</t>
        </is>
      </c>
      <c r="M311" s="43" t="inlineStr">
        <is>
          <t>400</t>
        </is>
      </c>
      <c r="N311" s="43" t="inlineStr">
        <is>
          <t>-</t>
        </is>
      </c>
      <c r="O311" s="40" t="inlineStr">
        <is>
          <t>Low</t>
        </is>
      </c>
      <c r="P311" s="43" t="inlineStr">
        <is>
          <t>Thời gian: 136ms</t>
        </is>
      </c>
      <c r="Q311" s="40" t="inlineStr">
        <is>
          <t>Không đạt</t>
        </is>
      </c>
      <c r="R311" s="40" t="inlineStr">
        <is>
          <t>BUG-486</t>
        </is>
      </c>
      <c r="S311" s="40" t="inlineStr">
        <is>
          <t>23/05/2026 19:06</t>
        </is>
      </c>
      <c r="T311" s="43" t="inlineStr">
        <is>
          <t>R1:Không đạt</t>
        </is>
      </c>
      <c r="U311" s="40" t="inlineStr"/>
      <c r="V311" s="43" t="inlineStr"/>
    </row>
    <row r="312" ht="80" customHeight="1">
      <c r="A312" s="40" t="inlineStr">
        <is>
          <t>TC-309</t>
        </is>
      </c>
      <c r="B312" s="53" t="inlineStr">
        <is>
          <t>BOUNDARY</t>
        </is>
      </c>
      <c r="C312" s="44" t="inlineStr">
        <is>
          <t>P1</t>
        </is>
      </c>
      <c r="D312" s="43" t="inlineStr">
        <is>
          <t>reason</t>
        </is>
      </c>
      <c r="E312" s="43" t="inlineStr">
        <is>
          <t>Delete reason 10 ký tự (min) → pass</t>
        </is>
      </c>
      <c r="F312" s="40" t="inlineStr">
        <is>
          <t>REQ-CASE-REASON-309</t>
        </is>
      </c>
      <c r="G312" s="40" t="inlineStr">
        <is>
          <t>Use case testing</t>
        </is>
      </c>
      <c r="H312" s="40" t="inlineStr">
        <is>
          <t>TB</t>
        </is>
      </c>
      <c r="I312" s="43" t="inlineStr">
        <is>
          <t>1. User đã login
2. Token JWT hợp lệ</t>
        </is>
      </c>
      <c r="J312" s="43" t="inlineStr">
        <is>
          <t>DELETE reason='1234567890' (length 10)</t>
        </is>
      </c>
      <c r="K312" s="43" t="inlineStr">
        <is>
          <t>length=10</t>
        </is>
      </c>
      <c r="L312" s="43" t="inlineStr">
        <is>
          <t>-</t>
        </is>
      </c>
      <c r="M312" s="43" t="inlineStr">
        <is>
          <t>200</t>
        </is>
      </c>
      <c r="N312" s="43" t="inlineStr">
        <is>
          <t>-</t>
        </is>
      </c>
      <c r="O312" s="40" t="inlineStr">
        <is>
          <t>Medium</t>
        </is>
      </c>
      <c r="P312" s="43" t="inlineStr">
        <is>
          <t>Thời gian: 188ms</t>
        </is>
      </c>
      <c r="Q312" s="40" t="inlineStr">
        <is>
          <t>Không đạt</t>
        </is>
      </c>
      <c r="R312" s="40" t="inlineStr">
        <is>
          <t>BUG-383</t>
        </is>
      </c>
      <c r="S312" s="40" t="inlineStr">
        <is>
          <t>23/05/2026 19:06</t>
        </is>
      </c>
      <c r="T312" s="43" t="inlineStr">
        <is>
          <t>R1:Không đạt</t>
        </is>
      </c>
      <c r="U312" s="40" t="inlineStr"/>
      <c r="V312" s="43" t="inlineStr"/>
    </row>
    <row r="313" ht="80" customHeight="1">
      <c r="A313" s="40" t="inlineStr">
        <is>
          <t>TC-310</t>
        </is>
      </c>
      <c r="B313" s="53" t="inlineStr">
        <is>
          <t>BOUNDARY</t>
        </is>
      </c>
      <c r="C313" s="44" t="inlineStr">
        <is>
          <t>P1</t>
        </is>
      </c>
      <c r="D313" s="43" t="inlineStr">
        <is>
          <t>reason</t>
        </is>
      </c>
      <c r="E313" s="43" t="inlineStr">
        <is>
          <t>Delete reason 9 ký tự → 400</t>
        </is>
      </c>
      <c r="F313" s="40" t="inlineStr">
        <is>
          <t>REQ-CASE-REASON-310</t>
        </is>
      </c>
      <c r="G313" s="40" t="inlineStr">
        <is>
          <t>Use case testing</t>
        </is>
      </c>
      <c r="H313" s="40" t="inlineStr">
        <is>
          <t>TB</t>
        </is>
      </c>
      <c r="I313" s="43" t="inlineStr">
        <is>
          <t>1. User đã login
2. Token JWT hợp lệ</t>
        </is>
      </c>
      <c r="J313" s="43" t="inlineStr">
        <is>
          <t>DELETE reason='123456789' (length 9)</t>
        </is>
      </c>
      <c r="K313" s="43" t="inlineStr">
        <is>
          <t>length=9</t>
        </is>
      </c>
      <c r="L313" s="43" t="inlineStr">
        <is>
          <t>-</t>
        </is>
      </c>
      <c r="M313" s="43" t="inlineStr">
        <is>
          <t>400 MinLength(10)</t>
        </is>
      </c>
      <c r="N313" s="43" t="inlineStr">
        <is>
          <t>-</t>
        </is>
      </c>
      <c r="O313" s="40" t="inlineStr">
        <is>
          <t>Medium</t>
        </is>
      </c>
      <c r="P313" s="43" t="inlineStr">
        <is>
          <t>Thời gian: 174ms</t>
        </is>
      </c>
      <c r="Q313" s="40" t="inlineStr">
        <is>
          <t>Không đạt</t>
        </is>
      </c>
      <c r="R313" s="40" t="inlineStr">
        <is>
          <t>BUG-384</t>
        </is>
      </c>
      <c r="S313" s="40" t="inlineStr">
        <is>
          <t>23/05/2026 19:06</t>
        </is>
      </c>
      <c r="T313" s="43" t="inlineStr">
        <is>
          <t>R1:Không đạt</t>
        </is>
      </c>
      <c r="U313" s="40" t="inlineStr"/>
      <c r="V313" s="43" t="inlineStr"/>
    </row>
    <row r="314" ht="80" customHeight="1">
      <c r="A314" s="40" t="inlineStr">
        <is>
          <t>TC-311</t>
        </is>
      </c>
      <c r="B314" s="53" t="inlineStr">
        <is>
          <t>BOUNDARY</t>
        </is>
      </c>
      <c r="C314" s="44" t="inlineStr">
        <is>
          <t>P1</t>
        </is>
      </c>
      <c r="D314" s="43" t="inlineStr">
        <is>
          <t>reason</t>
        </is>
      </c>
      <c r="E314" s="43" t="inlineStr">
        <is>
          <t>Delete reason 500 ký tự (max) → pass</t>
        </is>
      </c>
      <c r="F314" s="40" t="inlineStr">
        <is>
          <t>REQ-CASE-REASON-311</t>
        </is>
      </c>
      <c r="G314" s="40" t="inlineStr">
        <is>
          <t>Use case testing</t>
        </is>
      </c>
      <c r="H314" s="40" t="inlineStr">
        <is>
          <t>TB</t>
        </is>
      </c>
      <c r="I314" s="43" t="inlineStr">
        <is>
          <t>1. User đã login
2. Token JWT hợp lệ</t>
        </is>
      </c>
      <c r="J314" s="43" t="inlineStr">
        <is>
          <t>DELETE</t>
        </is>
      </c>
      <c r="K314" s="43" t="inlineStr">
        <is>
          <t>length=500</t>
        </is>
      </c>
      <c r="L314" s="43" t="inlineStr">
        <is>
          <t>-</t>
        </is>
      </c>
      <c r="M314" s="43" t="inlineStr">
        <is>
          <t>200</t>
        </is>
      </c>
      <c r="N314" s="43" t="inlineStr">
        <is>
          <t>-</t>
        </is>
      </c>
      <c r="O314" s="40" t="inlineStr">
        <is>
          <t>Medium</t>
        </is>
      </c>
      <c r="P314" s="43" t="inlineStr">
        <is>
          <t>Thời gian: 123ms</t>
        </is>
      </c>
      <c r="Q314" s="40" t="inlineStr">
        <is>
          <t>Không đạt</t>
        </is>
      </c>
      <c r="R314" s="40" t="inlineStr">
        <is>
          <t>BUG-385</t>
        </is>
      </c>
      <c r="S314" s="40" t="inlineStr">
        <is>
          <t>23/05/2026 19:06</t>
        </is>
      </c>
      <c r="T314" s="43" t="inlineStr">
        <is>
          <t>R1:Không đạt</t>
        </is>
      </c>
      <c r="U314" s="40" t="inlineStr"/>
      <c r="V314" s="43" t="inlineStr"/>
    </row>
    <row r="315" ht="80" customHeight="1">
      <c r="A315" s="40" t="inlineStr">
        <is>
          <t>TC-312</t>
        </is>
      </c>
      <c r="B315" s="53" t="inlineStr">
        <is>
          <t>BOUNDARY</t>
        </is>
      </c>
      <c r="C315" s="44" t="inlineStr">
        <is>
          <t>P1</t>
        </is>
      </c>
      <c r="D315" s="43" t="inlineStr">
        <is>
          <t>reason</t>
        </is>
      </c>
      <c r="E315" s="43" t="inlineStr">
        <is>
          <t>Delete reason 501 ký tự → 400</t>
        </is>
      </c>
      <c r="F315" s="40" t="inlineStr">
        <is>
          <t>REQ-CASE-REASON-312</t>
        </is>
      </c>
      <c r="G315" s="40" t="inlineStr">
        <is>
          <t>Use case testing</t>
        </is>
      </c>
      <c r="H315" s="40" t="inlineStr">
        <is>
          <t>TB</t>
        </is>
      </c>
      <c r="I315" s="43" t="inlineStr">
        <is>
          <t>1. User đã login
2. Token JWT hợp lệ</t>
        </is>
      </c>
      <c r="J315" s="43" t="inlineStr">
        <is>
          <t>DELETE</t>
        </is>
      </c>
      <c r="K315" s="43" t="inlineStr">
        <is>
          <t>length=501</t>
        </is>
      </c>
      <c r="L315" s="43" t="inlineStr">
        <is>
          <t>-</t>
        </is>
      </c>
      <c r="M315" s="43" t="inlineStr">
        <is>
          <t>400</t>
        </is>
      </c>
      <c r="N315" s="43" t="inlineStr">
        <is>
          <t>-</t>
        </is>
      </c>
      <c r="O315" s="40" t="inlineStr">
        <is>
          <t>Medium</t>
        </is>
      </c>
      <c r="P315" s="43" t="inlineStr">
        <is>
          <t>Thời gian: 188ms</t>
        </is>
      </c>
      <c r="Q315" s="40" t="inlineStr">
        <is>
          <t>Không đạt</t>
        </is>
      </c>
      <c r="R315" s="40" t="inlineStr">
        <is>
          <t>BUG-386</t>
        </is>
      </c>
      <c r="S315" s="40" t="inlineStr">
        <is>
          <t>23/05/2026 19:06</t>
        </is>
      </c>
      <c r="T315" s="43" t="inlineStr">
        <is>
          <t>R1:Không đạt</t>
        </is>
      </c>
      <c r="U315" s="40" t="inlineStr"/>
      <c r="V315" s="43" t="inlineStr"/>
    </row>
    <row r="316" ht="80" customHeight="1">
      <c r="A316" s="40" t="inlineStr">
        <is>
          <t>TC-313</t>
        </is>
      </c>
      <c r="B316" s="53" t="inlineStr">
        <is>
          <t>BOUNDARY</t>
        </is>
      </c>
      <c r="C316" s="44" t="inlineStr">
        <is>
          <t>P1</t>
        </is>
      </c>
      <c r="D316" s="43" t="inlineStr">
        <is>
          <t>subC</t>
        </is>
      </c>
      <c r="E316" s="43" t="inlineStr">
        <is>
          <t>subjectsCount = 0 (min) → pass</t>
        </is>
      </c>
      <c r="F316" s="40" t="inlineStr">
        <is>
          <t>REQ-CASE-SUBC-313</t>
        </is>
      </c>
      <c r="G316" s="40" t="inlineStr">
        <is>
          <t>Use case testing</t>
        </is>
      </c>
      <c r="H316" s="40" t="inlineStr">
        <is>
          <t>TB</t>
        </is>
      </c>
      <c r="I316" s="43" t="inlineStr">
        <is>
          <t>1. User đã login
2. Token JWT hợp lệ</t>
        </is>
      </c>
      <c r="J316" s="43" t="inlineStr">
        <is>
          <t>POST subjectsCount=0</t>
        </is>
      </c>
      <c r="K316" s="43" t="inlineStr">
        <is>
          <t>0</t>
        </is>
      </c>
      <c r="L316" s="43" t="inlineStr">
        <is>
          <t>-</t>
        </is>
      </c>
      <c r="M316" s="43" t="inlineStr">
        <is>
          <t>201</t>
        </is>
      </c>
      <c r="N316" s="43" t="inlineStr">
        <is>
          <t>-</t>
        </is>
      </c>
      <c r="O316" s="40" t="inlineStr">
        <is>
          <t>Low</t>
        </is>
      </c>
      <c r="P316" s="43" t="inlineStr">
        <is>
          <t>Đạt như expected. Thời gian: 76ms</t>
        </is>
      </c>
      <c r="Q316" s="40" t="inlineStr">
        <is>
          <t>Đạt</t>
        </is>
      </c>
      <c r="R316" s="40" t="inlineStr"/>
      <c r="S316" s="40" t="inlineStr">
        <is>
          <t>23/05/2026 19:06</t>
        </is>
      </c>
      <c r="T316" s="43" t="inlineStr">
        <is>
          <t>R1:Đạt</t>
        </is>
      </c>
      <c r="U316" s="40" t="inlineStr"/>
      <c r="V316" s="43" t="inlineStr"/>
    </row>
    <row r="317" ht="80" customHeight="1">
      <c r="A317" s="40" t="inlineStr">
        <is>
          <t>TC-314</t>
        </is>
      </c>
      <c r="B317" s="53" t="inlineStr">
        <is>
          <t>BOUNDARY</t>
        </is>
      </c>
      <c r="C317" s="44" t="inlineStr">
        <is>
          <t>P1</t>
        </is>
      </c>
      <c r="D317" s="43" t="inlineStr">
        <is>
          <t>subC</t>
        </is>
      </c>
      <c r="E317" s="43" t="inlineStr">
        <is>
          <t>subjectsCount = -1 → 400 @Min(0)</t>
        </is>
      </c>
      <c r="F317" s="40" t="inlineStr">
        <is>
          <t>REQ-CASE-SUBC-314</t>
        </is>
      </c>
      <c r="G317" s="40" t="inlineStr">
        <is>
          <t>Use case testing</t>
        </is>
      </c>
      <c r="H317" s="40" t="inlineStr">
        <is>
          <t>TB</t>
        </is>
      </c>
      <c r="I317" s="43" t="inlineStr">
        <is>
          <t>1. User đã login
2. Token JWT hợp lệ</t>
        </is>
      </c>
      <c r="J317" s="43" t="inlineStr">
        <is>
          <t>POST subjectsCount=-1</t>
        </is>
      </c>
      <c r="K317" s="43" t="inlineStr">
        <is>
          <t>-1</t>
        </is>
      </c>
      <c r="L317" s="43" t="inlineStr">
        <is>
          <t>-</t>
        </is>
      </c>
      <c r="M317" s="43" t="inlineStr">
        <is>
          <t>400</t>
        </is>
      </c>
      <c r="N317" s="43" t="inlineStr">
        <is>
          <t>-</t>
        </is>
      </c>
      <c r="O317" s="40" t="inlineStr">
        <is>
          <t>Medium</t>
        </is>
      </c>
      <c r="P317" s="43" t="inlineStr">
        <is>
          <t>Đạt như expected. Thời gian: 95ms</t>
        </is>
      </c>
      <c r="Q317" s="40" t="inlineStr">
        <is>
          <t>Đạt</t>
        </is>
      </c>
      <c r="R317" s="40" t="inlineStr"/>
      <c r="S317" s="40" t="inlineStr">
        <is>
          <t>23/05/2026 19:06</t>
        </is>
      </c>
      <c r="T317" s="43" t="inlineStr">
        <is>
          <t>R1:Đạt</t>
        </is>
      </c>
      <c r="U317" s="40" t="inlineStr"/>
      <c r="V317" s="43" t="inlineStr"/>
    </row>
    <row r="318" ht="80" customHeight="1">
      <c r="A318" s="40" t="inlineStr">
        <is>
          <t>TC-315</t>
        </is>
      </c>
      <c r="B318" s="53" t="inlineStr">
        <is>
          <t>BOUNDARY</t>
        </is>
      </c>
      <c r="C318" s="44" t="inlineStr">
        <is>
          <t>P1</t>
        </is>
      </c>
      <c r="D318" s="43" t="inlineStr">
        <is>
          <t>subC</t>
        </is>
      </c>
      <c r="E318" s="43" t="inlineStr">
        <is>
          <t>subjectsCount = 1 → pass</t>
        </is>
      </c>
      <c r="F318" s="40" t="inlineStr">
        <is>
          <t>REQ-CASE-SUBC-315</t>
        </is>
      </c>
      <c r="G318" s="40" t="inlineStr">
        <is>
          <t>Use case testing</t>
        </is>
      </c>
      <c r="H318" s="40" t="inlineStr">
        <is>
          <t>TB</t>
        </is>
      </c>
      <c r="I318" s="43" t="inlineStr">
        <is>
          <t>1. User đã login
2. Token JWT hợp lệ</t>
        </is>
      </c>
      <c r="J318" s="43" t="inlineStr">
        <is>
          <t>POST subjectsCount=1</t>
        </is>
      </c>
      <c r="K318" s="43" t="inlineStr">
        <is>
          <t>1</t>
        </is>
      </c>
      <c r="L318" s="43" t="inlineStr">
        <is>
          <t>-</t>
        </is>
      </c>
      <c r="M318" s="43" t="inlineStr">
        <is>
          <t>201</t>
        </is>
      </c>
      <c r="N318" s="43" t="inlineStr">
        <is>
          <t>-</t>
        </is>
      </c>
      <c r="O318" s="40" t="inlineStr">
        <is>
          <t>Low</t>
        </is>
      </c>
      <c r="P318" s="43" t="inlineStr">
        <is>
          <t>Đạt như expected. Thời gian: 85ms</t>
        </is>
      </c>
      <c r="Q318" s="40" t="inlineStr">
        <is>
          <t>Đạt</t>
        </is>
      </c>
      <c r="R318" s="40" t="inlineStr"/>
      <c r="S318" s="40" t="inlineStr">
        <is>
          <t>23/05/2026 19:06</t>
        </is>
      </c>
      <c r="T318" s="43" t="inlineStr">
        <is>
          <t>R1:Đạt</t>
        </is>
      </c>
      <c r="U318" s="40" t="inlineStr"/>
      <c r="V318" s="43" t="inlineStr"/>
    </row>
    <row r="319" ht="80" customHeight="1">
      <c r="A319" s="40" t="inlineStr">
        <is>
          <t>TC-316</t>
        </is>
      </c>
      <c r="B319" s="53" t="inlineStr">
        <is>
          <t>BOUNDARY</t>
        </is>
      </c>
      <c r="C319" s="44" t="inlineStr">
        <is>
          <t>P1</t>
        </is>
      </c>
      <c r="D319" s="43" t="inlineStr">
        <is>
          <t>limit</t>
        </is>
      </c>
      <c r="E319" s="43" t="inlineStr">
        <is>
          <t>limit=1 (min) → pass</t>
        </is>
      </c>
      <c r="F319" s="40" t="inlineStr">
        <is>
          <t>REQ-CASE-LIMIT-316</t>
        </is>
      </c>
      <c r="G319" s="40" t="inlineStr">
        <is>
          <t>Use case testing</t>
        </is>
      </c>
      <c r="H319" s="40" t="inlineStr">
        <is>
          <t>TB</t>
        </is>
      </c>
      <c r="I319" s="43" t="inlineStr">
        <is>
          <t>1. User đã login
2. Token JWT hợp lệ</t>
        </is>
      </c>
      <c r="J319" s="43" t="inlineStr">
        <is>
          <t>GET ?limit=1</t>
        </is>
      </c>
      <c r="K319" s="43" t="inlineStr">
        <is>
          <t>-</t>
        </is>
      </c>
      <c r="L319" s="43" t="inlineStr">
        <is>
          <t>1 row</t>
        </is>
      </c>
      <c r="M319" s="43" t="inlineStr">
        <is>
          <t>200</t>
        </is>
      </c>
      <c r="N319" s="43" t="inlineStr">
        <is>
          <t>-</t>
        </is>
      </c>
      <c r="O319" s="40" t="inlineStr">
        <is>
          <t>Low</t>
        </is>
      </c>
      <c r="P319" s="43" t="inlineStr">
        <is>
          <t>Thời gian: 175ms</t>
        </is>
      </c>
      <c r="Q319" s="40" t="inlineStr">
        <is>
          <t>Không đạt</t>
        </is>
      </c>
      <c r="R319" s="40" t="inlineStr">
        <is>
          <t>BUG-303</t>
        </is>
      </c>
      <c r="S319" s="40" t="inlineStr">
        <is>
          <t>23/05/2026 19:06</t>
        </is>
      </c>
      <c r="T319" s="43" t="inlineStr">
        <is>
          <t>R1:Không đạt</t>
        </is>
      </c>
      <c r="U319" s="40" t="inlineStr"/>
      <c r="V319" s="43" t="inlineStr"/>
    </row>
    <row r="320" ht="80" customHeight="1">
      <c r="A320" s="40" t="inlineStr">
        <is>
          <t>TC-317</t>
        </is>
      </c>
      <c r="B320" s="53" t="inlineStr">
        <is>
          <t>BOUNDARY</t>
        </is>
      </c>
      <c r="C320" s="44" t="inlineStr">
        <is>
          <t>P1</t>
        </is>
      </c>
      <c r="D320" s="43" t="inlineStr">
        <is>
          <t>limit</t>
        </is>
      </c>
      <c r="E320" s="43" t="inlineStr">
        <is>
          <t>limit=100 (max) → pass</t>
        </is>
      </c>
      <c r="F320" s="40" t="inlineStr">
        <is>
          <t>REQ-CASE-LIMIT-317</t>
        </is>
      </c>
      <c r="G320" s="40" t="inlineStr">
        <is>
          <t>Use case testing</t>
        </is>
      </c>
      <c r="H320" s="40" t="inlineStr">
        <is>
          <t>TB</t>
        </is>
      </c>
      <c r="I320" s="43" t="inlineStr">
        <is>
          <t>1. User đã login
2. Token JWT hợp lệ</t>
        </is>
      </c>
      <c r="J320" s="43" t="inlineStr">
        <is>
          <t>GET ?limit=100</t>
        </is>
      </c>
      <c r="K320" s="43" t="inlineStr">
        <is>
          <t>-</t>
        </is>
      </c>
      <c r="L320" s="43" t="inlineStr">
        <is>
          <t>-</t>
        </is>
      </c>
      <c r="M320" s="43" t="inlineStr">
        <is>
          <t>200 max 100</t>
        </is>
      </c>
      <c r="N320" s="43" t="inlineStr">
        <is>
          <t>-</t>
        </is>
      </c>
      <c r="O320" s="40" t="inlineStr">
        <is>
          <t>Medium</t>
        </is>
      </c>
      <c r="P320" s="43" t="inlineStr">
        <is>
          <t>Thời gian: 113ms</t>
        </is>
      </c>
      <c r="Q320" s="40" t="inlineStr">
        <is>
          <t>Không đạt</t>
        </is>
      </c>
      <c r="R320" s="40" t="inlineStr">
        <is>
          <t>BUG-304</t>
        </is>
      </c>
      <c r="S320" s="40" t="inlineStr">
        <is>
          <t>23/05/2026 19:06</t>
        </is>
      </c>
      <c r="T320" s="43" t="inlineStr">
        <is>
          <t>R1:Không đạt</t>
        </is>
      </c>
      <c r="U320" s="40" t="inlineStr"/>
      <c r="V320" s="43" t="inlineStr"/>
    </row>
    <row r="321" ht="80" customHeight="1">
      <c r="A321" s="40" t="inlineStr">
        <is>
          <t>TC-318</t>
        </is>
      </c>
      <c r="B321" s="53" t="inlineStr">
        <is>
          <t>BOUNDARY</t>
        </is>
      </c>
      <c r="C321" s="44" t="inlineStr">
        <is>
          <t>P1</t>
        </is>
      </c>
      <c r="D321" s="43" t="inlineStr">
        <is>
          <t>limit</t>
        </is>
      </c>
      <c r="E321" s="43" t="inlineStr">
        <is>
          <t>limit=101 → 400</t>
        </is>
      </c>
      <c r="F321" s="40" t="inlineStr">
        <is>
          <t>REQ-CASE-LIMIT-318</t>
        </is>
      </c>
      <c r="G321" s="40" t="inlineStr">
        <is>
          <t>Use case testing</t>
        </is>
      </c>
      <c r="H321" s="40" t="inlineStr">
        <is>
          <t>TB</t>
        </is>
      </c>
      <c r="I321" s="43" t="inlineStr">
        <is>
          <t>1. User đã login
2. Token JWT hợp lệ</t>
        </is>
      </c>
      <c r="J321" s="43" t="inlineStr">
        <is>
          <t>GET ?limit=101</t>
        </is>
      </c>
      <c r="K321" s="43" t="inlineStr">
        <is>
          <t>-</t>
        </is>
      </c>
      <c r="L321" s="43" t="inlineStr">
        <is>
          <t>-</t>
        </is>
      </c>
      <c r="M321" s="43" t="inlineStr">
        <is>
          <t>400</t>
        </is>
      </c>
      <c r="N321" s="43" t="inlineStr">
        <is>
          <t>-</t>
        </is>
      </c>
      <c r="O321" s="40" t="inlineStr">
        <is>
          <t>Medium</t>
        </is>
      </c>
      <c r="P321" s="43" t="inlineStr">
        <is>
          <t>Thời gian: 168ms</t>
        </is>
      </c>
      <c r="Q321" s="40" t="inlineStr">
        <is>
          <t>Không đạt</t>
        </is>
      </c>
      <c r="R321" s="40" t="inlineStr">
        <is>
          <t>BUG-305</t>
        </is>
      </c>
      <c r="S321" s="40" t="inlineStr">
        <is>
          <t>23/05/2026 19:06</t>
        </is>
      </c>
      <c r="T321" s="43" t="inlineStr">
        <is>
          <t>R1:Không đạt</t>
        </is>
      </c>
      <c r="U321" s="40" t="inlineStr"/>
      <c r="V321" s="43" t="inlineStr"/>
    </row>
    <row r="322" ht="80" customHeight="1">
      <c r="A322" s="40" t="inlineStr">
        <is>
          <t>TC-319</t>
        </is>
      </c>
      <c r="B322" s="53" t="inlineStr">
        <is>
          <t>BOUNDARY</t>
        </is>
      </c>
      <c r="C322" s="44" t="inlineStr">
        <is>
          <t>P1</t>
        </is>
      </c>
      <c r="D322" s="43" t="inlineStr">
        <is>
          <t>offset</t>
        </is>
      </c>
      <c r="E322" s="43" t="inlineStr">
        <is>
          <t>offset=0 (min) → pass</t>
        </is>
      </c>
      <c r="F322" s="40" t="inlineStr">
        <is>
          <t>REQ-CASE-OFFSET-319</t>
        </is>
      </c>
      <c r="G322" s="40" t="inlineStr">
        <is>
          <t>Use case testing</t>
        </is>
      </c>
      <c r="H322" s="40" t="inlineStr">
        <is>
          <t>TB</t>
        </is>
      </c>
      <c r="I322" s="43" t="inlineStr">
        <is>
          <t>1. User đã login
2. Token JWT hợp lệ</t>
        </is>
      </c>
      <c r="J322" s="43" t="inlineStr">
        <is>
          <t>GET ?offset=0</t>
        </is>
      </c>
      <c r="K322" s="43" t="inlineStr">
        <is>
          <t>-</t>
        </is>
      </c>
      <c r="L322" s="43" t="inlineStr">
        <is>
          <t>-</t>
        </is>
      </c>
      <c r="M322" s="43" t="inlineStr">
        <is>
          <t>200</t>
        </is>
      </c>
      <c r="N322" s="43" t="inlineStr">
        <is>
          <t>-</t>
        </is>
      </c>
      <c r="O322" s="40" t="inlineStr">
        <is>
          <t>Low</t>
        </is>
      </c>
      <c r="P322" s="43" t="inlineStr">
        <is>
          <t>Đạt như expected. Thời gian: 120ms</t>
        </is>
      </c>
      <c r="Q322" s="40" t="inlineStr">
        <is>
          <t>Đạt</t>
        </is>
      </c>
      <c r="R322" s="40" t="inlineStr"/>
      <c r="S322" s="40" t="inlineStr">
        <is>
          <t>23/05/2026 19:06</t>
        </is>
      </c>
      <c r="T322" s="43" t="inlineStr">
        <is>
          <t>R1:Đạt</t>
        </is>
      </c>
      <c r="U322" s="40" t="inlineStr"/>
      <c r="V322" s="43" t="inlineStr"/>
    </row>
    <row r="323" ht="80" customHeight="1">
      <c r="A323" s="40" t="inlineStr">
        <is>
          <t>TC-320</t>
        </is>
      </c>
      <c r="B323" s="53" t="inlineStr">
        <is>
          <t>BOUNDARY</t>
        </is>
      </c>
      <c r="C323" s="44" t="inlineStr">
        <is>
          <t>P1</t>
        </is>
      </c>
      <c r="D323" s="43" t="inlineStr">
        <is>
          <t>offset</t>
        </is>
      </c>
      <c r="E323" s="43" t="inlineStr">
        <is>
          <t>offset=-1 → 400 @Min(0)</t>
        </is>
      </c>
      <c r="F323" s="40" t="inlineStr">
        <is>
          <t>REQ-CASE-OFFSET-320</t>
        </is>
      </c>
      <c r="G323" s="40" t="inlineStr">
        <is>
          <t>Use case testing</t>
        </is>
      </c>
      <c r="H323" s="40" t="inlineStr">
        <is>
          <t>TB</t>
        </is>
      </c>
      <c r="I323" s="43" t="inlineStr">
        <is>
          <t>1. User đã login
2. Token JWT hợp lệ</t>
        </is>
      </c>
      <c r="J323" s="43" t="inlineStr">
        <is>
          <t>GET ?offset=-1</t>
        </is>
      </c>
      <c r="K323" s="43" t="inlineStr">
        <is>
          <t>-</t>
        </is>
      </c>
      <c r="L323" s="43" t="inlineStr">
        <is>
          <t>-</t>
        </is>
      </c>
      <c r="M323" s="43" t="inlineStr">
        <is>
          <t>400</t>
        </is>
      </c>
      <c r="N323" s="43" t="inlineStr">
        <is>
          <t>-</t>
        </is>
      </c>
      <c r="O323" s="40" t="inlineStr">
        <is>
          <t>Medium</t>
        </is>
      </c>
      <c r="P323" s="43" t="inlineStr">
        <is>
          <t>Đạt như expected. Thời gian: 81ms</t>
        </is>
      </c>
      <c r="Q323" s="40" t="inlineStr">
        <is>
          <t>Đạt</t>
        </is>
      </c>
      <c r="R323" s="40" t="inlineStr"/>
      <c r="S323" s="40" t="inlineStr">
        <is>
          <t>23/05/2026 19:06</t>
        </is>
      </c>
      <c r="T323" s="43" t="inlineStr">
        <is>
          <t>R1:Đạt</t>
        </is>
      </c>
      <c r="U323" s="40" t="inlineStr"/>
      <c r="V323" s="43" t="inlineStr"/>
    </row>
    <row r="324" ht="80" customHeight="1">
      <c r="A324" s="40" t="inlineStr">
        <is>
          <t>TC-321</t>
        </is>
      </c>
      <c r="B324" s="53" t="inlineStr">
        <is>
          <t>BOUNDARY</t>
        </is>
      </c>
      <c r="C324" s="44" t="inlineStr">
        <is>
          <t>P1</t>
        </is>
      </c>
      <c r="D324" s="43" t="inlineStr">
        <is>
          <t>srcDocNote</t>
        </is>
      </c>
      <c r="E324" s="43" t="inlineStr">
        <is>
          <t>sourceDocumentNote 1000 ký tự (max) → pass</t>
        </is>
      </c>
      <c r="F324" s="40" t="inlineStr">
        <is>
          <t>REQ-CASE-SRCDOCNOTE-321</t>
        </is>
      </c>
      <c r="G324" s="40" t="inlineStr">
        <is>
          <t>Use case testing</t>
        </is>
      </c>
      <c r="H324" s="40" t="inlineStr">
        <is>
          <t>TB</t>
        </is>
      </c>
      <c r="I324" s="43" t="inlineStr">
        <is>
          <t>1. User đã login
2. Token JWT hợp lệ</t>
        </is>
      </c>
      <c r="J324" s="43" t="inlineStr">
        <is>
          <t>POST</t>
        </is>
      </c>
      <c r="K324" s="43" t="inlineStr">
        <is>
          <t>length=1000</t>
        </is>
      </c>
      <c r="L324" s="43" t="inlineStr">
        <is>
          <t>-</t>
        </is>
      </c>
      <c r="M324" s="43" t="inlineStr">
        <is>
          <t>201</t>
        </is>
      </c>
      <c r="N324" s="43" t="inlineStr">
        <is>
          <t>-</t>
        </is>
      </c>
      <c r="O324" s="40" t="inlineStr">
        <is>
          <t>Low</t>
        </is>
      </c>
      <c r="P324" s="43" t="inlineStr">
        <is>
          <t>Đạt như expected. Thời gian: 79ms</t>
        </is>
      </c>
      <c r="Q324" s="40" t="inlineStr">
        <is>
          <t>Đạt</t>
        </is>
      </c>
      <c r="R324" s="40" t="inlineStr"/>
      <c r="S324" s="40" t="inlineStr">
        <is>
          <t>23/05/2026 19:06</t>
        </is>
      </c>
      <c r="T324" s="43" t="inlineStr">
        <is>
          <t>R1:Đạt</t>
        </is>
      </c>
      <c r="U324" s="40" t="inlineStr"/>
      <c r="V324" s="43" t="inlineStr"/>
    </row>
    <row r="325" ht="80" customHeight="1">
      <c r="A325" s="40" t="inlineStr">
        <is>
          <t>TC-322</t>
        </is>
      </c>
      <c r="B325" s="53" t="inlineStr">
        <is>
          <t>BOUNDARY</t>
        </is>
      </c>
      <c r="C325" s="44" t="inlineStr">
        <is>
          <t>P1</t>
        </is>
      </c>
      <c r="D325" s="43" t="inlineStr">
        <is>
          <t>srcDocNote</t>
        </is>
      </c>
      <c r="E325" s="43" t="inlineStr">
        <is>
          <t>sourceDocumentNote 1001 → 400</t>
        </is>
      </c>
      <c r="F325" s="40" t="inlineStr">
        <is>
          <t>REQ-CASE-SRCDOCNOTE-322</t>
        </is>
      </c>
      <c r="G325" s="40" t="inlineStr">
        <is>
          <t>Use case testing</t>
        </is>
      </c>
      <c r="H325" s="40" t="inlineStr">
        <is>
          <t>TB</t>
        </is>
      </c>
      <c r="I325" s="43" t="inlineStr">
        <is>
          <t>1. User đã login
2. Token JWT hợp lệ</t>
        </is>
      </c>
      <c r="J325" s="43" t="inlineStr">
        <is>
          <t>POST</t>
        </is>
      </c>
      <c r="K325" s="43" t="inlineStr">
        <is>
          <t>length=1001</t>
        </is>
      </c>
      <c r="L325" s="43" t="inlineStr">
        <is>
          <t>-</t>
        </is>
      </c>
      <c r="M325" s="43" t="inlineStr">
        <is>
          <t>400</t>
        </is>
      </c>
      <c r="N325" s="43" t="inlineStr">
        <is>
          <t>-</t>
        </is>
      </c>
      <c r="O325" s="40" t="inlineStr">
        <is>
          <t>Medium</t>
        </is>
      </c>
      <c r="P325" s="43" t="inlineStr">
        <is>
          <t>Đạt như expected. Thời gian: 91ms</t>
        </is>
      </c>
      <c r="Q325" s="40" t="inlineStr">
        <is>
          <t>Đạt</t>
        </is>
      </c>
      <c r="R325" s="40" t="inlineStr"/>
      <c r="S325" s="40" t="inlineStr">
        <is>
          <t>23/05/2026 19:06</t>
        </is>
      </c>
      <c r="T325" s="43" t="inlineStr">
        <is>
          <t>R1:Đạt</t>
        </is>
      </c>
      <c r="U325" s="40" t="inlineStr"/>
      <c r="V325" s="43" t="inlineStr"/>
    </row>
    <row r="326" ht="80" customHeight="1">
      <c r="A326" s="40" t="inlineStr">
        <is>
          <t>TC-323</t>
        </is>
      </c>
      <c r="B326" s="54" t="inlineStr">
        <is>
          <t>EP</t>
        </is>
      </c>
      <c r="C326" s="44" t="inlineStr">
        <is>
          <t>P1</t>
        </is>
      </c>
      <c r="D326" s="43" t="inlineStr">
        <is>
          <t>name-cls</t>
        </is>
      </c>
      <c r="E326" s="43" t="inlineStr">
        <is>
          <t>name class hợp lệ: chuỗi VN có dấu</t>
        </is>
      </c>
      <c r="F326" s="40" t="inlineStr">
        <is>
          <t>REQ-CASE-NAME-CLS-323</t>
        </is>
      </c>
      <c r="G326" s="40" t="inlineStr">
        <is>
          <t>Use case testing</t>
        </is>
      </c>
      <c r="H326" s="40" t="inlineStr">
        <is>
          <t>TB</t>
        </is>
      </c>
      <c r="I326" s="43" t="inlineStr">
        <is>
          <t>1. User đã login
2. Token JWT hợp lệ</t>
        </is>
      </c>
      <c r="J326" s="43" t="inlineStr">
        <is>
          <t>POST 'Vụ trộm cắp xe'</t>
        </is>
      </c>
      <c r="K326" s="43" t="inlineStr">
        <is>
          <t>-</t>
        </is>
      </c>
      <c r="L326" s="43" t="inlineStr">
        <is>
          <t>-</t>
        </is>
      </c>
      <c r="M326" s="43" t="inlineStr">
        <is>
          <t>201</t>
        </is>
      </c>
      <c r="N326" s="43" t="inlineStr">
        <is>
          <t>-</t>
        </is>
      </c>
      <c r="O326" s="40" t="inlineStr">
        <is>
          <t>Low</t>
        </is>
      </c>
      <c r="P326" s="43" t="inlineStr">
        <is>
          <t>Đạt như expected. Thời gian: 83ms</t>
        </is>
      </c>
      <c r="Q326" s="40" t="inlineStr">
        <is>
          <t>Đạt</t>
        </is>
      </c>
      <c r="R326" s="40" t="inlineStr"/>
      <c r="S326" s="40" t="inlineStr">
        <is>
          <t>23/05/2026 19:06</t>
        </is>
      </c>
      <c r="T326" s="43" t="inlineStr">
        <is>
          <t>R1:Đạt</t>
        </is>
      </c>
      <c r="U326" s="40" t="inlineStr"/>
      <c r="V326" s="43" t="inlineStr"/>
    </row>
    <row r="327" ht="80" customHeight="1">
      <c r="A327" s="40" t="inlineStr">
        <is>
          <t>TC-324</t>
        </is>
      </c>
      <c r="B327" s="54" t="inlineStr">
        <is>
          <t>EP</t>
        </is>
      </c>
      <c r="C327" s="44" t="inlineStr">
        <is>
          <t>P1</t>
        </is>
      </c>
      <c r="D327" s="43" t="inlineStr">
        <is>
          <t>name-cls</t>
        </is>
      </c>
      <c r="E327" s="43" t="inlineStr">
        <is>
          <t>name class không hợp lệ: rỗng</t>
        </is>
      </c>
      <c r="F327" s="40" t="inlineStr">
        <is>
          <t>REQ-CASE-NAME-CLS-324</t>
        </is>
      </c>
      <c r="G327" s="40" t="inlineStr">
        <is>
          <t>Use case testing</t>
        </is>
      </c>
      <c r="H327" s="40" t="inlineStr">
        <is>
          <t>TB</t>
        </is>
      </c>
      <c r="I327" s="43" t="inlineStr">
        <is>
          <t>1. User đã login
2. Token JWT hợp lệ</t>
        </is>
      </c>
      <c r="J327" s="43" t="inlineStr">
        <is>
          <t>POST ''</t>
        </is>
      </c>
      <c r="K327" s="43" t="inlineStr">
        <is>
          <t>-</t>
        </is>
      </c>
      <c r="L327" s="43" t="inlineStr">
        <is>
          <t>-</t>
        </is>
      </c>
      <c r="M327" s="43" t="inlineStr">
        <is>
          <t>400</t>
        </is>
      </c>
      <c r="N327" s="43" t="inlineStr">
        <is>
          <t>-</t>
        </is>
      </c>
      <c r="O327" s="40" t="inlineStr">
        <is>
          <t>Medium</t>
        </is>
      </c>
      <c r="P327" s="43" t="inlineStr">
        <is>
          <t>Đạt như expected. Thời gian: 80ms</t>
        </is>
      </c>
      <c r="Q327" s="40" t="inlineStr">
        <is>
          <t>Đạt</t>
        </is>
      </c>
      <c r="R327" s="40" t="inlineStr"/>
      <c r="S327" s="40" t="inlineStr">
        <is>
          <t>23/05/2026 19:06</t>
        </is>
      </c>
      <c r="T327" s="43" t="inlineStr">
        <is>
          <t>R1:Đạt</t>
        </is>
      </c>
      <c r="U327" s="40" t="inlineStr"/>
      <c r="V327" s="43" t="inlineStr"/>
    </row>
    <row r="328" ht="80" customHeight="1">
      <c r="A328" s="40" t="inlineStr">
        <is>
          <t>TC-325</t>
        </is>
      </c>
      <c r="B328" s="54" t="inlineStr">
        <is>
          <t>EP</t>
        </is>
      </c>
      <c r="C328" s="44" t="inlineStr">
        <is>
          <t>P1</t>
        </is>
      </c>
      <c r="D328" s="43" t="inlineStr">
        <is>
          <t>prov-cls</t>
        </is>
      </c>
      <c r="E328" s="43" t="inlineStr">
        <is>
          <t>Provenance class valid enum (DIRECT_DISCOVERY)</t>
        </is>
      </c>
      <c r="F328" s="40" t="inlineStr">
        <is>
          <t>REQ-CASE-PROV-CLS-325</t>
        </is>
      </c>
      <c r="G328" s="40" t="inlineStr">
        <is>
          <t>Use case testing</t>
        </is>
      </c>
      <c r="H328" s="40" t="inlineStr">
        <is>
          <t>TB</t>
        </is>
      </c>
      <c r="I328" s="43" t="inlineStr">
        <is>
          <t>1. User đã login
2. Token JWT hợp lệ</t>
        </is>
      </c>
      <c r="J328" s="43" t="inlineStr">
        <is>
          <t>POST DIRECT_DISCOVERY</t>
        </is>
      </c>
      <c r="K328" s="43" t="inlineStr">
        <is>
          <t>-</t>
        </is>
      </c>
      <c r="L328" s="43" t="inlineStr">
        <is>
          <t>-</t>
        </is>
      </c>
      <c r="M328" s="43" t="inlineStr">
        <is>
          <t>201</t>
        </is>
      </c>
      <c r="N328" s="43" t="inlineStr">
        <is>
          <t>-</t>
        </is>
      </c>
      <c r="O328" s="40" t="inlineStr">
        <is>
          <t>Low</t>
        </is>
      </c>
      <c r="P328" s="43" t="inlineStr">
        <is>
          <t>Thời gian: 166ms</t>
        </is>
      </c>
      <c r="Q328" s="40" t="inlineStr">
        <is>
          <t>Không đạt</t>
        </is>
      </c>
      <c r="R328" s="40" t="inlineStr">
        <is>
          <t>BUG-380</t>
        </is>
      </c>
      <c r="S328" s="40" t="inlineStr">
        <is>
          <t>23/05/2026 19:06</t>
        </is>
      </c>
      <c r="T328" s="43" t="inlineStr">
        <is>
          <t>R1:Không đạt</t>
        </is>
      </c>
      <c r="U328" s="40" t="inlineStr"/>
      <c r="V328" s="43" t="inlineStr"/>
    </row>
    <row r="329" ht="80" customHeight="1">
      <c r="A329" s="40" t="inlineStr">
        <is>
          <t>TC-326</t>
        </is>
      </c>
      <c r="B329" s="54" t="inlineStr">
        <is>
          <t>EP</t>
        </is>
      </c>
      <c r="C329" s="44" t="inlineStr">
        <is>
          <t>P1</t>
        </is>
      </c>
      <c r="D329" s="43" t="inlineStr">
        <is>
          <t>prov-cls</t>
        </is>
      </c>
      <c r="E329" s="43" t="inlineStr">
        <is>
          <t>Provenance class invalid (string ngẫu nhiên)</t>
        </is>
      </c>
      <c r="F329" s="40" t="inlineStr">
        <is>
          <t>REQ-CASE-PROV-CLS-326</t>
        </is>
      </c>
      <c r="G329" s="40" t="inlineStr">
        <is>
          <t>Use case testing</t>
        </is>
      </c>
      <c r="H329" s="40" t="inlineStr">
        <is>
          <t>TB</t>
        </is>
      </c>
      <c r="I329" s="43" t="inlineStr">
        <is>
          <t>1. User đã login
2. Token JWT hợp lệ</t>
        </is>
      </c>
      <c r="J329" s="43" t="inlineStr">
        <is>
          <t>POST 'XXX'</t>
        </is>
      </c>
      <c r="K329" s="43" t="inlineStr">
        <is>
          <t>-</t>
        </is>
      </c>
      <c r="L329" s="43" t="inlineStr">
        <is>
          <t>-</t>
        </is>
      </c>
      <c r="M329" s="43" t="inlineStr">
        <is>
          <t>400</t>
        </is>
      </c>
      <c r="N329" s="43" t="inlineStr">
        <is>
          <t>-</t>
        </is>
      </c>
      <c r="O329" s="40" t="inlineStr">
        <is>
          <t>Medium</t>
        </is>
      </c>
      <c r="P329" s="43" t="inlineStr">
        <is>
          <t>Thời gian: 165ms</t>
        </is>
      </c>
      <c r="Q329" s="40" t="inlineStr">
        <is>
          <t>Không đạt</t>
        </is>
      </c>
      <c r="R329" s="40" t="inlineStr">
        <is>
          <t>BUG-381</t>
        </is>
      </c>
      <c r="S329" s="40" t="inlineStr">
        <is>
          <t>23/05/2026 19:06</t>
        </is>
      </c>
      <c r="T329" s="43" t="inlineStr">
        <is>
          <t>R1:Không đạt</t>
        </is>
      </c>
      <c r="U329" s="40" t="inlineStr"/>
      <c r="V329" s="43" t="inlineStr"/>
    </row>
    <row r="330" ht="80" customHeight="1">
      <c r="A330" s="40" t="inlineStr">
        <is>
          <t>TC-327</t>
        </is>
      </c>
      <c r="B330" s="54" t="inlineStr">
        <is>
          <t>EP</t>
        </is>
      </c>
      <c r="C330" s="44" t="inlineStr">
        <is>
          <t>P1</t>
        </is>
      </c>
      <c r="D330" s="43" t="inlineStr">
        <is>
          <t>capDo-cls</t>
        </is>
      </c>
      <c r="E330" s="43" t="inlineStr">
        <is>
          <t>CapDoToiPham class IT_NGHIEM_TRONG</t>
        </is>
      </c>
      <c r="F330" s="40" t="inlineStr">
        <is>
          <t>REQ-CASE-CAPDO-CLS-327</t>
        </is>
      </c>
      <c r="G330" s="40" t="inlineStr">
        <is>
          <t>Use case testing</t>
        </is>
      </c>
      <c r="H330" s="40" t="inlineStr">
        <is>
          <t>TB</t>
        </is>
      </c>
      <c r="I330" s="43" t="inlineStr">
        <is>
          <t>1. User đã login
2. Token JWT hợp lệ</t>
        </is>
      </c>
      <c r="J330" s="43" t="inlineStr">
        <is>
          <t>POST IT_NGHIEM_TRONG</t>
        </is>
      </c>
      <c r="K330" s="43" t="inlineStr">
        <is>
          <t>-</t>
        </is>
      </c>
      <c r="L330" s="43" t="inlineStr">
        <is>
          <t>-</t>
        </is>
      </c>
      <c r="M330" s="43" t="inlineStr">
        <is>
          <t>201</t>
        </is>
      </c>
      <c r="N330" s="43" t="inlineStr">
        <is>
          <t>-</t>
        </is>
      </c>
      <c r="O330" s="40" t="inlineStr">
        <is>
          <t>Low</t>
        </is>
      </c>
      <c r="P330" s="43" t="inlineStr">
        <is>
          <t>Đạt như expected. Thời gian: 35ms</t>
        </is>
      </c>
      <c r="Q330" s="40" t="inlineStr">
        <is>
          <t>Đạt</t>
        </is>
      </c>
      <c r="R330" s="40" t="inlineStr"/>
      <c r="S330" s="40" t="inlineStr">
        <is>
          <t>23/05/2026 19:06</t>
        </is>
      </c>
      <c r="T330" s="43" t="inlineStr">
        <is>
          <t>R1:Đạt</t>
        </is>
      </c>
      <c r="U330" s="40" t="inlineStr"/>
      <c r="V330" s="43" t="inlineStr"/>
    </row>
    <row r="331" ht="80" customHeight="1">
      <c r="A331" s="40" t="inlineStr">
        <is>
          <t>TC-328</t>
        </is>
      </c>
      <c r="B331" s="54" t="inlineStr">
        <is>
          <t>EP</t>
        </is>
      </c>
      <c r="C331" s="44" t="inlineStr">
        <is>
          <t>P1</t>
        </is>
      </c>
      <c r="D331" s="43" t="inlineStr">
        <is>
          <t>capDo-cls</t>
        </is>
      </c>
      <c r="E331" s="43" t="inlineStr">
        <is>
          <t>CapDoToiPham class NGHIEM_TRONG</t>
        </is>
      </c>
      <c r="F331" s="40" t="inlineStr">
        <is>
          <t>REQ-CASE-CAPDO-CLS-328</t>
        </is>
      </c>
      <c r="G331" s="40" t="inlineStr">
        <is>
          <t>Use case testing</t>
        </is>
      </c>
      <c r="H331" s="40" t="inlineStr">
        <is>
          <t>TB</t>
        </is>
      </c>
      <c r="I331" s="43" t="inlineStr">
        <is>
          <t>1. User đã login
2. Token JWT hợp lệ</t>
        </is>
      </c>
      <c r="J331" s="43" t="inlineStr">
        <is>
          <t>POST NGHIEM_TRONG</t>
        </is>
      </c>
      <c r="K331" s="43" t="inlineStr">
        <is>
          <t>-</t>
        </is>
      </c>
      <c r="L331" s="43" t="inlineStr">
        <is>
          <t>-</t>
        </is>
      </c>
      <c r="M331" s="43" t="inlineStr">
        <is>
          <t>201</t>
        </is>
      </c>
      <c r="N331" s="43" t="inlineStr">
        <is>
          <t>-</t>
        </is>
      </c>
      <c r="O331" s="40" t="inlineStr">
        <is>
          <t>Low</t>
        </is>
      </c>
      <c r="P331" s="43" t="inlineStr">
        <is>
          <t>Đạt như expected. Thời gian: 35ms</t>
        </is>
      </c>
      <c r="Q331" s="40" t="inlineStr">
        <is>
          <t>Đạt</t>
        </is>
      </c>
      <c r="R331" s="40" t="inlineStr"/>
      <c r="S331" s="40" t="inlineStr">
        <is>
          <t>23/05/2026 19:06</t>
        </is>
      </c>
      <c r="T331" s="43" t="inlineStr">
        <is>
          <t>R1:Đạt</t>
        </is>
      </c>
      <c r="U331" s="40" t="inlineStr"/>
      <c r="V331" s="43" t="inlineStr"/>
    </row>
    <row r="332" ht="80" customHeight="1">
      <c r="A332" s="40" t="inlineStr">
        <is>
          <t>TC-329</t>
        </is>
      </c>
      <c r="B332" s="54" t="inlineStr">
        <is>
          <t>EP</t>
        </is>
      </c>
      <c r="C332" s="44" t="inlineStr">
        <is>
          <t>P1</t>
        </is>
      </c>
      <c r="D332" s="43" t="inlineStr">
        <is>
          <t>capDo-cls</t>
        </is>
      </c>
      <c r="E332" s="43" t="inlineStr">
        <is>
          <t>CapDoToiPham class RAT_NGHIEM_TRONG</t>
        </is>
      </c>
      <c r="F332" s="40" t="inlineStr">
        <is>
          <t>REQ-CASE-CAPDO-CLS-329</t>
        </is>
      </c>
      <c r="G332" s="40" t="inlineStr">
        <is>
          <t>Use case testing</t>
        </is>
      </c>
      <c r="H332" s="40" t="inlineStr">
        <is>
          <t>TB</t>
        </is>
      </c>
      <c r="I332" s="43" t="inlineStr">
        <is>
          <t>1. User đã login
2. Token JWT hợp lệ</t>
        </is>
      </c>
      <c r="J332" s="43" t="inlineStr">
        <is>
          <t>POST RAT_NGHIEM_TRONG</t>
        </is>
      </c>
      <c r="K332" s="43" t="inlineStr">
        <is>
          <t>-</t>
        </is>
      </c>
      <c r="L332" s="43" t="inlineStr">
        <is>
          <t>-</t>
        </is>
      </c>
      <c r="M332" s="43" t="inlineStr">
        <is>
          <t>201</t>
        </is>
      </c>
      <c r="N332" s="43" t="inlineStr">
        <is>
          <t>-</t>
        </is>
      </c>
      <c r="O332" s="40" t="inlineStr">
        <is>
          <t>Low</t>
        </is>
      </c>
      <c r="P332" s="43" t="inlineStr">
        <is>
          <t>Đạt như expected. Thời gian: 41ms</t>
        </is>
      </c>
      <c r="Q332" s="40" t="inlineStr">
        <is>
          <t>Đạt</t>
        </is>
      </c>
      <c r="R332" s="40" t="inlineStr"/>
      <c r="S332" s="40" t="inlineStr">
        <is>
          <t>23/05/2026 19:06</t>
        </is>
      </c>
      <c r="T332" s="43" t="inlineStr">
        <is>
          <t>R1:Đạt</t>
        </is>
      </c>
      <c r="U332" s="40" t="inlineStr"/>
      <c r="V332" s="43" t="inlineStr"/>
    </row>
    <row r="333" ht="80" customHeight="1">
      <c r="A333" s="40" t="inlineStr">
        <is>
          <t>TC-330</t>
        </is>
      </c>
      <c r="B333" s="54" t="inlineStr">
        <is>
          <t>EP</t>
        </is>
      </c>
      <c r="C333" s="44" t="inlineStr">
        <is>
          <t>P1</t>
        </is>
      </c>
      <c r="D333" s="43" t="inlineStr">
        <is>
          <t>capDo-cls</t>
        </is>
      </c>
      <c r="E333" s="43" t="inlineStr">
        <is>
          <t>CapDoToiPham class DAC_BIET_NGHIEM_TRONG</t>
        </is>
      </c>
      <c r="F333" s="40" t="inlineStr">
        <is>
          <t>REQ-CASE-CAPDO-CLS-330</t>
        </is>
      </c>
      <c r="G333" s="40" t="inlineStr">
        <is>
          <t>Use case testing</t>
        </is>
      </c>
      <c r="H333" s="40" t="inlineStr">
        <is>
          <t>TB</t>
        </is>
      </c>
      <c r="I333" s="43" t="inlineStr">
        <is>
          <t>1. User đã login
2. Token JWT hợp lệ</t>
        </is>
      </c>
      <c r="J333" s="43" t="inlineStr">
        <is>
          <t>POST DAC_BIET_NGHIEM_TRONG</t>
        </is>
      </c>
      <c r="K333" s="43" t="inlineStr">
        <is>
          <t>-</t>
        </is>
      </c>
      <c r="L333" s="43" t="inlineStr">
        <is>
          <t>-</t>
        </is>
      </c>
      <c r="M333" s="43" t="inlineStr">
        <is>
          <t>201</t>
        </is>
      </c>
      <c r="N333" s="43" t="inlineStr">
        <is>
          <t>-</t>
        </is>
      </c>
      <c r="O333" s="40" t="inlineStr">
        <is>
          <t>Low</t>
        </is>
      </c>
      <c r="P333" s="43" t="inlineStr">
        <is>
          <t>Đạt như expected. Thời gian: 47ms</t>
        </is>
      </c>
      <c r="Q333" s="40" t="inlineStr">
        <is>
          <t>Đạt</t>
        </is>
      </c>
      <c r="R333" s="40" t="inlineStr"/>
      <c r="S333" s="40" t="inlineStr">
        <is>
          <t>23/05/2026 19:06</t>
        </is>
      </c>
      <c r="T333" s="43" t="inlineStr">
        <is>
          <t>R1:Đạt</t>
        </is>
      </c>
      <c r="U333" s="40" t="inlineStr"/>
      <c r="V333" s="43" t="inlineStr"/>
    </row>
    <row r="334" ht="80" customHeight="1">
      <c r="A334" s="40" t="inlineStr">
        <is>
          <t>TC-331</t>
        </is>
      </c>
      <c r="B334" s="54" t="inlineStr">
        <is>
          <t>EP</t>
        </is>
      </c>
      <c r="C334" s="44" t="inlineStr">
        <is>
          <t>P1</t>
        </is>
      </c>
      <c r="D334" s="43" t="inlineStr">
        <is>
          <t>status-cls</t>
        </is>
      </c>
      <c r="E334" s="43" t="inlineStr">
        <is>
          <t>Status valid class TIEP_NHAN</t>
        </is>
      </c>
      <c r="F334" s="40" t="inlineStr">
        <is>
          <t>REQ-CASE-STATUS-CLS-331</t>
        </is>
      </c>
      <c r="G334" s="40" t="inlineStr">
        <is>
          <t>Use case testing</t>
        </is>
      </c>
      <c r="H334" s="40" t="inlineStr">
        <is>
          <t>TB</t>
        </is>
      </c>
      <c r="I334" s="43" t="inlineStr">
        <is>
          <t>1. User đã login
2. Token JWT hợp lệ</t>
        </is>
      </c>
      <c r="J334" s="43" t="inlineStr">
        <is>
          <t>POST status=TIEP_NHAN</t>
        </is>
      </c>
      <c r="K334" s="43" t="inlineStr">
        <is>
          <t>-</t>
        </is>
      </c>
      <c r="L334" s="43" t="inlineStr">
        <is>
          <t>-</t>
        </is>
      </c>
      <c r="M334" s="43" t="inlineStr">
        <is>
          <t>201</t>
        </is>
      </c>
      <c r="N334" s="43" t="inlineStr">
        <is>
          <t>-</t>
        </is>
      </c>
      <c r="O334" s="40" t="inlineStr">
        <is>
          <t>Low</t>
        </is>
      </c>
      <c r="P334" s="43" t="inlineStr">
        <is>
          <t>Đạt như expected. Thời gian: 73ms</t>
        </is>
      </c>
      <c r="Q334" s="40" t="inlineStr">
        <is>
          <t>Đạt</t>
        </is>
      </c>
      <c r="R334" s="40" t="inlineStr"/>
      <c r="S334" s="40" t="inlineStr">
        <is>
          <t>23/05/2026 19:06</t>
        </is>
      </c>
      <c r="T334" s="43" t="inlineStr">
        <is>
          <t>R1:Đạt</t>
        </is>
      </c>
      <c r="U334" s="40" t="inlineStr"/>
      <c r="V334" s="43" t="inlineStr"/>
    </row>
    <row r="335" ht="80" customHeight="1">
      <c r="A335" s="40" t="inlineStr">
        <is>
          <t>TC-332</t>
        </is>
      </c>
      <c r="B335" s="54" t="inlineStr">
        <is>
          <t>EP</t>
        </is>
      </c>
      <c r="C335" s="44" t="inlineStr">
        <is>
          <t>P1</t>
        </is>
      </c>
      <c r="D335" s="43" t="inlineStr">
        <is>
          <t>status-cls</t>
        </is>
      </c>
      <c r="E335" s="43" t="inlineStr">
        <is>
          <t>Status invalid class 'OPEN' (Anh)</t>
        </is>
      </c>
      <c r="F335" s="40" t="inlineStr">
        <is>
          <t>REQ-CASE-STATUS-CLS-332</t>
        </is>
      </c>
      <c r="G335" s="40" t="inlineStr">
        <is>
          <t>Use case testing</t>
        </is>
      </c>
      <c r="H335" s="40" t="inlineStr">
        <is>
          <t>TB</t>
        </is>
      </c>
      <c r="I335" s="43" t="inlineStr">
        <is>
          <t>1. User đã login
2. Token JWT hợp lệ</t>
        </is>
      </c>
      <c r="J335" s="43" t="inlineStr">
        <is>
          <t>POST status='OPEN'</t>
        </is>
      </c>
      <c r="K335" s="43" t="inlineStr">
        <is>
          <t>-</t>
        </is>
      </c>
      <c r="L335" s="43" t="inlineStr">
        <is>
          <t>-</t>
        </is>
      </c>
      <c r="M335" s="43" t="inlineStr">
        <is>
          <t>400</t>
        </is>
      </c>
      <c r="N335" s="43" t="inlineStr">
        <is>
          <t>-</t>
        </is>
      </c>
      <c r="O335" s="40" t="inlineStr">
        <is>
          <t>Medium</t>
        </is>
      </c>
      <c r="P335" s="43" t="inlineStr">
        <is>
          <t>Đạt như expected. Thời gian: 90ms</t>
        </is>
      </c>
      <c r="Q335" s="40" t="inlineStr">
        <is>
          <t>Đạt</t>
        </is>
      </c>
      <c r="R335" s="40" t="inlineStr"/>
      <c r="S335" s="40" t="inlineStr">
        <is>
          <t>23/05/2026 19:06</t>
        </is>
      </c>
      <c r="T335" s="43" t="inlineStr">
        <is>
          <t>R1:Đạt</t>
        </is>
      </c>
      <c r="U335" s="40" t="inlineStr"/>
      <c r="V335" s="43" t="inlineStr"/>
    </row>
    <row r="336" ht="80" customHeight="1">
      <c r="A336" s="40" t="inlineStr">
        <is>
          <t>TC-333</t>
        </is>
      </c>
      <c r="B336" s="55" t="inlineStr">
        <is>
          <t>DECISION</t>
        </is>
      </c>
      <c r="C336" s="42" t="inlineStr">
        <is>
          <t>P0</t>
        </is>
      </c>
      <c r="D336" s="43" t="inlineStr">
        <is>
          <t>DataScope-C1</t>
        </is>
      </c>
      <c r="E336" s="43" t="inlineStr">
        <is>
          <t>ADMIN (dataScope=null) xem mọi Case</t>
        </is>
      </c>
      <c r="F336" s="40" t="inlineStr">
        <is>
          <t>REQ-CASE-DATASCOPE-C1-333</t>
        </is>
      </c>
      <c r="G336" s="40" t="inlineStr">
        <is>
          <t>Use case testing</t>
        </is>
      </c>
      <c r="H336" s="40" t="inlineStr">
        <is>
          <t>Cao</t>
        </is>
      </c>
      <c r="I336" s="43" t="inlineStr">
        <is>
          <t>admin@</t>
        </is>
      </c>
      <c r="J336" s="43" t="inlineStr">
        <is>
          <t>GET /cases/ANY</t>
        </is>
      </c>
      <c r="K336" s="43" t="inlineStr">
        <is>
          <t>-</t>
        </is>
      </c>
      <c r="L336" s="43" t="inlineStr">
        <is>
          <t>200</t>
        </is>
      </c>
      <c r="M336" s="43" t="inlineStr">
        <is>
          <t>200</t>
        </is>
      </c>
      <c r="N336" s="43" t="inlineStr">
        <is>
          <t>-</t>
        </is>
      </c>
      <c r="O336" s="40" t="inlineStr">
        <is>
          <t>Critical</t>
        </is>
      </c>
      <c r="P336" s="43" t="inlineStr">
        <is>
          <t>Thời gian: 119ms</t>
        </is>
      </c>
      <c r="Q336" s="40" t="inlineStr">
        <is>
          <t>Không đạt</t>
        </is>
      </c>
      <c r="R336" s="40" t="inlineStr">
        <is>
          <t>BUG-092</t>
        </is>
      </c>
      <c r="S336" s="40" t="inlineStr">
        <is>
          <t>23/05/2026 19:06</t>
        </is>
      </c>
      <c r="T336" s="43" t="inlineStr">
        <is>
          <t>R1:Không đạt</t>
        </is>
      </c>
      <c r="U336" s="40" t="inlineStr"/>
      <c r="V336" s="43" t="inlineStr">
        <is>
          <t>Decision C1: dataScope=null bypass</t>
        </is>
      </c>
    </row>
    <row r="337" ht="80" customHeight="1">
      <c r="A337" s="40" t="inlineStr">
        <is>
          <t>TC-334</t>
        </is>
      </c>
      <c r="B337" s="55" t="inlineStr">
        <is>
          <t>DECISION</t>
        </is>
      </c>
      <c r="C337" s="42" t="inlineStr">
        <is>
          <t>P0</t>
        </is>
      </c>
      <c r="D337" s="43" t="inlineStr">
        <is>
          <t>DataScope-C2</t>
        </is>
      </c>
      <c r="E337" s="43" t="inlineStr">
        <is>
          <t>Dispatcher (canDispatch=true) xem mọi Case</t>
        </is>
      </c>
      <c r="F337" s="40" t="inlineStr">
        <is>
          <t>REQ-CASE-DATASCOPE-C2-334</t>
        </is>
      </c>
      <c r="G337" s="40" t="inlineStr">
        <is>
          <t>Use case testing</t>
        </is>
      </c>
      <c r="H337" s="40" t="inlineStr">
        <is>
          <t>Cao</t>
        </is>
      </c>
      <c r="I337" s="43" t="inlineStr">
        <is>
          <t>dispatcher@</t>
        </is>
      </c>
      <c r="J337" s="43" t="inlineStr">
        <is>
          <t>GET /cases/ANY</t>
        </is>
      </c>
      <c r="K337" s="43" t="inlineStr">
        <is>
          <t>-</t>
        </is>
      </c>
      <c r="L337" s="43" t="inlineStr">
        <is>
          <t>200</t>
        </is>
      </c>
      <c r="M337" s="43" t="inlineStr">
        <is>
          <t>200</t>
        </is>
      </c>
      <c r="N337" s="43" t="inlineStr">
        <is>
          <t>-</t>
        </is>
      </c>
      <c r="O337" s="40" t="inlineStr">
        <is>
          <t>Critical</t>
        </is>
      </c>
      <c r="P337" s="43" t="inlineStr">
        <is>
          <t>Thời gian: 146ms</t>
        </is>
      </c>
      <c r="Q337" s="40" t="inlineStr">
        <is>
          <t>Không đạt</t>
        </is>
      </c>
      <c r="R337" s="40" t="inlineStr">
        <is>
          <t>BUG-093</t>
        </is>
      </c>
      <c r="S337" s="40" t="inlineStr">
        <is>
          <t>23/05/2026 19:06</t>
        </is>
      </c>
      <c r="T337" s="43" t="inlineStr">
        <is>
          <t>R1:Không đạt</t>
        </is>
      </c>
      <c r="U337" s="40" t="inlineStr"/>
      <c r="V337" s="43" t="inlineStr"/>
    </row>
    <row r="338" ht="80" customHeight="1">
      <c r="A338" s="40" t="inlineStr">
        <is>
          <t>TC-335</t>
        </is>
      </c>
      <c r="B338" s="55" t="inlineStr">
        <is>
          <t>DECISION</t>
        </is>
      </c>
      <c r="C338" s="42" t="inlineStr">
        <is>
          <t>P0</t>
        </is>
      </c>
      <c r="D338" s="43" t="inlineStr">
        <is>
          <t>DataScope-C3</t>
        </is>
      </c>
      <c r="E338" s="43" t="inlineStr">
        <is>
          <t>Owner (investigatorId match userIds) xem Case mình</t>
        </is>
      </c>
      <c r="F338" s="40" t="inlineStr">
        <is>
          <t>REQ-CASE-DATASCOPE-C3-335</t>
        </is>
      </c>
      <c r="G338" s="40" t="inlineStr">
        <is>
          <t>Use case testing</t>
        </is>
      </c>
      <c r="H338" s="40" t="inlineStr">
        <is>
          <t>Cao</t>
        </is>
      </c>
      <c r="I338" s="43" t="inlineStr">
        <is>
          <t>dieuTra1 = investigator của CASE-001</t>
        </is>
      </c>
      <c r="J338" s="43" t="inlineStr">
        <is>
          <t>GET /cases/CASE-001</t>
        </is>
      </c>
      <c r="K338" s="43" t="inlineStr">
        <is>
          <t>-</t>
        </is>
      </c>
      <c r="L338" s="43" t="inlineStr">
        <is>
          <t>200</t>
        </is>
      </c>
      <c r="M338" s="43" t="inlineStr">
        <is>
          <t>200</t>
        </is>
      </c>
      <c r="N338" s="43" t="inlineStr">
        <is>
          <t>-</t>
        </is>
      </c>
      <c r="O338" s="40" t="inlineStr">
        <is>
          <t>High</t>
        </is>
      </c>
      <c r="P338" s="43" t="inlineStr">
        <is>
          <t>Thời gian: 122ms</t>
        </is>
      </c>
      <c r="Q338" s="40" t="inlineStr">
        <is>
          <t>Không đạt</t>
        </is>
      </c>
      <c r="R338" s="40" t="inlineStr">
        <is>
          <t>BUG-094</t>
        </is>
      </c>
      <c r="S338" s="40" t="inlineStr">
        <is>
          <t>23/05/2026 19:06</t>
        </is>
      </c>
      <c r="T338" s="43" t="inlineStr">
        <is>
          <t>R1:Không đạt</t>
        </is>
      </c>
      <c r="U338" s="40" t="inlineStr"/>
      <c r="V338" s="43" t="inlineStr">
        <is>
          <t>ownerMatch</t>
        </is>
      </c>
    </row>
    <row r="339" ht="80" customHeight="1">
      <c r="A339" s="40" t="inlineStr">
        <is>
          <t>TC-336</t>
        </is>
      </c>
      <c r="B339" s="55" t="inlineStr">
        <is>
          <t>DECISION</t>
        </is>
      </c>
      <c r="C339" s="42" t="inlineStr">
        <is>
          <t>P0</t>
        </is>
      </c>
      <c r="D339" s="43" t="inlineStr">
        <is>
          <t>DataScope-C4</t>
        </is>
      </c>
      <c r="E339" s="43" t="inlineStr">
        <is>
          <t>Same team (assignedTeamId in teamIds) xem Case đồng nghiệp</t>
        </is>
      </c>
      <c r="F339" s="40" t="inlineStr">
        <is>
          <t>REQ-CASE-DATASCOPE-C4-336</t>
        </is>
      </c>
      <c r="G339" s="40" t="inlineStr">
        <is>
          <t>Use case testing</t>
        </is>
      </c>
      <c r="H339" s="40" t="inlineStr">
        <is>
          <t>Cao</t>
        </is>
      </c>
      <c r="I339" s="43" t="inlineStr">
        <is>
          <t>dieuTra1 cùng Team-Q1 với CASE-002</t>
        </is>
      </c>
      <c r="J339" s="43" t="inlineStr">
        <is>
          <t>GET /cases/CASE-002</t>
        </is>
      </c>
      <c r="K339" s="43" t="inlineStr">
        <is>
          <t>-</t>
        </is>
      </c>
      <c r="L339" s="43" t="inlineStr">
        <is>
          <t>200</t>
        </is>
      </c>
      <c r="M339" s="43" t="inlineStr">
        <is>
          <t>200</t>
        </is>
      </c>
      <c r="N339" s="43" t="inlineStr">
        <is>
          <t>-</t>
        </is>
      </c>
      <c r="O339" s="40" t="inlineStr">
        <is>
          <t>High</t>
        </is>
      </c>
      <c r="P339" s="43" t="inlineStr">
        <is>
          <t>Thời gian: 111ms</t>
        </is>
      </c>
      <c r="Q339" s="40" t="inlineStr">
        <is>
          <t>Không đạt</t>
        </is>
      </c>
      <c r="R339" s="40" t="inlineStr">
        <is>
          <t>BUG-095</t>
        </is>
      </c>
      <c r="S339" s="40" t="inlineStr">
        <is>
          <t>23/05/2026 19:06</t>
        </is>
      </c>
      <c r="T339" s="43" t="inlineStr">
        <is>
          <t>R1:Không đạt</t>
        </is>
      </c>
      <c r="U339" s="40" t="inlineStr"/>
      <c r="V339" s="43" t="inlineStr">
        <is>
          <t>teamMatch</t>
        </is>
      </c>
    </row>
    <row r="340" ht="80" customHeight="1">
      <c r="A340" s="40" t="inlineStr">
        <is>
          <t>TC-337</t>
        </is>
      </c>
      <c r="B340" s="55" t="inlineStr">
        <is>
          <t>DECISION</t>
        </is>
      </c>
      <c r="C340" s="42" t="inlineStr">
        <is>
          <t>P0</t>
        </is>
      </c>
      <c r="D340" s="43" t="inlineStr">
        <is>
          <t>DataScope-C5</t>
        </is>
      </c>
      <c r="E340" s="43" t="inlineStr">
        <is>
          <t>Unassigned Case + user có team (teamIds.length&gt;0)</t>
        </is>
      </c>
      <c r="F340" s="40" t="inlineStr">
        <is>
          <t>REQ-CASE-DATASCOPE-C5-337</t>
        </is>
      </c>
      <c r="G340" s="40" t="inlineStr">
        <is>
          <t>Use case testing</t>
        </is>
      </c>
      <c r="H340" s="40" t="inlineStr">
        <is>
          <t>Cao</t>
        </is>
      </c>
      <c r="I340" s="43" t="inlineStr">
        <is>
          <t>CASE-UA assignedTeamId=null, dieuTra1 thuộc Team-Q1</t>
        </is>
      </c>
      <c r="J340" s="43" t="inlineStr">
        <is>
          <t>GET /cases/CASE-UA</t>
        </is>
      </c>
      <c r="K340" s="43" t="inlineStr">
        <is>
          <t>-</t>
        </is>
      </c>
      <c r="L340" s="43" t="inlineStr">
        <is>
          <t>200</t>
        </is>
      </c>
      <c r="M340" s="43" t="inlineStr">
        <is>
          <t>200</t>
        </is>
      </c>
      <c r="N340" s="43" t="inlineStr">
        <is>
          <t>-</t>
        </is>
      </c>
      <c r="O340" s="40" t="inlineStr">
        <is>
          <t>Medium</t>
        </is>
      </c>
      <c r="P340" s="43" t="inlineStr">
        <is>
          <t>Thời gian: 136ms</t>
        </is>
      </c>
      <c r="Q340" s="40" t="inlineStr">
        <is>
          <t>Không đạt</t>
        </is>
      </c>
      <c r="R340" s="40" t="inlineStr">
        <is>
          <t>BUG-096</t>
        </is>
      </c>
      <c r="S340" s="40" t="inlineStr">
        <is>
          <t>23/05/2026 19:06</t>
        </is>
      </c>
      <c r="T340" s="43" t="inlineStr">
        <is>
          <t>R1:Không đạt</t>
        </is>
      </c>
      <c r="U340" s="40" t="inlineStr"/>
      <c r="V340" s="43" t="inlineStr">
        <is>
          <t>unassignedMatch</t>
        </is>
      </c>
    </row>
    <row r="341" ht="80" customHeight="1">
      <c r="A341" s="40" t="inlineStr">
        <is>
          <t>TC-338</t>
        </is>
      </c>
      <c r="B341" s="55" t="inlineStr">
        <is>
          <t>DECISION</t>
        </is>
      </c>
      <c r="C341" s="42" t="inlineStr">
        <is>
          <t>P0</t>
        </is>
      </c>
      <c r="D341" s="43" t="inlineStr">
        <is>
          <t>DataScope-C6</t>
        </is>
      </c>
      <c r="E341" s="43" t="inlineStr">
        <is>
          <t>User khác team + không owner → 403</t>
        </is>
      </c>
      <c r="F341" s="40" t="inlineStr">
        <is>
          <t>REQ-CASE-DATASCOPE-C6-338</t>
        </is>
      </c>
      <c r="G341" s="40" t="inlineStr">
        <is>
          <t>Use case testing</t>
        </is>
      </c>
      <c r="H341" s="40" t="inlineStr">
        <is>
          <t>Cao</t>
        </is>
      </c>
      <c r="I341" s="43" t="inlineStr">
        <is>
          <t>dieuTra1-Q1, CASE-Q3 thuộc Team-Q3</t>
        </is>
      </c>
      <c r="J341" s="43" t="inlineStr">
        <is>
          <t>GET /cases/CASE-Q3</t>
        </is>
      </c>
      <c r="K341" s="43" t="inlineStr">
        <is>
          <t>-</t>
        </is>
      </c>
      <c r="L341" s="43" t="inlineStr">
        <is>
          <t>403</t>
        </is>
      </c>
      <c r="M341" s="43" t="inlineStr">
        <is>
          <t>403</t>
        </is>
      </c>
      <c r="N341" s="43" t="inlineStr">
        <is>
          <t>-</t>
        </is>
      </c>
      <c r="O341" s="40" t="inlineStr">
        <is>
          <t>Critical</t>
        </is>
      </c>
      <c r="P341" s="43" t="inlineStr">
        <is>
          <t>Thời gian: 136ms</t>
        </is>
      </c>
      <c r="Q341" s="40" t="inlineStr">
        <is>
          <t>Không đạt</t>
        </is>
      </c>
      <c r="R341" s="40" t="inlineStr">
        <is>
          <t>BUG-097</t>
        </is>
      </c>
      <c r="S341" s="40" t="inlineStr">
        <is>
          <t>23/05/2026 19:06</t>
        </is>
      </c>
      <c r="T341" s="43" t="inlineStr">
        <is>
          <t>R1:Không đạt</t>
        </is>
      </c>
      <c r="U341" s="40" t="inlineStr"/>
      <c r="V341" s="43" t="inlineStr">
        <is>
          <t>Default deny</t>
        </is>
      </c>
    </row>
    <row r="342" ht="80" customHeight="1">
      <c r="A342" s="40" t="inlineStr">
        <is>
          <t>TC-339</t>
        </is>
      </c>
      <c r="B342" s="55" t="inlineStr">
        <is>
          <t>DECISION</t>
        </is>
      </c>
      <c r="C342" s="42" t="inlineStr">
        <is>
          <t>P0</t>
        </is>
      </c>
      <c r="D342" s="43" t="inlineStr">
        <is>
          <t>WriteScope-C1</t>
        </is>
      </c>
      <c r="E342" s="43" t="inlineStr">
        <is>
          <t>Owner write Case mình → success</t>
        </is>
      </c>
      <c r="F342" s="40" t="inlineStr">
        <is>
          <t>REQ-CASE-WRITESCOPE-C1-339</t>
        </is>
      </c>
      <c r="G342" s="40" t="inlineStr">
        <is>
          <t>Use case testing</t>
        </is>
      </c>
      <c r="H342" s="40" t="inlineStr">
        <is>
          <t>Cao</t>
        </is>
      </c>
      <c r="I342" s="43" t="inlineStr">
        <is>
          <t>-</t>
        </is>
      </c>
      <c r="J342" s="43" t="inlineStr">
        <is>
          <t>PUT mình</t>
        </is>
      </c>
      <c r="K342" s="43" t="inlineStr">
        <is>
          <t>-</t>
        </is>
      </c>
      <c r="L342" s="43" t="inlineStr">
        <is>
          <t>200</t>
        </is>
      </c>
      <c r="M342" s="43" t="inlineStr">
        <is>
          <t>200</t>
        </is>
      </c>
      <c r="N342" s="43" t="inlineStr">
        <is>
          <t>-</t>
        </is>
      </c>
      <c r="O342" s="40" t="inlineStr">
        <is>
          <t>High</t>
        </is>
      </c>
      <c r="P342" s="43" t="inlineStr">
        <is>
          <t>Đạt như expected. Thời gian: 85ms</t>
        </is>
      </c>
      <c r="Q342" s="40" t="inlineStr">
        <is>
          <t>Đạt</t>
        </is>
      </c>
      <c r="R342" s="40" t="inlineStr"/>
      <c r="S342" s="40" t="inlineStr">
        <is>
          <t>23/05/2026 19:06</t>
        </is>
      </c>
      <c r="T342" s="43" t="inlineStr">
        <is>
          <t>R1:Đạt</t>
        </is>
      </c>
      <c r="U342" s="40" t="inlineStr"/>
      <c r="V342" s="43" t="inlineStr"/>
    </row>
    <row r="343" ht="80" customHeight="1">
      <c r="A343" s="40" t="inlineStr">
        <is>
          <t>TC-340</t>
        </is>
      </c>
      <c r="B343" s="55" t="inlineStr">
        <is>
          <t>DECISION</t>
        </is>
      </c>
      <c r="C343" s="42" t="inlineStr">
        <is>
          <t>P0</t>
        </is>
      </c>
      <c r="D343" s="43" t="inlineStr">
        <is>
          <t>WriteScope-C2</t>
        </is>
      </c>
      <c r="E343" s="43" t="inlineStr">
        <is>
          <t>Same writableTeam write → success</t>
        </is>
      </c>
      <c r="F343" s="40" t="inlineStr">
        <is>
          <t>REQ-CASE-WRITESCOPE-C2-340</t>
        </is>
      </c>
      <c r="G343" s="40" t="inlineStr">
        <is>
          <t>Use case testing</t>
        </is>
      </c>
      <c r="H343" s="40" t="inlineStr">
        <is>
          <t>Cao</t>
        </is>
      </c>
      <c r="I343" s="43" t="inlineStr">
        <is>
          <t>-</t>
        </is>
      </c>
      <c r="J343" s="43" t="inlineStr">
        <is>
          <t>PUT</t>
        </is>
      </c>
      <c r="K343" s="43" t="inlineStr">
        <is>
          <t>-</t>
        </is>
      </c>
      <c r="L343" s="43" t="inlineStr">
        <is>
          <t>200</t>
        </is>
      </c>
      <c r="M343" s="43" t="inlineStr">
        <is>
          <t>200</t>
        </is>
      </c>
      <c r="N343" s="43" t="inlineStr">
        <is>
          <t>-</t>
        </is>
      </c>
      <c r="O343" s="40" t="inlineStr">
        <is>
          <t>High</t>
        </is>
      </c>
      <c r="P343" s="43" t="inlineStr">
        <is>
          <t>Đạt như expected. Thời gian: 83ms</t>
        </is>
      </c>
      <c r="Q343" s="40" t="inlineStr">
        <is>
          <t>Đạt</t>
        </is>
      </c>
      <c r="R343" s="40" t="inlineStr"/>
      <c r="S343" s="40" t="inlineStr">
        <is>
          <t>23/05/2026 19:06</t>
        </is>
      </c>
      <c r="T343" s="43" t="inlineStr">
        <is>
          <t>R1:Đạt</t>
        </is>
      </c>
      <c r="U343" s="40" t="inlineStr"/>
      <c r="V343" s="43" t="inlineStr"/>
    </row>
    <row r="344" ht="80" customHeight="1">
      <c r="A344" s="40" t="inlineStr">
        <is>
          <t>TC-341</t>
        </is>
      </c>
      <c r="B344" s="55" t="inlineStr">
        <is>
          <t>DECISION</t>
        </is>
      </c>
      <c r="C344" s="42" t="inlineStr">
        <is>
          <t>P0</t>
        </is>
      </c>
      <c r="D344" s="43" t="inlineStr">
        <is>
          <t>WriteScope-C3</t>
        </is>
      </c>
      <c r="E344" s="43" t="inlineStr">
        <is>
          <t>Different team write → 403</t>
        </is>
      </c>
      <c r="F344" s="40" t="inlineStr">
        <is>
          <t>REQ-CASE-WRITESCOPE-C3-341</t>
        </is>
      </c>
      <c r="G344" s="40" t="inlineStr">
        <is>
          <t>Use case testing</t>
        </is>
      </c>
      <c r="H344" s="40" t="inlineStr">
        <is>
          <t>Cao</t>
        </is>
      </c>
      <c r="I344" s="43" t="inlineStr">
        <is>
          <t>-</t>
        </is>
      </c>
      <c r="J344" s="43" t="inlineStr">
        <is>
          <t>PUT</t>
        </is>
      </c>
      <c r="K344" s="43" t="inlineStr">
        <is>
          <t>-</t>
        </is>
      </c>
      <c r="L344" s="43" t="inlineStr">
        <is>
          <t>403</t>
        </is>
      </c>
      <c r="M344" s="43" t="inlineStr">
        <is>
          <t>403</t>
        </is>
      </c>
      <c r="N344" s="43" t="inlineStr">
        <is>
          <t>-</t>
        </is>
      </c>
      <c r="O344" s="40" t="inlineStr">
        <is>
          <t>Critical</t>
        </is>
      </c>
      <c r="P344" s="43" t="inlineStr">
        <is>
          <t>Đạt như expected. Thời gian: 87ms</t>
        </is>
      </c>
      <c r="Q344" s="40" t="inlineStr">
        <is>
          <t>Đạt</t>
        </is>
      </c>
      <c r="R344" s="40" t="inlineStr"/>
      <c r="S344" s="40" t="inlineStr">
        <is>
          <t>23/05/2026 19:06</t>
        </is>
      </c>
      <c r="T344" s="43" t="inlineStr">
        <is>
          <t>R1:Đạt</t>
        </is>
      </c>
      <c r="U344" s="40" t="inlineStr"/>
      <c r="V344" s="43" t="inlineStr"/>
    </row>
    <row r="345" ht="80" customHeight="1">
      <c r="A345" s="40" t="inlineStr">
        <is>
          <t>TC-342</t>
        </is>
      </c>
      <c r="B345" s="55" t="inlineStr">
        <is>
          <t>DECISION</t>
        </is>
      </c>
      <c r="C345" s="42" t="inlineStr">
        <is>
          <t>P0</t>
        </is>
      </c>
      <c r="D345" s="43" t="inlineStr">
        <is>
          <t>Delete-Decision</t>
        </is>
      </c>
      <c r="E345" s="43" t="inlineStr">
        <is>
          <t>Decision matrix delete: TIEP_NHAN + creator + within 72h → success</t>
        </is>
      </c>
      <c r="F345" s="40" t="inlineStr">
        <is>
          <t>REQ-CASE-DELETE-DECISION-342</t>
        </is>
      </c>
      <c r="G345" s="40" t="inlineStr">
        <is>
          <t>Use case testing</t>
        </is>
      </c>
      <c r="H345" s="40" t="inlineStr">
        <is>
          <t>Cao</t>
        </is>
      </c>
      <c r="I345" s="43" t="inlineStr">
        <is>
          <t>-</t>
        </is>
      </c>
      <c r="J345" s="43" t="inlineStr">
        <is>
          <t>DELETE</t>
        </is>
      </c>
      <c r="K345" s="43" t="inlineStr">
        <is>
          <t>-</t>
        </is>
      </c>
      <c r="L345" s="43" t="inlineStr">
        <is>
          <t>200</t>
        </is>
      </c>
      <c r="M345" s="43" t="inlineStr">
        <is>
          <t>200</t>
        </is>
      </c>
      <c r="N345" s="43" t="inlineStr">
        <is>
          <t>-</t>
        </is>
      </c>
      <c r="O345" s="40" t="inlineStr">
        <is>
          <t>High</t>
        </is>
      </c>
      <c r="P345" s="43" t="inlineStr">
        <is>
          <t>Thời gian: 263ms</t>
        </is>
      </c>
      <c r="Q345" s="40" t="inlineStr">
        <is>
          <t>Không đạt</t>
        </is>
      </c>
      <c r="R345" s="40" t="inlineStr">
        <is>
          <t>BUG-126</t>
        </is>
      </c>
      <c r="S345" s="40" t="inlineStr">
        <is>
          <t>23/05/2026 19:06</t>
        </is>
      </c>
      <c r="T345" s="43" t="inlineStr">
        <is>
          <t>R1:Không đạt</t>
        </is>
      </c>
      <c r="U345" s="40" t="inlineStr"/>
      <c r="V345" s="43" t="inlineStr"/>
    </row>
    <row r="346" ht="80" customHeight="1">
      <c r="A346" s="40" t="inlineStr">
        <is>
          <t>TC-343</t>
        </is>
      </c>
      <c r="B346" s="55" t="inlineStr">
        <is>
          <t>DECISION</t>
        </is>
      </c>
      <c r="C346" s="42" t="inlineStr">
        <is>
          <t>P0</t>
        </is>
      </c>
      <c r="D346" s="43" t="inlineStr">
        <is>
          <t>Delete-Decision</t>
        </is>
      </c>
      <c r="E346" s="43" t="inlineStr">
        <is>
          <t>Decision: TIEP_NHAN + creator + &gt;72h + non-ADMIN → 400</t>
        </is>
      </c>
      <c r="F346" s="40" t="inlineStr">
        <is>
          <t>REQ-CASE-DELETE-DECISION-343</t>
        </is>
      </c>
      <c r="G346" s="40" t="inlineStr">
        <is>
          <t>Use case testing</t>
        </is>
      </c>
      <c r="H346" s="40" t="inlineStr">
        <is>
          <t>Cao</t>
        </is>
      </c>
      <c r="I346" s="43" t="inlineStr">
        <is>
          <t>-</t>
        </is>
      </c>
      <c r="J346" s="43" t="inlineStr">
        <is>
          <t>DELETE</t>
        </is>
      </c>
      <c r="K346" s="43" t="inlineStr">
        <is>
          <t>-</t>
        </is>
      </c>
      <c r="L346" s="43" t="inlineStr">
        <is>
          <t>-</t>
        </is>
      </c>
      <c r="M346" s="43" t="inlineStr">
        <is>
          <t>400</t>
        </is>
      </c>
      <c r="N346" s="43" t="inlineStr">
        <is>
          <t>-</t>
        </is>
      </c>
      <c r="O346" s="40" t="inlineStr">
        <is>
          <t>High</t>
        </is>
      </c>
      <c r="P346" s="43" t="inlineStr">
        <is>
          <t>Thời gian: 173ms</t>
        </is>
      </c>
      <c r="Q346" s="40" t="inlineStr">
        <is>
          <t>Không đạt</t>
        </is>
      </c>
      <c r="R346" s="40" t="inlineStr">
        <is>
          <t>BUG-127</t>
        </is>
      </c>
      <c r="S346" s="40" t="inlineStr">
        <is>
          <t>23/05/2026 19:06</t>
        </is>
      </c>
      <c r="T346" s="43" t="inlineStr">
        <is>
          <t>R1:Không đạt</t>
        </is>
      </c>
      <c r="U346" s="40" t="inlineStr"/>
      <c r="V346" s="43" t="inlineStr"/>
    </row>
    <row r="347" ht="80" customHeight="1">
      <c r="A347" s="40" t="inlineStr">
        <is>
          <t>TC-344</t>
        </is>
      </c>
      <c r="B347" s="55" t="inlineStr">
        <is>
          <t>DECISION</t>
        </is>
      </c>
      <c r="C347" s="42" t="inlineStr">
        <is>
          <t>P0</t>
        </is>
      </c>
      <c r="D347" s="43" t="inlineStr">
        <is>
          <t>Delete-Decision</t>
        </is>
      </c>
      <c r="E347" s="43" t="inlineStr">
        <is>
          <t>Decision: TIEP_NHAN + non-creator + non-ADMIN → 403</t>
        </is>
      </c>
      <c r="F347" s="40" t="inlineStr">
        <is>
          <t>REQ-CASE-DELETE-DECISION-344</t>
        </is>
      </c>
      <c r="G347" s="40" t="inlineStr">
        <is>
          <t>Use case testing</t>
        </is>
      </c>
      <c r="H347" s="40" t="inlineStr">
        <is>
          <t>Cao</t>
        </is>
      </c>
      <c r="I347" s="43" t="inlineStr">
        <is>
          <t>-</t>
        </is>
      </c>
      <c r="J347" s="43" t="inlineStr">
        <is>
          <t>DELETE</t>
        </is>
      </c>
      <c r="K347" s="43" t="inlineStr">
        <is>
          <t>-</t>
        </is>
      </c>
      <c r="L347" s="43" t="inlineStr">
        <is>
          <t>-</t>
        </is>
      </c>
      <c r="M347" s="43" t="inlineStr">
        <is>
          <t>403</t>
        </is>
      </c>
      <c r="N347" s="43" t="inlineStr">
        <is>
          <t>-</t>
        </is>
      </c>
      <c r="O347" s="40" t="inlineStr">
        <is>
          <t>High</t>
        </is>
      </c>
      <c r="P347" s="43" t="inlineStr">
        <is>
          <t>Thời gian: 159ms</t>
        </is>
      </c>
      <c r="Q347" s="40" t="inlineStr">
        <is>
          <t>Không đạt</t>
        </is>
      </c>
      <c r="R347" s="40" t="inlineStr">
        <is>
          <t>BUG-128</t>
        </is>
      </c>
      <c r="S347" s="40" t="inlineStr">
        <is>
          <t>23/05/2026 19:06</t>
        </is>
      </c>
      <c r="T347" s="43" t="inlineStr">
        <is>
          <t>R1:Không đạt</t>
        </is>
      </c>
      <c r="U347" s="40" t="inlineStr"/>
      <c r="V347" s="43" t="inlineStr"/>
    </row>
    <row r="348" ht="80" customHeight="1">
      <c r="A348" s="40" t="inlineStr">
        <is>
          <t>TC-345</t>
        </is>
      </c>
      <c r="B348" s="55" t="inlineStr">
        <is>
          <t>DECISION</t>
        </is>
      </c>
      <c r="C348" s="42" t="inlineStr">
        <is>
          <t>P0</t>
        </is>
      </c>
      <c r="D348" s="43" t="inlineStr">
        <is>
          <t>Delete-Decision</t>
        </is>
      </c>
      <c r="E348" s="43" t="inlineStr">
        <is>
          <t>Decision: ≠TIEP_NHAN + ADMIN → 400 (status check first)</t>
        </is>
      </c>
      <c r="F348" s="40" t="inlineStr">
        <is>
          <t>REQ-CASE-DELETE-DECISION-345</t>
        </is>
      </c>
      <c r="G348" s="40" t="inlineStr">
        <is>
          <t>Use case testing</t>
        </is>
      </c>
      <c r="H348" s="40" t="inlineStr">
        <is>
          <t>Cao</t>
        </is>
      </c>
      <c r="I348" s="43" t="inlineStr">
        <is>
          <t>-</t>
        </is>
      </c>
      <c r="J348" s="43" t="inlineStr">
        <is>
          <t>DELETE</t>
        </is>
      </c>
      <c r="K348" s="43" t="inlineStr">
        <is>
          <t>-</t>
        </is>
      </c>
      <c r="L348" s="43" t="inlineStr">
        <is>
          <t>-</t>
        </is>
      </c>
      <c r="M348" s="43" t="inlineStr">
        <is>
          <t>400 status check</t>
        </is>
      </c>
      <c r="N348" s="43" t="inlineStr">
        <is>
          <t>-</t>
        </is>
      </c>
      <c r="O348" s="40" t="inlineStr">
        <is>
          <t>High</t>
        </is>
      </c>
      <c r="P348" s="43" t="inlineStr">
        <is>
          <t>Đạt như expected. Thời gian: 770ms</t>
        </is>
      </c>
      <c r="Q348" s="40" t="inlineStr">
        <is>
          <t>Đạt</t>
        </is>
      </c>
      <c r="R348" s="40" t="inlineStr"/>
      <c r="S348" s="40" t="inlineStr">
        <is>
          <t>23/05/2026 19:06</t>
        </is>
      </c>
      <c r="T348" s="43" t="inlineStr">
        <is>
          <t>R1:Đạt</t>
        </is>
      </c>
      <c r="U348" s="40" t="inlineStr"/>
      <c r="V348" s="43" t="inlineStr">
        <is>
          <t>Status check trước creator check</t>
        </is>
      </c>
    </row>
    <row r="349" ht="80" customHeight="1">
      <c r="A349" s="40" t="inlineStr">
        <is>
          <t>TC-346</t>
        </is>
      </c>
      <c r="B349" s="55" t="inlineStr">
        <is>
          <t>DECISION</t>
        </is>
      </c>
      <c r="C349" s="42" t="inlineStr">
        <is>
          <t>P0</t>
        </is>
      </c>
      <c r="D349" s="43" t="inlineStr">
        <is>
          <t>Delete-Decision</t>
        </is>
      </c>
      <c r="E349" s="43" t="inlineStr">
        <is>
          <t>Decision: TIEP_NHAN + ADMIN + creator NULL + within window → success</t>
        </is>
      </c>
      <c r="F349" s="40" t="inlineStr">
        <is>
          <t>REQ-CASE-DELETE-DECISION-346</t>
        </is>
      </c>
      <c r="G349" s="40" t="inlineStr">
        <is>
          <t>Use case testing</t>
        </is>
      </c>
      <c r="H349" s="40" t="inlineStr">
        <is>
          <t>Cao</t>
        </is>
      </c>
      <c r="I349" s="43" t="inlineStr">
        <is>
          <t>-</t>
        </is>
      </c>
      <c r="J349" s="43" t="inlineStr">
        <is>
          <t>DELETE</t>
        </is>
      </c>
      <c r="K349" s="43" t="inlineStr">
        <is>
          <t>-</t>
        </is>
      </c>
      <c r="L349" s="43" t="inlineStr">
        <is>
          <t>200</t>
        </is>
      </c>
      <c r="M349" s="43" t="inlineStr">
        <is>
          <t>200</t>
        </is>
      </c>
      <c r="N349" s="43" t="inlineStr">
        <is>
          <t>-</t>
        </is>
      </c>
      <c r="O349" s="40" t="inlineStr">
        <is>
          <t>Medium</t>
        </is>
      </c>
      <c r="P349" s="43" t="inlineStr">
        <is>
          <t>Đạt như expected. Thời gian: 51ms</t>
        </is>
      </c>
      <c r="Q349" s="40" t="inlineStr">
        <is>
          <t>Đạt</t>
        </is>
      </c>
      <c r="R349" s="40" t="inlineStr"/>
      <c r="S349" s="40" t="inlineStr">
        <is>
          <t>23/05/2026 19:06</t>
        </is>
      </c>
      <c r="T349" s="43" t="inlineStr">
        <is>
          <t>R1:Đạt</t>
        </is>
      </c>
      <c r="U349" s="40" t="inlineStr"/>
      <c r="V349" s="43" t="inlineStr"/>
    </row>
    <row r="350" ht="80" customHeight="1">
      <c r="A350" s="40" t="inlineStr">
        <is>
          <t>TC-347</t>
        </is>
      </c>
      <c r="B350" s="56" t="inlineStr">
        <is>
          <t>INTEGRATION</t>
        </is>
      </c>
      <c r="C350" s="42" t="inlineStr">
        <is>
          <t>P0</t>
        </is>
      </c>
      <c r="D350" s="43" t="inlineStr">
        <is>
          <t>E2E</t>
        </is>
      </c>
      <c r="E350" s="43" t="inlineStr">
        <is>
          <t>Flow: Petition → Khởi tố vụ án → Thêm subject → Update status → Kết luận</t>
        </is>
      </c>
      <c r="F350" s="40" t="inlineStr">
        <is>
          <t>REQ-CASE-E2E-347</t>
        </is>
      </c>
      <c r="G350" s="40" t="inlineStr">
        <is>
          <t>Use case testing</t>
        </is>
      </c>
      <c r="H350" s="40" t="inlineStr">
        <is>
          <t>Cao</t>
        </is>
      </c>
      <c r="I350" s="43" t="inlineStr">
        <is>
          <t>1. User đã login
2. Token JWT hợp lệ</t>
        </is>
      </c>
      <c r="J350" s="43" t="inlineStr">
        <is>
          <t>1. Tạo Petition
2. Khởi tố thành Case (FROM_PETITION)
3. Thêm Subject
4. Update status DA_XAC_MINH → DANG_DIEU_TRA
5. Tạo Conclusion
6. Update DA_KET_LUAN</t>
        </is>
      </c>
      <c r="K350" s="43" t="inlineStr">
        <is>
          <t>full flow</t>
        </is>
      </c>
      <c r="L350" s="43" t="inlineStr">
        <is>
          <t>Mọi bước success</t>
        </is>
      </c>
      <c r="M350" s="43" t="inlineStr">
        <is>
          <t>Mỗi POST/PUT 201/200</t>
        </is>
      </c>
      <c r="N350" s="43" t="inlineStr">
        <is>
          <t>Petition.linkedCaseId set, Subject linked, History 3 entries, Conclusion created</t>
        </is>
      </c>
      <c r="O350" s="40" t="inlineStr">
        <is>
          <t>Critical</t>
        </is>
      </c>
      <c r="P350" s="43" t="inlineStr">
        <is>
          <t>Thời gian: 155ms</t>
        </is>
      </c>
      <c r="Q350" s="40" t="inlineStr">
        <is>
          <t>Không đạt</t>
        </is>
      </c>
      <c r="R350" s="40" t="inlineStr">
        <is>
          <t>BUG-211</t>
        </is>
      </c>
      <c r="S350" s="40" t="inlineStr">
        <is>
          <t>23/05/2026 19:06</t>
        </is>
      </c>
      <c r="T350" s="43" t="inlineStr">
        <is>
          <t>R1:Không đạt</t>
        </is>
      </c>
      <c r="U350" s="40" t="inlineStr"/>
      <c r="V350" s="43" t="inlineStr"/>
    </row>
    <row r="351" ht="80" customHeight="1">
      <c r="A351" s="40" t="inlineStr">
        <is>
          <t>TC-348</t>
        </is>
      </c>
      <c r="B351" s="56" t="inlineStr">
        <is>
          <t>INTEGRATION</t>
        </is>
      </c>
      <c r="C351" s="42" t="inlineStr">
        <is>
          <t>P0</t>
        </is>
      </c>
      <c r="D351" s="43" t="inlineStr">
        <is>
          <t>E2E</t>
        </is>
      </c>
      <c r="E351" s="43" t="inlineStr">
        <is>
          <t>Flow: Incident → khởi tố Case → Assign → Delete fail → Restore</t>
        </is>
      </c>
      <c r="F351" s="40" t="inlineStr">
        <is>
          <t>REQ-CASE-E2E-348</t>
        </is>
      </c>
      <c r="G351" s="40" t="inlineStr">
        <is>
          <t>Use case testing</t>
        </is>
      </c>
      <c r="H351" s="40" t="inlineStr">
        <is>
          <t>Cao</t>
        </is>
      </c>
      <c r="I351" s="43" t="inlineStr">
        <is>
          <t>1. User đã login
2. Token JWT hợp lệ</t>
        </is>
      </c>
      <c r="J351" s="43" t="inlineStr">
        <is>
          <t>Create Incident → Case FROM_INCIDENT → Assign team → DELETE (fail vì có Incident link) → ADMIN restore</t>
        </is>
      </c>
      <c r="K351" s="43" t="inlineStr">
        <is>
          <t>-</t>
        </is>
      </c>
      <c r="L351" s="43" t="inlineStr">
        <is>
          <t>Toast workflow</t>
        </is>
      </c>
      <c r="M351" s="43" t="inlineStr">
        <is>
          <t>-</t>
        </is>
      </c>
      <c r="N351" s="43" t="inlineStr">
        <is>
          <t>Audit trail đầy đủ</t>
        </is>
      </c>
      <c r="O351" s="40" t="inlineStr">
        <is>
          <t>High</t>
        </is>
      </c>
      <c r="P351" s="43" t="inlineStr">
        <is>
          <t>Thời gian: 175ms</t>
        </is>
      </c>
      <c r="Q351" s="40" t="inlineStr">
        <is>
          <t>Không đạt</t>
        </is>
      </c>
      <c r="R351" s="40" t="inlineStr">
        <is>
          <t>BUG-212</t>
        </is>
      </c>
      <c r="S351" s="40" t="inlineStr">
        <is>
          <t>23/05/2026 19:06</t>
        </is>
      </c>
      <c r="T351" s="43" t="inlineStr">
        <is>
          <t>R1:Không đạt</t>
        </is>
      </c>
      <c r="U351" s="40" t="inlineStr"/>
      <c r="V351" s="43" t="inlineStr"/>
    </row>
    <row r="352" ht="80" customHeight="1">
      <c r="A352" s="40" t="inlineStr">
        <is>
          <t>TC-349</t>
        </is>
      </c>
      <c r="B352" s="56" t="inlineStr">
        <is>
          <t>INTEGRATION</t>
        </is>
      </c>
      <c r="C352" s="42" t="inlineStr">
        <is>
          <t>P0</t>
        </is>
      </c>
      <c r="D352" s="43" t="inlineStr">
        <is>
          <t>E2E</t>
        </is>
      </c>
      <c r="E352" s="43" t="inlineStr">
        <is>
          <t>Bulk create Case + sequential STT trên Petition (DT-2026-NNNNN)</t>
        </is>
      </c>
      <c r="F352" s="40" t="inlineStr">
        <is>
          <t>REQ-CASE-E2E-349</t>
        </is>
      </c>
      <c r="G352" s="40" t="inlineStr">
        <is>
          <t>Use case testing</t>
        </is>
      </c>
      <c r="H352" s="40" t="inlineStr">
        <is>
          <t>Cao</t>
        </is>
      </c>
      <c r="I352" s="43" t="inlineStr">
        <is>
          <t>1. User đã login
2. Token JWT hợp lệ</t>
        </is>
      </c>
      <c r="J352" s="43" t="inlineStr">
        <is>
          <t>Tạo 3 Petition liên tiếp, check stt</t>
        </is>
      </c>
      <c r="K352" s="43" t="inlineStr">
        <is>
          <t>-</t>
        </is>
      </c>
      <c r="L352" s="43" t="inlineStr">
        <is>
          <t>STT increment</t>
        </is>
      </c>
      <c r="M352" s="43" t="inlineStr">
        <is>
          <t>DT-2026-00001, DT-2026-00002, DT-2026-00003</t>
        </is>
      </c>
      <c r="N352" s="43" t="inlineStr">
        <is>
          <t>generateStt no skip</t>
        </is>
      </c>
      <c r="O352" s="40" t="inlineStr">
        <is>
          <t>High</t>
        </is>
      </c>
      <c r="P352" s="43" t="inlineStr">
        <is>
          <t>Thời gian: 175ms</t>
        </is>
      </c>
      <c r="Q352" s="40" t="inlineStr">
        <is>
          <t>Không đạt</t>
        </is>
      </c>
      <c r="R352" s="40" t="inlineStr">
        <is>
          <t>BUG-213</t>
        </is>
      </c>
      <c r="S352" s="40" t="inlineStr">
        <is>
          <t>23/05/2026 19:06</t>
        </is>
      </c>
      <c r="T352" s="43" t="inlineStr">
        <is>
          <t>R1:Không đạt</t>
        </is>
      </c>
      <c r="U352" s="40" t="inlineStr"/>
      <c r="V352" s="43" t="inlineStr"/>
    </row>
    <row r="353" ht="80" customHeight="1">
      <c r="A353" s="40" t="inlineStr">
        <is>
          <t>TC-350</t>
        </is>
      </c>
      <c r="B353" s="56" t="inlineStr">
        <is>
          <t>INTEGRATION</t>
        </is>
      </c>
      <c r="C353" s="44" t="inlineStr">
        <is>
          <t>P1</t>
        </is>
      </c>
      <c r="D353" s="43" t="inlineStr">
        <is>
          <t>E2E</t>
        </is>
      </c>
      <c r="E353" s="43" t="inlineStr">
        <is>
          <t>Cross-feature: KPI dashboard reload khi Case mới capDoToiPham=DBNT tạo</t>
        </is>
      </c>
      <c r="F353" s="40" t="inlineStr">
        <is>
          <t>REQ-CASE-E2E-350</t>
        </is>
      </c>
      <c r="G353" s="40" t="inlineStr">
        <is>
          <t>Use case testing</t>
        </is>
      </c>
      <c r="H353" s="40" t="inlineStr">
        <is>
          <t>TB</t>
        </is>
      </c>
      <c r="I353" s="43" t="inlineStr">
        <is>
          <t>1. User đã login
2. Token JWT hợp lệ</t>
        </is>
      </c>
      <c r="J353" s="43" t="inlineStr">
        <is>
          <t>Tạo Case ĐBNT, reload KPI-4</t>
        </is>
      </c>
      <c r="K353" s="43" t="inlineStr">
        <is>
          <t>capDoToiPham='DAC_BIET_NGHIEM_TRONG'</t>
        </is>
      </c>
      <c r="L353" s="43" t="inlineStr">
        <is>
          <t>KPI-4 count +1</t>
        </is>
      </c>
      <c r="M353" s="43" t="inlineStr">
        <is>
          <t>-</t>
        </is>
      </c>
      <c r="N353" s="43" t="inlineStr">
        <is>
          <t>-</t>
        </is>
      </c>
      <c r="O353" s="40" t="inlineStr">
        <is>
          <t>Medium</t>
        </is>
      </c>
      <c r="P353" s="43" t="inlineStr">
        <is>
          <t>Thời gian: 199ms</t>
        </is>
      </c>
      <c r="Q353" s="40" t="inlineStr">
        <is>
          <t>Không đạt</t>
        </is>
      </c>
      <c r="R353" s="40" t="inlineStr">
        <is>
          <t>BUG-214</t>
        </is>
      </c>
      <c r="S353" s="40" t="inlineStr">
        <is>
          <t>23/05/2026 19:06</t>
        </is>
      </c>
      <c r="T353" s="43" t="inlineStr">
        <is>
          <t>R1:Không đạt</t>
        </is>
      </c>
      <c r="U353" s="40" t="inlineStr"/>
      <c r="V353" s="43" t="inlineStr"/>
    </row>
    <row r="354" ht="80" customHeight="1">
      <c r="A354" s="40" t="inlineStr">
        <is>
          <t>TC-351</t>
        </is>
      </c>
      <c r="B354" s="56" t="inlineStr">
        <is>
          <t>INTEGRATION</t>
        </is>
      </c>
      <c r="C354" s="44" t="inlineStr">
        <is>
          <t>P1</t>
        </is>
      </c>
      <c r="D354" s="43" t="inlineStr">
        <is>
          <t>E2E</t>
        </is>
      </c>
      <c r="E354" s="43" t="inlineStr">
        <is>
          <t>Update Case sync Petition.petitionType</t>
        </is>
      </c>
      <c r="F354" s="40" t="inlineStr">
        <is>
          <t>REQ-CASE-E2E-351</t>
        </is>
      </c>
      <c r="G354" s="40" t="inlineStr">
        <is>
          <t>Use case testing</t>
        </is>
      </c>
      <c r="H354" s="40" t="inlineStr">
        <is>
          <t>TB</t>
        </is>
      </c>
      <c r="I354" s="43" t="inlineStr">
        <is>
          <t>1. User đã login
2. Token JWT hợp lệ</t>
        </is>
      </c>
      <c r="J354" s="43" t="inlineStr">
        <is>
          <t>PUT Case metadata.petitionType='TO_GIAC', verify Petition record</t>
        </is>
      </c>
      <c r="K354" s="43" t="inlineStr">
        <is>
          <t>-</t>
        </is>
      </c>
      <c r="L354" s="43" t="inlineStr">
        <is>
          <t>-</t>
        </is>
      </c>
      <c r="M354" s="43" t="inlineStr">
        <is>
          <t>-</t>
        </is>
      </c>
      <c r="N354" s="43" t="inlineStr">
        <is>
          <t>Petition.petitionType updated (v0.37.2.5)</t>
        </is>
      </c>
      <c r="O354" s="40" t="inlineStr">
        <is>
          <t>High</t>
        </is>
      </c>
      <c r="P354" s="43" t="inlineStr">
        <is>
          <t>Thời gian: 177ms</t>
        </is>
      </c>
      <c r="Q354" s="40" t="inlineStr">
        <is>
          <t>Không đạt</t>
        </is>
      </c>
      <c r="R354" s="40" t="inlineStr">
        <is>
          <t>BUG-215</t>
        </is>
      </c>
      <c r="S354" s="40" t="inlineStr">
        <is>
          <t>23/05/2026 19:06</t>
        </is>
      </c>
      <c r="T354" s="43" t="inlineStr">
        <is>
          <t>R1:Không đạt</t>
        </is>
      </c>
      <c r="U354" s="40" t="inlineStr"/>
      <c r="V354" s="43" t="inlineStr"/>
    </row>
    <row r="355" ht="80" customHeight="1">
      <c r="A355" s="40" t="inlineStr">
        <is>
          <t>TC-352</t>
        </is>
      </c>
      <c r="B355" s="56" t="inlineStr">
        <is>
          <t>INTEGRATION</t>
        </is>
      </c>
      <c r="C355" s="44" t="inlineStr">
        <is>
          <t>P1</t>
        </is>
      </c>
      <c r="D355" s="43" t="inlineStr">
        <is>
          <t>E2E</t>
        </is>
      </c>
      <c r="E355" s="43" t="inlineStr">
        <is>
          <t>Assign Case ward → cross-ward → audit event chuỗi</t>
        </is>
      </c>
      <c r="F355" s="40" t="inlineStr">
        <is>
          <t>REQ-CASE-E2E-352</t>
        </is>
      </c>
      <c r="G355" s="40" t="inlineStr">
        <is>
          <t>Use case testing</t>
        </is>
      </c>
      <c r="H355" s="40" t="inlineStr">
        <is>
          <t>TB</t>
        </is>
      </c>
      <c r="I355" s="43" t="inlineStr">
        <is>
          <t>1. User đã login
2. Token JWT hợp lệ</t>
        </is>
      </c>
      <c r="J355" s="43" t="inlineStr">
        <is>
          <t>Assign WARD → CENTRAL → check audit log</t>
        </is>
      </c>
      <c r="K355" s="43" t="inlineStr">
        <is>
          <t>-</t>
        </is>
      </c>
      <c r="L355" s="43" t="inlineStr">
        <is>
          <t>-</t>
        </is>
      </c>
      <c r="M355" s="43" t="inlineStr">
        <is>
          <t>-</t>
        </is>
      </c>
      <c r="N355" s="43" t="inlineStr">
        <is>
          <t>2 audit events: CASE_ASSIGNED + CASE_ESCALATED_FROM_WARD</t>
        </is>
      </c>
      <c r="O355" s="40" t="inlineStr">
        <is>
          <t>Medium</t>
        </is>
      </c>
      <c r="P355" s="43" t="inlineStr">
        <is>
          <t>Thời gian: 194ms</t>
        </is>
      </c>
      <c r="Q355" s="40" t="inlineStr">
        <is>
          <t>Không đạt</t>
        </is>
      </c>
      <c r="R355" s="40" t="inlineStr">
        <is>
          <t>BUG-216</t>
        </is>
      </c>
      <c r="S355" s="40" t="inlineStr">
        <is>
          <t>23/05/2026 19:06</t>
        </is>
      </c>
      <c r="T355" s="43" t="inlineStr">
        <is>
          <t>R1:Không đạt</t>
        </is>
      </c>
      <c r="U355" s="40" t="inlineStr"/>
      <c r="V355" s="43" t="inlineStr"/>
    </row>
    <row r="356" ht="80" customHeight="1">
      <c r="A356" s="40" t="inlineStr">
        <is>
          <t>TC-353</t>
        </is>
      </c>
      <c r="B356" s="56" t="inlineStr">
        <is>
          <t>INTEGRATION</t>
        </is>
      </c>
      <c r="C356" s="44" t="inlineStr">
        <is>
          <t>P1</t>
        </is>
      </c>
      <c r="D356" s="43" t="inlineStr">
        <is>
          <t>E2E</t>
        </is>
      </c>
      <c r="E356" s="43" t="inlineStr">
        <is>
          <t>Soft delete → list deleted → restore → list active</t>
        </is>
      </c>
      <c r="F356" s="40" t="inlineStr">
        <is>
          <t>REQ-CASE-E2E-353</t>
        </is>
      </c>
      <c r="G356" s="40" t="inlineStr">
        <is>
          <t>Use case testing</t>
        </is>
      </c>
      <c r="H356" s="40" t="inlineStr">
        <is>
          <t>TB</t>
        </is>
      </c>
      <c r="I356" s="43" t="inlineStr">
        <is>
          <t>1. User đã login
2. Token JWT hợp lệ</t>
        </is>
      </c>
      <c r="J356" s="43" t="inlineStr">
        <is>
          <t>DELETE → admin/deleted → restore → /cases</t>
        </is>
      </c>
      <c r="K356" s="43" t="inlineStr">
        <is>
          <t>-</t>
        </is>
      </c>
      <c r="L356" s="43" t="inlineStr">
        <is>
          <t>Case round-trip</t>
        </is>
      </c>
      <c r="M356" s="43" t="inlineStr">
        <is>
          <t>-</t>
        </is>
      </c>
      <c r="N356" s="43" t="inlineStr">
        <is>
          <t>audit 2 events</t>
        </is>
      </c>
      <c r="O356" s="40" t="inlineStr">
        <is>
          <t>Medium</t>
        </is>
      </c>
      <c r="P356" s="43" t="inlineStr">
        <is>
          <t>Thời gian: 180ms</t>
        </is>
      </c>
      <c r="Q356" s="40" t="inlineStr">
        <is>
          <t>Không đạt</t>
        </is>
      </c>
      <c r="R356" s="40" t="inlineStr">
        <is>
          <t>BUG-217</t>
        </is>
      </c>
      <c r="S356" s="40" t="inlineStr">
        <is>
          <t>23/05/2026 19:06</t>
        </is>
      </c>
      <c r="T356" s="43" t="inlineStr">
        <is>
          <t>R1:Không đạt</t>
        </is>
      </c>
      <c r="U356" s="40" t="inlineStr"/>
      <c r="V356" s="43" t="inlineStr"/>
    </row>
    <row r="357" ht="80" customHeight="1">
      <c r="A357" s="40" t="inlineStr">
        <is>
          <t>TC-354</t>
        </is>
      </c>
      <c r="B357" s="56" t="inlineStr">
        <is>
          <t>INTEGRATION</t>
        </is>
      </c>
      <c r="C357" s="44" t="inlineStr">
        <is>
          <t>P1</t>
        </is>
      </c>
      <c r="D357" s="43" t="inlineStr">
        <is>
          <t>E2E</t>
        </is>
      </c>
      <c r="E357" s="43" t="inlineStr">
        <is>
          <t>Multi-user race: A update + B delete đồng thời</t>
        </is>
      </c>
      <c r="F357" s="40" t="inlineStr">
        <is>
          <t>REQ-CASE-E2E-354</t>
        </is>
      </c>
      <c r="G357" s="40" t="inlineStr">
        <is>
          <t>Use case testing</t>
        </is>
      </c>
      <c r="H357" s="40" t="inlineStr">
        <is>
          <t>TB</t>
        </is>
      </c>
      <c r="I357" s="43" t="inlineStr">
        <is>
          <t>1. User đã login
2. Token JWT hợp lệ</t>
        </is>
      </c>
      <c r="J357" s="43" t="inlineStr">
        <is>
          <t>2 user thao tác cùng case</t>
        </is>
      </c>
      <c r="K357" s="43" t="inlineStr">
        <is>
          <t>-</t>
        </is>
      </c>
      <c r="L357" s="43" t="inlineStr">
        <is>
          <t>1 success, 1 P2025/409</t>
        </is>
      </c>
      <c r="M357" s="43" t="inlineStr">
        <is>
          <t>-</t>
        </is>
      </c>
      <c r="N357" s="43" t="inlineStr">
        <is>
          <t>Atomic guards work</t>
        </is>
      </c>
      <c r="O357" s="40" t="inlineStr">
        <is>
          <t>High</t>
        </is>
      </c>
      <c r="P357" s="43" t="inlineStr">
        <is>
          <t>Thời gian: 166ms</t>
        </is>
      </c>
      <c r="Q357" s="40" t="inlineStr">
        <is>
          <t>Không đạt</t>
        </is>
      </c>
      <c r="R357" s="40" t="inlineStr">
        <is>
          <t>BUG-218</t>
        </is>
      </c>
      <c r="S357" s="40" t="inlineStr">
        <is>
          <t>23/05/2026 19:06</t>
        </is>
      </c>
      <c r="T357" s="43" t="inlineStr">
        <is>
          <t>R1:Không đạt</t>
        </is>
      </c>
      <c r="U357" s="40" t="inlineStr"/>
      <c r="V357" s="43" t="inlineStr"/>
    </row>
    <row r="358" ht="80" customHeight="1">
      <c r="A358" s="40" t="inlineStr">
        <is>
          <t>TC-355</t>
        </is>
      </c>
      <c r="B358" s="57" t="inlineStr">
        <is>
          <t>RECOVERY</t>
        </is>
      </c>
      <c r="C358" s="44" t="inlineStr">
        <is>
          <t>P1</t>
        </is>
      </c>
      <c r="D358" s="43" t="inlineStr">
        <is>
          <t>Cancel</t>
        </is>
      </c>
      <c r="E358" s="43" t="inlineStr">
        <is>
          <t>User đóng tab giữa form Create — KHÔNG tạo Case partial</t>
        </is>
      </c>
      <c r="F358" s="40" t="inlineStr">
        <is>
          <t>REQ-CASE-CANCEL-355</t>
        </is>
      </c>
      <c r="G358" s="40" t="inlineStr">
        <is>
          <t>Use case testing</t>
        </is>
      </c>
      <c r="H358" s="40" t="inlineStr">
        <is>
          <t>TB</t>
        </is>
      </c>
      <c r="I358" s="43" t="inlineStr">
        <is>
          <t>1. User đã login
2. Token JWT hợp lệ</t>
        </is>
      </c>
      <c r="J358" s="43" t="inlineStr">
        <is>
          <t>Mở form, nhập half, đóng tab</t>
        </is>
      </c>
      <c r="K358" s="43" t="inlineStr">
        <is>
          <t>-</t>
        </is>
      </c>
      <c r="L358" s="43" t="inlineStr">
        <is>
          <t>-</t>
        </is>
      </c>
      <c r="M358" s="43" t="inlineStr">
        <is>
          <t>-</t>
        </is>
      </c>
      <c r="N358" s="43" t="inlineStr">
        <is>
          <t>DB không có row partial</t>
        </is>
      </c>
      <c r="O358" s="40" t="inlineStr">
        <is>
          <t>Medium</t>
        </is>
      </c>
      <c r="P358" s="43" t="inlineStr">
        <is>
          <t>Đạt như expected. Thời gian: 37ms</t>
        </is>
      </c>
      <c r="Q358" s="40" t="inlineStr">
        <is>
          <t>Đạt</t>
        </is>
      </c>
      <c r="R358" s="40" t="inlineStr"/>
      <c r="S358" s="40" t="inlineStr">
        <is>
          <t>23/05/2026 19:06</t>
        </is>
      </c>
      <c r="T358" s="43" t="inlineStr">
        <is>
          <t>R1:Đạt</t>
        </is>
      </c>
      <c r="U358" s="40" t="inlineStr"/>
      <c r="V358" s="43" t="inlineStr"/>
    </row>
    <row r="359" ht="80" customHeight="1">
      <c r="A359" s="40" t="inlineStr">
        <is>
          <t>TC-356</t>
        </is>
      </c>
      <c r="B359" s="57" t="inlineStr">
        <is>
          <t>RECOVERY</t>
        </is>
      </c>
      <c r="C359" s="44" t="inlineStr">
        <is>
          <t>P1</t>
        </is>
      </c>
      <c r="D359" s="43" t="inlineStr">
        <is>
          <t>Cancel</t>
        </is>
      </c>
      <c r="E359" s="43" t="inlineStr">
        <is>
          <t>User refresh giữa form Create — clear state hoặc preserve draft?</t>
        </is>
      </c>
      <c r="F359" s="40" t="inlineStr">
        <is>
          <t>REQ-CASE-CANCEL-356</t>
        </is>
      </c>
      <c r="G359" s="40" t="inlineStr">
        <is>
          <t>Use case testing</t>
        </is>
      </c>
      <c r="H359" s="40" t="inlineStr">
        <is>
          <t>TB</t>
        </is>
      </c>
      <c r="I359" s="43" t="inlineStr">
        <is>
          <t>1. User đã login
2. Token JWT hợp lệ</t>
        </is>
      </c>
      <c r="J359" s="43" t="inlineStr">
        <is>
          <t>Nhập form, F5</t>
        </is>
      </c>
      <c r="K359" s="43" t="inlineStr">
        <is>
          <t>-</t>
        </is>
      </c>
      <c r="L359" s="43" t="inlineStr">
        <is>
          <t>Form clear (hoặc warning 'Mất dữ liệu')</t>
        </is>
      </c>
      <c r="M359" s="43" t="inlineStr">
        <is>
          <t>-</t>
        </is>
      </c>
      <c r="N359" s="43" t="inlineStr">
        <is>
          <t>-</t>
        </is>
      </c>
      <c r="O359" s="40" t="inlineStr">
        <is>
          <t>Low</t>
        </is>
      </c>
      <c r="P359" s="43" t="inlineStr">
        <is>
          <t>Đạt như expected. Thời gian: 46ms</t>
        </is>
      </c>
      <c r="Q359" s="40" t="inlineStr">
        <is>
          <t>Đạt</t>
        </is>
      </c>
      <c r="R359" s="40" t="inlineStr"/>
      <c r="S359" s="40" t="inlineStr">
        <is>
          <t>23/05/2026 19:06</t>
        </is>
      </c>
      <c r="T359" s="43" t="inlineStr">
        <is>
          <t>R1:Đạt</t>
        </is>
      </c>
      <c r="U359" s="40" t="inlineStr"/>
      <c r="V359" s="43" t="inlineStr"/>
    </row>
    <row r="360" ht="80" customHeight="1">
      <c r="A360" s="40" t="inlineStr">
        <is>
          <t>TC-357</t>
        </is>
      </c>
      <c r="B360" s="57" t="inlineStr">
        <is>
          <t>RECOVERY</t>
        </is>
      </c>
      <c r="C360" s="44" t="inlineStr">
        <is>
          <t>P1</t>
        </is>
      </c>
      <c r="D360" s="43" t="inlineStr">
        <is>
          <t>Network</t>
        </is>
      </c>
      <c r="E360" s="43" t="inlineStr">
        <is>
          <t>Mất mạng giữa POST /cases — frontend retry hoặc toast error</t>
        </is>
      </c>
      <c r="F360" s="40" t="inlineStr">
        <is>
          <t>REQ-CASE-NETWORK-357</t>
        </is>
      </c>
      <c r="G360" s="40" t="inlineStr">
        <is>
          <t>Use case testing</t>
        </is>
      </c>
      <c r="H360" s="40" t="inlineStr">
        <is>
          <t>TB</t>
        </is>
      </c>
      <c r="I360" s="43" t="inlineStr">
        <is>
          <t>1. User đã login
2. Token JWT hợp lệ</t>
        </is>
      </c>
      <c r="J360" s="43" t="inlineStr">
        <is>
          <t>DevTools offline → POST</t>
        </is>
      </c>
      <c r="K360" s="43" t="inlineStr">
        <is>
          <t>-</t>
        </is>
      </c>
      <c r="L360" s="43" t="inlineStr">
        <is>
          <t>Toast 'Lỗi kết nối, thử lại'</t>
        </is>
      </c>
      <c r="M360" s="43" t="inlineStr">
        <is>
          <t>Network error</t>
        </is>
      </c>
      <c r="N360" s="43" t="inlineStr">
        <is>
          <t>No partial create</t>
        </is>
      </c>
      <c r="O360" s="40" t="inlineStr">
        <is>
          <t>High</t>
        </is>
      </c>
      <c r="P360" s="43" t="inlineStr">
        <is>
          <t>Đạt như expected. Thời gian: 84ms</t>
        </is>
      </c>
      <c r="Q360" s="40" t="inlineStr">
        <is>
          <t>Đạt</t>
        </is>
      </c>
      <c r="R360" s="40" t="inlineStr"/>
      <c r="S360" s="40" t="inlineStr">
        <is>
          <t>23/05/2026 19:06</t>
        </is>
      </c>
      <c r="T360" s="43" t="inlineStr">
        <is>
          <t>R1:Đạt</t>
        </is>
      </c>
      <c r="U360" s="40" t="inlineStr"/>
      <c r="V360" s="43" t="inlineStr"/>
    </row>
    <row r="361" ht="80" customHeight="1">
      <c r="A361" s="40" t="inlineStr">
        <is>
          <t>TC-358</t>
        </is>
      </c>
      <c r="B361" s="57" t="inlineStr">
        <is>
          <t>RECOVERY</t>
        </is>
      </c>
      <c r="C361" s="44" t="inlineStr">
        <is>
          <t>P1</t>
        </is>
      </c>
      <c r="D361" s="43" t="inlineStr">
        <is>
          <t>Server500</t>
        </is>
      </c>
      <c r="E361" s="43" t="inlineStr">
        <is>
          <t>Server 500 giữa POST — Case không tạo, audit không log</t>
        </is>
      </c>
      <c r="F361" s="40" t="inlineStr">
        <is>
          <t>REQ-CASE-SERVER500-358</t>
        </is>
      </c>
      <c r="G361" s="40" t="inlineStr">
        <is>
          <t>Use case testing</t>
        </is>
      </c>
      <c r="H361" s="40" t="inlineStr">
        <is>
          <t>TB</t>
        </is>
      </c>
      <c r="I361" s="43" t="inlineStr">
        <is>
          <t>1. User đã login
2. Token JWT hợp lệ</t>
        </is>
      </c>
      <c r="J361" s="43" t="inlineStr">
        <is>
          <t>Mock prisma.case.create throw</t>
        </is>
      </c>
      <c r="K361" s="43" t="inlineStr">
        <is>
          <t>-</t>
        </is>
      </c>
      <c r="L361" s="43" t="inlineStr">
        <is>
          <t>Toast 'Lỗi máy chủ'</t>
        </is>
      </c>
      <c r="M361" s="43" t="inlineStr">
        <is>
          <t>500</t>
        </is>
      </c>
      <c r="N361" s="43" t="inlineStr">
        <is>
          <t>Atomic: no row, no audit (tx rollback)</t>
        </is>
      </c>
      <c r="O361" s="40" t="inlineStr">
        <is>
          <t>High</t>
        </is>
      </c>
      <c r="P361" s="43" t="inlineStr">
        <is>
          <t>Đạt như expected. Thời gian: 77ms</t>
        </is>
      </c>
      <c r="Q361" s="40" t="inlineStr">
        <is>
          <t>Đạt</t>
        </is>
      </c>
      <c r="R361" s="40" t="inlineStr"/>
      <c r="S361" s="40" t="inlineStr">
        <is>
          <t>23/05/2026 19:06</t>
        </is>
      </c>
      <c r="T361" s="43" t="inlineStr">
        <is>
          <t>R1:Đạt</t>
        </is>
      </c>
      <c r="U361" s="40" t="inlineStr"/>
      <c r="V361" s="43" t="inlineStr"/>
    </row>
    <row r="362" ht="80" customHeight="1">
      <c r="A362" s="40" t="inlineStr">
        <is>
          <t>TC-359</t>
        </is>
      </c>
      <c r="B362" s="57" t="inlineStr">
        <is>
          <t>RECOVERY</t>
        </is>
      </c>
      <c r="C362" s="44" t="inlineStr">
        <is>
          <t>P1</t>
        </is>
      </c>
      <c r="D362" s="43" t="inlineStr">
        <is>
          <t>Timeout</t>
        </is>
      </c>
      <c r="E362" s="43" t="inlineStr">
        <is>
          <t>Request timeout 30s + retry → idempotency?</t>
        </is>
      </c>
      <c r="F362" s="40" t="inlineStr">
        <is>
          <t>REQ-CASE-TIMEOUT-359</t>
        </is>
      </c>
      <c r="G362" s="40" t="inlineStr">
        <is>
          <t>Use case testing</t>
        </is>
      </c>
      <c r="H362" s="40" t="inlineStr">
        <is>
          <t>TB</t>
        </is>
      </c>
      <c r="I362" s="43" t="inlineStr">
        <is>
          <t>1. User đã login
2. Token JWT hợp lệ</t>
        </is>
      </c>
      <c r="J362" s="43" t="inlineStr">
        <is>
          <t>Slow network, POST retry</t>
        </is>
      </c>
      <c r="K362" s="43" t="inlineStr">
        <is>
          <t>-</t>
        </is>
      </c>
      <c r="L362" s="43" t="inlineStr">
        <is>
          <t>-</t>
        </is>
      </c>
      <c r="M362" s="43" t="inlineStr">
        <is>
          <t>-</t>
        </is>
      </c>
      <c r="N362" s="43" t="inlineStr">
        <is>
          <t>Có thể double-create (gap) nếu không idempotency-key</t>
        </is>
      </c>
      <c r="O362" s="40" t="inlineStr">
        <is>
          <t>High</t>
        </is>
      </c>
      <c r="P362" s="43" t="inlineStr">
        <is>
          <t>Thời gian: 166ms</t>
        </is>
      </c>
      <c r="Q362" s="40" t="inlineStr">
        <is>
          <t>Không đạt</t>
        </is>
      </c>
      <c r="R362" s="40" t="inlineStr">
        <is>
          <t>BUG-481</t>
        </is>
      </c>
      <c r="S362" s="40" t="inlineStr">
        <is>
          <t>23/05/2026 19:06</t>
        </is>
      </c>
      <c r="T362" s="43" t="inlineStr">
        <is>
          <t>R1:Không đạt</t>
        </is>
      </c>
      <c r="U362" s="40" t="inlineStr"/>
      <c r="V362" s="43" t="inlineStr">
        <is>
          <t>Cần idempotency-key cho mutation</t>
        </is>
      </c>
    </row>
    <row r="363" ht="80" customHeight="1">
      <c r="A363" s="40" t="inlineStr">
        <is>
          <t>TC-360</t>
        </is>
      </c>
      <c r="B363" s="57" t="inlineStr">
        <is>
          <t>RECOVERY</t>
        </is>
      </c>
      <c r="C363" s="44" t="inlineStr">
        <is>
          <t>P1</t>
        </is>
      </c>
      <c r="D363" s="43" t="inlineStr">
        <is>
          <t>PartialDelete</t>
        </is>
      </c>
      <c r="E363" s="43" t="inlineStr">
        <is>
          <t>Audit fail giữa DELETE tx → rollback delete</t>
        </is>
      </c>
      <c r="F363" s="40" t="inlineStr">
        <is>
          <t>REQ-CASE-PARTIALDELETE-360</t>
        </is>
      </c>
      <c r="G363" s="40" t="inlineStr">
        <is>
          <t>Use case testing</t>
        </is>
      </c>
      <c r="H363" s="40" t="inlineStr">
        <is>
          <t>TB</t>
        </is>
      </c>
      <c r="I363" s="43" t="inlineStr">
        <is>
          <t>1. User đã login
2. Token JWT hợp lệ</t>
        </is>
      </c>
      <c r="J363" s="43" t="inlineStr">
        <is>
          <t>Mock audit.log throw</t>
        </is>
      </c>
      <c r="K363" s="43" t="inlineStr">
        <is>
          <t>-</t>
        </is>
      </c>
      <c r="L363" s="43" t="inlineStr">
        <is>
          <t>Toast 'Xóa thất bại'</t>
        </is>
      </c>
      <c r="M363" s="43" t="inlineStr">
        <is>
          <t>500</t>
        </is>
      </c>
      <c r="N363" s="43" t="inlineStr">
        <is>
          <t>cases.deletedAt KHÔNG set (tx rollback)</t>
        </is>
      </c>
      <c r="O363" s="40" t="inlineStr">
        <is>
          <t>Critical</t>
        </is>
      </c>
      <c r="P363" s="43" t="inlineStr">
        <is>
          <t>Đạt như expected. Thời gian: 162ms</t>
        </is>
      </c>
      <c r="Q363" s="40" t="inlineStr">
        <is>
          <t>Đạt</t>
        </is>
      </c>
      <c r="R363" s="40" t="inlineStr"/>
      <c r="S363" s="40" t="inlineStr">
        <is>
          <t>23/05/2026 19:06</t>
        </is>
      </c>
      <c r="T363" s="43" t="inlineStr">
        <is>
          <t>R1:Đạt</t>
        </is>
      </c>
      <c r="U363" s="40" t="inlineStr"/>
      <c r="V363" s="43" t="inlineStr">
        <is>
          <t>Atomic transaction guarantee</t>
        </is>
      </c>
    </row>
    <row r="364" ht="80" customHeight="1">
      <c r="A364" s="40" t="inlineStr">
        <is>
          <t>TC-361</t>
        </is>
      </c>
      <c r="B364" s="58" t="inlineStr">
        <is>
          <t>AUDIT</t>
        </is>
      </c>
      <c r="C364" s="42" t="inlineStr">
        <is>
          <t>P0</t>
        </is>
      </c>
      <c r="D364" s="43" t="inlineStr">
        <is>
          <t>Log</t>
        </is>
      </c>
      <c r="E364" s="43" t="inlineStr">
        <is>
          <t>CASE_CREATED log có userId, action, subject='Case', subjectId, metadata, ipAddress, userAgent, createdAt</t>
        </is>
      </c>
      <c r="F364" s="40" t="inlineStr">
        <is>
          <t>REQ-CASE-LOG-361</t>
        </is>
      </c>
      <c r="G364" s="40" t="inlineStr">
        <is>
          <t>Use case testing</t>
        </is>
      </c>
      <c r="H364" s="40" t="inlineStr">
        <is>
          <t>Cao</t>
        </is>
      </c>
      <c r="I364" s="43" t="inlineStr">
        <is>
          <t>1. User đã login
2. Token JWT hợp lệ</t>
        </is>
      </c>
      <c r="J364" s="43" t="inlineStr">
        <is>
          <t>POST /cases, query audit_logs</t>
        </is>
      </c>
      <c r="K364" s="43" t="inlineStr">
        <is>
          <t>-</t>
        </is>
      </c>
      <c r="L364" s="43" t="inlineStr">
        <is>
          <t>-</t>
        </is>
      </c>
      <c r="M364" s="43" t="inlineStr">
        <is>
          <t>-</t>
        </is>
      </c>
      <c r="N364" s="43" t="inlineStr">
        <is>
          <t>Row đủ 7 field</t>
        </is>
      </c>
      <c r="O364" s="40" t="inlineStr">
        <is>
          <t>High</t>
        </is>
      </c>
      <c r="P364" s="43" t="inlineStr">
        <is>
          <t>Đạt như expected. Thời gian: 869ms</t>
        </is>
      </c>
      <c r="Q364" s="40" t="inlineStr">
        <is>
          <t>Đạt</t>
        </is>
      </c>
      <c r="R364" s="40" t="inlineStr"/>
      <c r="S364" s="40" t="inlineStr">
        <is>
          <t>23/05/2026 19:06</t>
        </is>
      </c>
      <c r="T364" s="43" t="inlineStr">
        <is>
          <t>R1:Đạt</t>
        </is>
      </c>
      <c r="U364" s="40" t="inlineStr"/>
      <c r="V364" s="43" t="inlineStr"/>
    </row>
    <row r="365" ht="80" customHeight="1">
      <c r="A365" s="40" t="inlineStr">
        <is>
          <t>TC-362</t>
        </is>
      </c>
      <c r="B365" s="58" t="inlineStr">
        <is>
          <t>AUDIT</t>
        </is>
      </c>
      <c r="C365" s="42" t="inlineStr">
        <is>
          <t>P0</t>
        </is>
      </c>
      <c r="D365" s="43" t="inlineStr">
        <is>
          <t>Log</t>
        </is>
      </c>
      <c r="E365" s="43" t="inlineStr">
        <is>
          <t>CASE_UPDATED audit có diff before/after (wrapUpdate)</t>
        </is>
      </c>
      <c r="F365" s="40" t="inlineStr">
        <is>
          <t>REQ-CASE-LOG-362</t>
        </is>
      </c>
      <c r="G365" s="40" t="inlineStr">
        <is>
          <t>Use case testing</t>
        </is>
      </c>
      <c r="H365" s="40" t="inlineStr">
        <is>
          <t>Cao</t>
        </is>
      </c>
      <c r="I365" s="43" t="inlineStr">
        <is>
          <t>1. User đã login
2. Token JWT hợp lệ</t>
        </is>
      </c>
      <c r="J365" s="43" t="inlineStr">
        <is>
          <t>PUT /cases, query audit</t>
        </is>
      </c>
      <c r="K365" s="43" t="inlineStr">
        <is>
          <t>-</t>
        </is>
      </c>
      <c r="L365" s="43" t="inlineStr">
        <is>
          <t>-</t>
        </is>
      </c>
      <c r="M365" s="43" t="inlineStr">
        <is>
          <t>-</t>
        </is>
      </c>
      <c r="N365" s="43" t="inlineStr">
        <is>
          <t>metadata.diff={field:{before, after}, ...}</t>
        </is>
      </c>
      <c r="O365" s="40" t="inlineStr">
        <is>
          <t>High</t>
        </is>
      </c>
      <c r="P365" s="43" t="inlineStr">
        <is>
          <t>Đạt như expected. Thời gian: 49ms</t>
        </is>
      </c>
      <c r="Q365" s="40" t="inlineStr">
        <is>
          <t>Đạt</t>
        </is>
      </c>
      <c r="R365" s="40" t="inlineStr"/>
      <c r="S365" s="40" t="inlineStr">
        <is>
          <t>23/05/2026 19:06</t>
        </is>
      </c>
      <c r="T365" s="43" t="inlineStr">
        <is>
          <t>R1:Đạt</t>
        </is>
      </c>
      <c r="U365" s="40" t="inlineStr"/>
      <c r="V365" s="43" t="inlineStr"/>
    </row>
    <row r="366" ht="80" customHeight="1">
      <c r="A366" s="40" t="inlineStr">
        <is>
          <t>TC-363</t>
        </is>
      </c>
      <c r="B366" s="58" t="inlineStr">
        <is>
          <t>AUDIT</t>
        </is>
      </c>
      <c r="C366" s="42" t="inlineStr">
        <is>
          <t>P0</t>
        </is>
      </c>
      <c r="D366" s="43" t="inlineStr">
        <is>
          <t>Log</t>
        </is>
      </c>
      <c r="E366" s="43" t="inlineStr">
        <is>
          <t>CASE_STATUS_CHANGED audit riêng entry với fromStatus/toStatus/changedAt</t>
        </is>
      </c>
      <c r="F366" s="40" t="inlineStr">
        <is>
          <t>REQ-CASE-LOG-363</t>
        </is>
      </c>
      <c r="G366" s="40" t="inlineStr">
        <is>
          <t>Use case testing</t>
        </is>
      </c>
      <c r="H366" s="40" t="inlineStr">
        <is>
          <t>Cao</t>
        </is>
      </c>
      <c r="I366" s="43" t="inlineStr">
        <is>
          <t>1. User đã login
2. Token JWT hợp lệ</t>
        </is>
      </c>
      <c r="J366" s="43" t="inlineStr">
        <is>
          <t>PUT status change</t>
        </is>
      </c>
      <c r="K366" s="43" t="inlineStr">
        <is>
          <t>-</t>
        </is>
      </c>
      <c r="L366" s="43" t="inlineStr">
        <is>
          <t>-</t>
        </is>
      </c>
      <c r="M366" s="43" t="inlineStr">
        <is>
          <t>-</t>
        </is>
      </c>
      <c r="N366" s="43" t="inlineStr">
        <is>
          <t>2 audit entries: CASE_UPDATED + CASE_STATUS_CHANGED</t>
        </is>
      </c>
      <c r="O366" s="40" t="inlineStr">
        <is>
          <t>High</t>
        </is>
      </c>
      <c r="P366" s="43" t="inlineStr">
        <is>
          <t>Đạt như expected. Thời gian: 167ms</t>
        </is>
      </c>
      <c r="Q366" s="40" t="inlineStr">
        <is>
          <t>Đạt</t>
        </is>
      </c>
      <c r="R366" s="40" t="inlineStr"/>
      <c r="S366" s="40" t="inlineStr">
        <is>
          <t>23/05/2026 19:06</t>
        </is>
      </c>
      <c r="T366" s="43" t="inlineStr">
        <is>
          <t>R1:Đạt</t>
        </is>
      </c>
      <c r="U366" s="40" t="inlineStr"/>
      <c r="V366" s="43" t="inlineStr"/>
    </row>
    <row r="367" ht="80" customHeight="1">
      <c r="A367" s="40" t="inlineStr">
        <is>
          <t>TC-364</t>
        </is>
      </c>
      <c r="B367" s="58" t="inlineStr">
        <is>
          <t>AUDIT</t>
        </is>
      </c>
      <c r="C367" s="42" t="inlineStr">
        <is>
          <t>P0</t>
        </is>
      </c>
      <c r="D367" s="43" t="inlineStr">
        <is>
          <t>Log</t>
        </is>
      </c>
      <c r="E367" s="43" t="inlineStr">
        <is>
          <t>CASE_DELETED có reason + hoursAfterCreation</t>
        </is>
      </c>
      <c r="F367" s="40" t="inlineStr">
        <is>
          <t>REQ-CASE-LOG-364</t>
        </is>
      </c>
      <c r="G367" s="40" t="inlineStr">
        <is>
          <t>Use case testing</t>
        </is>
      </c>
      <c r="H367" s="40" t="inlineStr">
        <is>
          <t>Cao</t>
        </is>
      </c>
      <c r="I367" s="43" t="inlineStr">
        <is>
          <t>1. User đã login
2. Token JWT hợp lệ</t>
        </is>
      </c>
      <c r="J367" s="43" t="inlineStr">
        <is>
          <t>DELETE</t>
        </is>
      </c>
      <c r="K367" s="43" t="inlineStr">
        <is>
          <t>-</t>
        </is>
      </c>
      <c r="L367" s="43" t="inlineStr">
        <is>
          <t>-</t>
        </is>
      </c>
      <c r="M367" s="43" t="inlineStr">
        <is>
          <t>-</t>
        </is>
      </c>
      <c r="N367" s="43" t="inlineStr">
        <is>
          <t>metadata.reason, metadata.hoursAfterCreation = Math.round(...)</t>
        </is>
      </c>
      <c r="O367" s="40" t="inlineStr">
        <is>
          <t>High</t>
        </is>
      </c>
      <c r="P367" s="43" t="inlineStr">
        <is>
          <t>Đạt như expected. Thời gian: 88ms</t>
        </is>
      </c>
      <c r="Q367" s="40" t="inlineStr">
        <is>
          <t>Đạt</t>
        </is>
      </c>
      <c r="R367" s="40" t="inlineStr"/>
      <c r="S367" s="40" t="inlineStr">
        <is>
          <t>23/05/2026 19:06</t>
        </is>
      </c>
      <c r="T367" s="43" t="inlineStr">
        <is>
          <t>R1:Đạt</t>
        </is>
      </c>
      <c r="U367" s="40" t="inlineStr"/>
      <c r="V367" s="43" t="inlineStr"/>
    </row>
    <row r="368" ht="80" customHeight="1">
      <c r="A368" s="40" t="inlineStr">
        <is>
          <t>TC-365</t>
        </is>
      </c>
      <c r="B368" s="58" t="inlineStr">
        <is>
          <t>AUDIT</t>
        </is>
      </c>
      <c r="C368" s="42" t="inlineStr">
        <is>
          <t>P0</t>
        </is>
      </c>
      <c r="D368" s="43" t="inlineStr">
        <is>
          <t>Log</t>
        </is>
      </c>
      <c r="E368" s="43" t="inlineStr">
        <is>
          <t>CASE_RESTORED có hoursAfterDeletion</t>
        </is>
      </c>
      <c r="F368" s="40" t="inlineStr">
        <is>
          <t>REQ-CASE-LOG-365</t>
        </is>
      </c>
      <c r="G368" s="40" t="inlineStr">
        <is>
          <t>Use case testing</t>
        </is>
      </c>
      <c r="H368" s="40" t="inlineStr">
        <is>
          <t>Cao</t>
        </is>
      </c>
      <c r="I368" s="43" t="inlineStr">
        <is>
          <t>1. User đã login
2. Token JWT hợp lệ</t>
        </is>
      </c>
      <c r="J368" s="43" t="inlineStr">
        <is>
          <t>POST restore</t>
        </is>
      </c>
      <c r="K368" s="43" t="inlineStr">
        <is>
          <t>-</t>
        </is>
      </c>
      <c r="L368" s="43" t="inlineStr">
        <is>
          <t>-</t>
        </is>
      </c>
      <c r="M368" s="43" t="inlineStr">
        <is>
          <t>-</t>
        </is>
      </c>
      <c r="N368" s="43" t="inlineStr">
        <is>
          <t>metadata.hoursAfterDeletion</t>
        </is>
      </c>
      <c r="O368" s="40" t="inlineStr">
        <is>
          <t>High</t>
        </is>
      </c>
      <c r="P368" s="43" t="inlineStr">
        <is>
          <t>Đạt như expected. Thời gian: 93ms</t>
        </is>
      </c>
      <c r="Q368" s="40" t="inlineStr">
        <is>
          <t>Đạt</t>
        </is>
      </c>
      <c r="R368" s="40" t="inlineStr"/>
      <c r="S368" s="40" t="inlineStr">
        <is>
          <t>23/05/2026 19:06</t>
        </is>
      </c>
      <c r="T368" s="43" t="inlineStr">
        <is>
          <t>R1:Đạt</t>
        </is>
      </c>
      <c r="U368" s="40" t="inlineStr"/>
      <c r="V368" s="43" t="inlineStr"/>
    </row>
    <row r="369" ht="80" customHeight="1">
      <c r="A369" s="40" t="inlineStr">
        <is>
          <t>TC-366</t>
        </is>
      </c>
      <c r="B369" s="58" t="inlineStr">
        <is>
          <t>AUDIT</t>
        </is>
      </c>
      <c r="C369" s="42" t="inlineStr">
        <is>
          <t>P0</t>
        </is>
      </c>
      <c r="D369" s="43" t="inlineStr">
        <is>
          <t>Log</t>
        </is>
      </c>
      <c r="E369" s="43" t="inlineStr">
        <is>
          <t>CASE_ASSIGNED có fromTeamId/toTeamId/fromInvestigatorId/toInvestigatorId/dispatchedBy</t>
        </is>
      </c>
      <c r="F369" s="40" t="inlineStr">
        <is>
          <t>REQ-CASE-LOG-366</t>
        </is>
      </c>
      <c r="G369" s="40" t="inlineStr">
        <is>
          <t>Use case testing</t>
        </is>
      </c>
      <c r="H369" s="40" t="inlineStr">
        <is>
          <t>Cao</t>
        </is>
      </c>
      <c r="I369" s="43" t="inlineStr">
        <is>
          <t>1. User đã login
2. Token JWT hợp lệ</t>
        </is>
      </c>
      <c r="J369" s="43" t="inlineStr">
        <is>
          <t>PATCH /assign</t>
        </is>
      </c>
      <c r="K369" s="43" t="inlineStr">
        <is>
          <t>-</t>
        </is>
      </c>
      <c r="L369" s="43" t="inlineStr">
        <is>
          <t>-</t>
        </is>
      </c>
      <c r="M369" s="43" t="inlineStr">
        <is>
          <t>-</t>
        </is>
      </c>
      <c r="N369" s="43" t="inlineStr">
        <is>
          <t>metadata đủ 5 field</t>
        </is>
      </c>
      <c r="O369" s="40" t="inlineStr">
        <is>
          <t>High</t>
        </is>
      </c>
      <c r="P369" s="43" t="inlineStr">
        <is>
          <t>Đạt như expected. Thời gian: 105ms</t>
        </is>
      </c>
      <c r="Q369" s="40" t="inlineStr">
        <is>
          <t>Đạt</t>
        </is>
      </c>
      <c r="R369" s="40" t="inlineStr"/>
      <c r="S369" s="40" t="inlineStr">
        <is>
          <t>23/05/2026 19:06</t>
        </is>
      </c>
      <c r="T369" s="43" t="inlineStr">
        <is>
          <t>R1:Đạt</t>
        </is>
      </c>
      <c r="U369" s="40" t="inlineStr"/>
      <c r="V369" s="43" t="inlineStr"/>
    </row>
    <row r="370" ht="80" customHeight="1">
      <c r="A370" s="40" t="inlineStr">
        <is>
          <t>TC-367</t>
        </is>
      </c>
      <c r="B370" s="58" t="inlineStr">
        <is>
          <t>AUDIT</t>
        </is>
      </c>
      <c r="C370" s="42" t="inlineStr">
        <is>
          <t>P0</t>
        </is>
      </c>
      <c r="D370" s="43" t="inlineStr">
        <is>
          <t>Log</t>
        </is>
      </c>
      <c r="E370" s="43" t="inlineStr">
        <is>
          <t>CASE_EXPORTED có filters đầy đủ trong metadata</t>
        </is>
      </c>
      <c r="F370" s="40" t="inlineStr">
        <is>
          <t>REQ-CASE-LOG-367</t>
        </is>
      </c>
      <c r="G370" s="40" t="inlineStr">
        <is>
          <t>Use case testing</t>
        </is>
      </c>
      <c r="H370" s="40" t="inlineStr">
        <is>
          <t>Cao</t>
        </is>
      </c>
      <c r="I370" s="43" t="inlineStr">
        <is>
          <t>1. User đã login
2. Token JWT hợp lệ</t>
        </is>
      </c>
      <c r="J370" s="43" t="inlineStr">
        <is>
          <t>GET /export/ward</t>
        </is>
      </c>
      <c r="K370" s="43" t="inlineStr">
        <is>
          <t>-</t>
        </is>
      </c>
      <c r="L370" s="43" t="inlineStr">
        <is>
          <t>-</t>
        </is>
      </c>
      <c r="M370" s="43" t="inlineStr">
        <is>
          <t>-</t>
        </is>
      </c>
      <c r="N370" s="43" t="inlineStr">
        <is>
          <t>metadata={format,kind,filters:{...}}</t>
        </is>
      </c>
      <c r="O370" s="40" t="inlineStr">
        <is>
          <t>Medium</t>
        </is>
      </c>
      <c r="P370" s="43" t="inlineStr">
        <is>
          <t>Đạt như expected. Thời gian: 158ms</t>
        </is>
      </c>
      <c r="Q370" s="40" t="inlineStr">
        <is>
          <t>Đạt</t>
        </is>
      </c>
      <c r="R370" s="40" t="inlineStr"/>
      <c r="S370" s="40" t="inlineStr">
        <is>
          <t>23/05/2026 19:06</t>
        </is>
      </c>
      <c r="T370" s="43" t="inlineStr">
        <is>
          <t>R1:Đạt</t>
        </is>
      </c>
      <c r="U370" s="40" t="inlineStr"/>
      <c r="V370" s="43" t="inlineStr">
        <is>
          <t>Sprint 2 S2.1</t>
        </is>
      </c>
    </row>
    <row r="371" ht="80" customHeight="1">
      <c r="A371" s="40" t="inlineStr">
        <is>
          <t>TC-368</t>
        </is>
      </c>
      <c r="B371" s="41" t="inlineStr">
        <is>
          <t>GREEN</t>
        </is>
      </c>
      <c r="C371" s="42" t="inlineStr">
        <is>
          <t>P0</t>
        </is>
      </c>
      <c r="D371" s="43" t="inlineStr">
        <is>
          <t>Subjects</t>
        </is>
      </c>
      <c r="E371" s="43" t="inlineStr">
        <is>
          <t>Tạo Subject với CCCD 12 chữ số hợp lệ</t>
        </is>
      </c>
      <c r="F371" s="40" t="inlineStr">
        <is>
          <t>REQ-CASE-SUBJECTS-368</t>
        </is>
      </c>
      <c r="G371" s="40" t="inlineStr">
        <is>
          <t>Use case testing</t>
        </is>
      </c>
      <c r="H371" s="40" t="inlineStr">
        <is>
          <t>Cao</t>
        </is>
      </c>
      <c r="I371" s="43" t="inlineStr">
        <is>
          <t>1. User đã login
2. Token JWT hợp lệ</t>
        </is>
      </c>
      <c r="J371" s="43" t="inlineStr">
        <is>
          <t>POST /api/subjects {fullName, dateOfBirth, idNumber 12 chữ, address, caseId, crimeId}</t>
        </is>
      </c>
      <c r="K371" s="43" t="inlineStr">
        <is>
          <t>fullName='Nguyễn Văn A', dateOfBirth='1990-01-15', idNumber='079090012345', address='12 Lê Lợi Q1', caseId='C001', crimeId='CRIME-173'</t>
        </is>
      </c>
      <c r="L371" s="43" t="inlineStr">
        <is>
          <t>Toast 'Tạo đối tượng thành công', detail show</t>
        </is>
      </c>
      <c r="M371" s="43" t="inlineStr">
        <is>
          <t>201</t>
        </is>
      </c>
      <c r="N371" s="43" t="inlineStr">
        <is>
          <t>DB row + audit SUBJECT_CREATED + cases.subjectsCount auto-increment</t>
        </is>
      </c>
      <c r="O371" s="40" t="inlineStr">
        <is>
          <t>Critical</t>
        </is>
      </c>
      <c r="P371" s="43" t="inlineStr">
        <is>
          <t>Thời gian: 124ms</t>
        </is>
      </c>
      <c r="Q371" s="40" t="inlineStr">
        <is>
          <t>Không đạt</t>
        </is>
      </c>
      <c r="R371" s="40" t="inlineStr">
        <is>
          <t>BUG-397</t>
        </is>
      </c>
      <c r="S371" s="40" t="inlineStr">
        <is>
          <t>23/05/2026 19:06</t>
        </is>
      </c>
      <c r="T371" s="43" t="inlineStr">
        <is>
          <t>R1:Không đạt</t>
        </is>
      </c>
      <c r="U371" s="40" t="inlineStr"/>
      <c r="V371" s="43" t="inlineStr"/>
    </row>
    <row r="372" ht="80" customHeight="1">
      <c r="A372" s="40" t="inlineStr">
        <is>
          <t>TC-369</t>
        </is>
      </c>
      <c r="B372" s="41" t="inlineStr">
        <is>
          <t>GREEN</t>
        </is>
      </c>
      <c r="C372" s="42" t="inlineStr">
        <is>
          <t>P0</t>
        </is>
      </c>
      <c r="D372" s="43" t="inlineStr">
        <is>
          <t>Subjects</t>
        </is>
      </c>
      <c r="E372" s="43" t="inlineStr">
        <is>
          <t>Tạo Subject với CCCD 9 chữ số (CMND cũ)</t>
        </is>
      </c>
      <c r="F372" s="40" t="inlineStr">
        <is>
          <t>REQ-CASE-SUBJECTS-369</t>
        </is>
      </c>
      <c r="G372" s="40" t="inlineStr">
        <is>
          <t>Use case testing</t>
        </is>
      </c>
      <c r="H372" s="40" t="inlineStr">
        <is>
          <t>Cao</t>
        </is>
      </c>
      <c r="I372" s="43" t="inlineStr">
        <is>
          <t>1. User đã login
2. Token JWT hợp lệ</t>
        </is>
      </c>
      <c r="J372" s="43" t="inlineStr">
        <is>
          <t>POST idNumber='079090123'</t>
        </is>
      </c>
      <c r="K372" s="43" t="inlineStr">
        <is>
          <t>idNumber='079090123' (9 chữ)</t>
        </is>
      </c>
      <c r="L372" s="43" t="inlineStr">
        <is>
          <t>Success</t>
        </is>
      </c>
      <c r="M372" s="43" t="inlineStr">
        <is>
          <t>201 (regex /^\d{9}$|^\d{12}$/ pass)</t>
        </is>
      </c>
      <c r="N372" s="43" t="inlineStr">
        <is>
          <t>-</t>
        </is>
      </c>
      <c r="O372" s="40" t="inlineStr">
        <is>
          <t>High</t>
        </is>
      </c>
      <c r="P372" s="43" t="inlineStr">
        <is>
          <t>Thời gian: 803ms</t>
        </is>
      </c>
      <c r="Q372" s="40" t="inlineStr">
        <is>
          <t>Không đạt</t>
        </is>
      </c>
      <c r="R372" s="40" t="inlineStr">
        <is>
          <t>BUG-398</t>
        </is>
      </c>
      <c r="S372" s="40" t="inlineStr">
        <is>
          <t>23/05/2026 19:06</t>
        </is>
      </c>
      <c r="T372" s="43" t="inlineStr">
        <is>
          <t>R1:Không đạt</t>
        </is>
      </c>
      <c r="U372" s="40" t="inlineStr"/>
      <c r="V372" s="43" t="inlineStr"/>
    </row>
    <row r="373" ht="80" customHeight="1">
      <c r="A373" s="40" t="inlineStr">
        <is>
          <t>TC-370</t>
        </is>
      </c>
      <c r="B373" s="45" t="inlineStr">
        <is>
          <t>RED</t>
        </is>
      </c>
      <c r="C373" s="42" t="inlineStr">
        <is>
          <t>P0</t>
        </is>
      </c>
      <c r="D373" s="43" t="inlineStr">
        <is>
          <t>Subjects</t>
        </is>
      </c>
      <c r="E373" s="43" t="inlineStr">
        <is>
          <t>CCCD 8 chữ số → 400 regex fail</t>
        </is>
      </c>
      <c r="F373" s="40" t="inlineStr">
        <is>
          <t>REQ-CASE-SUBJECTS-370</t>
        </is>
      </c>
      <c r="G373" s="40" t="inlineStr">
        <is>
          <t>Use case testing</t>
        </is>
      </c>
      <c r="H373" s="40" t="inlineStr">
        <is>
          <t>Cao</t>
        </is>
      </c>
      <c r="I373" s="43" t="inlineStr">
        <is>
          <t>1. User đã login
2. Token JWT hợp lệ</t>
        </is>
      </c>
      <c r="J373" s="43" t="inlineStr">
        <is>
          <t>POST idNumber='07909012'</t>
        </is>
      </c>
      <c r="K373" s="43" t="inlineStr">
        <is>
          <t>idNumber='07909012'</t>
        </is>
      </c>
      <c r="L373" s="43" t="inlineStr">
        <is>
          <t>Error 'Số CCCD/CMND phải có 9 hoặc 12 chữ số'</t>
        </is>
      </c>
      <c r="M373" s="43" t="inlineStr">
        <is>
          <t>400</t>
        </is>
      </c>
      <c r="N373" s="43" t="inlineStr">
        <is>
          <t>-</t>
        </is>
      </c>
      <c r="O373" s="40" t="inlineStr">
        <is>
          <t>High</t>
        </is>
      </c>
      <c r="P373" s="43" t="inlineStr">
        <is>
          <t>Đạt như expected. Thời gian: 804ms</t>
        </is>
      </c>
      <c r="Q373" s="40" t="inlineStr">
        <is>
          <t>Đạt</t>
        </is>
      </c>
      <c r="R373" s="40" t="inlineStr"/>
      <c r="S373" s="40" t="inlineStr">
        <is>
          <t>23/05/2026 19:06</t>
        </is>
      </c>
      <c r="T373" s="43" t="inlineStr">
        <is>
          <t>R1:Đạt</t>
        </is>
      </c>
      <c r="U373" s="40" t="inlineStr"/>
      <c r="V373" s="43" t="inlineStr"/>
    </row>
    <row r="374" ht="80" customHeight="1">
      <c r="A374" s="40" t="inlineStr">
        <is>
          <t>TC-371</t>
        </is>
      </c>
      <c r="B374" s="45" t="inlineStr">
        <is>
          <t>RED</t>
        </is>
      </c>
      <c r="C374" s="42" t="inlineStr">
        <is>
          <t>P0</t>
        </is>
      </c>
      <c r="D374" s="43" t="inlineStr">
        <is>
          <t>Subjects</t>
        </is>
      </c>
      <c r="E374" s="43" t="inlineStr">
        <is>
          <t>CCCD 13 chữ số → 400</t>
        </is>
      </c>
      <c r="F374" s="40" t="inlineStr">
        <is>
          <t>REQ-CASE-SUBJECTS-371</t>
        </is>
      </c>
      <c r="G374" s="40" t="inlineStr">
        <is>
          <t>Use case testing</t>
        </is>
      </c>
      <c r="H374" s="40" t="inlineStr">
        <is>
          <t>Cao</t>
        </is>
      </c>
      <c r="I374" s="43" t="inlineStr">
        <is>
          <t>1. User đã login
2. Token JWT hợp lệ</t>
        </is>
      </c>
      <c r="J374" s="43" t="inlineStr">
        <is>
          <t>POST idNumber='0790900123456'</t>
        </is>
      </c>
      <c r="K374" s="43" t="inlineStr">
        <is>
          <t>idNumber 13 chars</t>
        </is>
      </c>
      <c r="L374" s="43" t="inlineStr">
        <is>
          <t>-</t>
        </is>
      </c>
      <c r="M374" s="43" t="inlineStr">
        <is>
          <t>400</t>
        </is>
      </c>
      <c r="N374" s="43" t="inlineStr">
        <is>
          <t>-</t>
        </is>
      </c>
      <c r="O374" s="40" t="inlineStr">
        <is>
          <t>High</t>
        </is>
      </c>
      <c r="P374" s="43" t="inlineStr">
        <is>
          <t>Đạt như expected. Thời gian: 74ms</t>
        </is>
      </c>
      <c r="Q374" s="40" t="inlineStr">
        <is>
          <t>Đạt</t>
        </is>
      </c>
      <c r="R374" s="40" t="inlineStr"/>
      <c r="S374" s="40" t="inlineStr">
        <is>
          <t>23/05/2026 19:06</t>
        </is>
      </c>
      <c r="T374" s="43" t="inlineStr">
        <is>
          <t>R1:Đạt</t>
        </is>
      </c>
      <c r="U374" s="40" t="inlineStr"/>
      <c r="V374" s="43" t="inlineStr"/>
    </row>
    <row r="375" ht="80" customHeight="1">
      <c r="A375" s="40" t="inlineStr">
        <is>
          <t>TC-372</t>
        </is>
      </c>
      <c r="B375" s="45" t="inlineStr">
        <is>
          <t>RED</t>
        </is>
      </c>
      <c r="C375" s="42" t="inlineStr">
        <is>
          <t>P0</t>
        </is>
      </c>
      <c r="D375" s="43" t="inlineStr">
        <is>
          <t>Subjects</t>
        </is>
      </c>
      <c r="E375" s="43" t="inlineStr">
        <is>
          <t>CCCD có chữ cái 'ABC079090123' → 400 regex</t>
        </is>
      </c>
      <c r="F375" s="40" t="inlineStr">
        <is>
          <t>REQ-CASE-SUBJECTS-372</t>
        </is>
      </c>
      <c r="G375" s="40" t="inlineStr">
        <is>
          <t>Use case testing</t>
        </is>
      </c>
      <c r="H375" s="40" t="inlineStr">
        <is>
          <t>Cao</t>
        </is>
      </c>
      <c r="I375" s="43" t="inlineStr">
        <is>
          <t>1. User đã login
2. Token JWT hợp lệ</t>
        </is>
      </c>
      <c r="J375" s="43" t="inlineStr">
        <is>
          <t>POST idNumber='ABC079090123'</t>
        </is>
      </c>
      <c r="K375" s="43" t="inlineStr">
        <is>
          <t>idNumber='ABC079090123'</t>
        </is>
      </c>
      <c r="L375" s="43" t="inlineStr">
        <is>
          <t>-</t>
        </is>
      </c>
      <c r="M375" s="43" t="inlineStr">
        <is>
          <t>400</t>
        </is>
      </c>
      <c r="N375" s="43" t="inlineStr">
        <is>
          <t>-</t>
        </is>
      </c>
      <c r="O375" s="40" t="inlineStr">
        <is>
          <t>High</t>
        </is>
      </c>
      <c r="P375" s="43" t="inlineStr">
        <is>
          <t>Đạt như expected. Thời gian: 62ms</t>
        </is>
      </c>
      <c r="Q375" s="40" t="inlineStr">
        <is>
          <t>Đạt</t>
        </is>
      </c>
      <c r="R375" s="40" t="inlineStr"/>
      <c r="S375" s="40" t="inlineStr">
        <is>
          <t>23/05/2026 19:06</t>
        </is>
      </c>
      <c r="T375" s="43" t="inlineStr">
        <is>
          <t>R1:Đạt</t>
        </is>
      </c>
      <c r="U375" s="40" t="inlineStr"/>
      <c r="V375" s="43" t="inlineStr"/>
    </row>
    <row r="376" ht="80" customHeight="1">
      <c r="A376" s="40" t="inlineStr">
        <is>
          <t>TC-373</t>
        </is>
      </c>
      <c r="B376" s="45" t="inlineStr">
        <is>
          <t>RED</t>
        </is>
      </c>
      <c r="C376" s="42" t="inlineStr">
        <is>
          <t>P0</t>
        </is>
      </c>
      <c r="D376" s="43" t="inlineStr">
        <is>
          <t>Subjects</t>
        </is>
      </c>
      <c r="E376" s="43" t="inlineStr">
        <is>
          <t>CCCD rỗng → 400 IsNotEmpty</t>
        </is>
      </c>
      <c r="F376" s="40" t="inlineStr">
        <is>
          <t>REQ-CASE-SUBJECTS-373</t>
        </is>
      </c>
      <c r="G376" s="40" t="inlineStr">
        <is>
          <t>Use case testing</t>
        </is>
      </c>
      <c r="H376" s="40" t="inlineStr">
        <is>
          <t>Cao</t>
        </is>
      </c>
      <c r="I376" s="43" t="inlineStr">
        <is>
          <t>1. User đã login
2. Token JWT hợp lệ</t>
        </is>
      </c>
      <c r="J376" s="43" t="inlineStr">
        <is>
          <t>POST idNumber=''</t>
        </is>
      </c>
      <c r="K376" s="43" t="inlineStr">
        <is>
          <t>idNumber=''</t>
        </is>
      </c>
      <c r="L376" s="43" t="inlineStr">
        <is>
          <t>Error 'Số CCCD/CMND không được để trống'</t>
        </is>
      </c>
      <c r="M376" s="43" t="inlineStr">
        <is>
          <t>400</t>
        </is>
      </c>
      <c r="N376" s="43" t="inlineStr">
        <is>
          <t>-</t>
        </is>
      </c>
      <c r="O376" s="40" t="inlineStr">
        <is>
          <t>High</t>
        </is>
      </c>
      <c r="P376" s="43" t="inlineStr">
        <is>
          <t>Đạt như expected. Thời gian: 88ms</t>
        </is>
      </c>
      <c r="Q376" s="40" t="inlineStr">
        <is>
          <t>Đạt</t>
        </is>
      </c>
      <c r="R376" s="40" t="inlineStr"/>
      <c r="S376" s="40" t="inlineStr">
        <is>
          <t>23/05/2026 19:06</t>
        </is>
      </c>
      <c r="T376" s="43" t="inlineStr">
        <is>
          <t>R1:Đạt</t>
        </is>
      </c>
      <c r="U376" s="40" t="inlineStr"/>
      <c r="V376" s="43" t="inlineStr"/>
    </row>
    <row r="377" ht="80" customHeight="1">
      <c r="A377" s="40" t="inlineStr">
        <is>
          <t>TC-374</t>
        </is>
      </c>
      <c r="B377" s="45" t="inlineStr">
        <is>
          <t>RED</t>
        </is>
      </c>
      <c r="C377" s="42" t="inlineStr">
        <is>
          <t>P0</t>
        </is>
      </c>
      <c r="D377" s="43" t="inlineStr">
        <is>
          <t>Subjects</t>
        </is>
      </c>
      <c r="E377" s="43" t="inlineStr">
        <is>
          <t>fullName rỗng → 400</t>
        </is>
      </c>
      <c r="F377" s="40" t="inlineStr">
        <is>
          <t>REQ-CASE-SUBJECTS-374</t>
        </is>
      </c>
      <c r="G377" s="40" t="inlineStr">
        <is>
          <t>Use case testing</t>
        </is>
      </c>
      <c r="H377" s="40" t="inlineStr">
        <is>
          <t>Cao</t>
        </is>
      </c>
      <c r="I377" s="43" t="inlineStr">
        <is>
          <t>1. User đã login
2. Token JWT hợp lệ</t>
        </is>
      </c>
      <c r="J377" s="43" t="inlineStr">
        <is>
          <t>POST fullName=''</t>
        </is>
      </c>
      <c r="K377" s="43" t="inlineStr">
        <is>
          <t>fullName=''</t>
        </is>
      </c>
      <c r="L377" s="43" t="inlineStr">
        <is>
          <t>Error 'Họ tên không được để trống'</t>
        </is>
      </c>
      <c r="M377" s="43" t="inlineStr">
        <is>
          <t>400</t>
        </is>
      </c>
      <c r="N377" s="43" t="inlineStr">
        <is>
          <t>-</t>
        </is>
      </c>
      <c r="O377" s="40" t="inlineStr">
        <is>
          <t>High</t>
        </is>
      </c>
      <c r="P377" s="43" t="inlineStr">
        <is>
          <t>Đạt như expected. Thời gian: 85ms</t>
        </is>
      </c>
      <c r="Q377" s="40" t="inlineStr">
        <is>
          <t>Đạt</t>
        </is>
      </c>
      <c r="R377" s="40" t="inlineStr"/>
      <c r="S377" s="40" t="inlineStr">
        <is>
          <t>23/05/2026 19:06</t>
        </is>
      </c>
      <c r="T377" s="43" t="inlineStr">
        <is>
          <t>R1:Đạt</t>
        </is>
      </c>
      <c r="U377" s="40" t="inlineStr"/>
      <c r="V377" s="43" t="inlineStr"/>
    </row>
    <row r="378" ht="80" customHeight="1">
      <c r="A378" s="40" t="inlineStr">
        <is>
          <t>TC-375</t>
        </is>
      </c>
      <c r="B378" s="45" t="inlineStr">
        <is>
          <t>RED</t>
        </is>
      </c>
      <c r="C378" s="42" t="inlineStr">
        <is>
          <t>P0</t>
        </is>
      </c>
      <c r="D378" s="43" t="inlineStr">
        <is>
          <t>Subjects</t>
        </is>
      </c>
      <c r="E378" s="43" t="inlineStr">
        <is>
          <t>dateOfBirth rỗng → 400</t>
        </is>
      </c>
      <c r="F378" s="40" t="inlineStr">
        <is>
          <t>REQ-CASE-SUBJECTS-375</t>
        </is>
      </c>
      <c r="G378" s="40" t="inlineStr">
        <is>
          <t>Use case testing</t>
        </is>
      </c>
      <c r="H378" s="40" t="inlineStr">
        <is>
          <t>Cao</t>
        </is>
      </c>
      <c r="I378" s="43" t="inlineStr">
        <is>
          <t>1. User đã login
2. Token JWT hợp lệ</t>
        </is>
      </c>
      <c r="J378" s="43" t="inlineStr">
        <is>
          <t>POST dateOfBirth=''</t>
        </is>
      </c>
      <c r="K378" s="43" t="inlineStr">
        <is>
          <t>-</t>
        </is>
      </c>
      <c r="L378" s="43" t="inlineStr">
        <is>
          <t>-</t>
        </is>
      </c>
      <c r="M378" s="43" t="inlineStr">
        <is>
          <t>400 IsNotEmpty + IsDateString</t>
        </is>
      </c>
      <c r="N378" s="43" t="inlineStr">
        <is>
          <t>-</t>
        </is>
      </c>
      <c r="O378" s="40" t="inlineStr">
        <is>
          <t>High</t>
        </is>
      </c>
      <c r="P378" s="43" t="inlineStr">
        <is>
          <t>Đạt như expected. Thời gian: 62ms</t>
        </is>
      </c>
      <c r="Q378" s="40" t="inlineStr">
        <is>
          <t>Đạt</t>
        </is>
      </c>
      <c r="R378" s="40" t="inlineStr"/>
      <c r="S378" s="40" t="inlineStr">
        <is>
          <t>23/05/2026 19:06</t>
        </is>
      </c>
      <c r="T378" s="43" t="inlineStr">
        <is>
          <t>R1:Đạt</t>
        </is>
      </c>
      <c r="U378" s="40" t="inlineStr"/>
      <c r="V378" s="43" t="inlineStr"/>
    </row>
    <row r="379" ht="80" customHeight="1">
      <c r="A379" s="40" t="inlineStr">
        <is>
          <t>TC-376</t>
        </is>
      </c>
      <c r="B379" s="45" t="inlineStr">
        <is>
          <t>RED</t>
        </is>
      </c>
      <c r="C379" s="42" t="inlineStr">
        <is>
          <t>P0</t>
        </is>
      </c>
      <c r="D379" s="43" t="inlineStr">
        <is>
          <t>Subjects</t>
        </is>
      </c>
      <c r="E379" s="43" t="inlineStr">
        <is>
          <t>dateOfBirth='15/01/1990' không ISO → 400</t>
        </is>
      </c>
      <c r="F379" s="40" t="inlineStr">
        <is>
          <t>REQ-CASE-SUBJECTS-376</t>
        </is>
      </c>
      <c r="G379" s="40" t="inlineStr">
        <is>
          <t>Use case testing</t>
        </is>
      </c>
      <c r="H379" s="40" t="inlineStr">
        <is>
          <t>Cao</t>
        </is>
      </c>
      <c r="I379" s="43" t="inlineStr">
        <is>
          <t>1. User đã login
2. Token JWT hợp lệ</t>
        </is>
      </c>
      <c r="J379" s="43" t="inlineStr">
        <is>
          <t>POST dateOfBirth='15/01/1990'</t>
        </is>
      </c>
      <c r="K379" s="43" t="inlineStr">
        <is>
          <t>-</t>
        </is>
      </c>
      <c r="L379" s="43" t="inlineStr">
        <is>
          <t>-</t>
        </is>
      </c>
      <c r="M379" s="43" t="inlineStr">
        <is>
          <t>400 'Ngày sinh không hợp lệ'</t>
        </is>
      </c>
      <c r="N379" s="43" t="inlineStr">
        <is>
          <t>-</t>
        </is>
      </c>
      <c r="O379" s="40" t="inlineStr">
        <is>
          <t>High</t>
        </is>
      </c>
      <c r="P379" s="43" t="inlineStr">
        <is>
          <t>Đạt như expected. Thời gian: 83ms</t>
        </is>
      </c>
      <c r="Q379" s="40" t="inlineStr">
        <is>
          <t>Đạt</t>
        </is>
      </c>
      <c r="R379" s="40" t="inlineStr"/>
      <c r="S379" s="40" t="inlineStr">
        <is>
          <t>23/05/2026 19:06</t>
        </is>
      </c>
      <c r="T379" s="43" t="inlineStr">
        <is>
          <t>R1:Đạt</t>
        </is>
      </c>
      <c r="U379" s="40" t="inlineStr"/>
      <c r="V379" s="43" t="inlineStr"/>
    </row>
    <row r="380" ht="80" customHeight="1">
      <c r="A380" s="40" t="inlineStr">
        <is>
          <t>TC-377</t>
        </is>
      </c>
      <c r="B380" s="45" t="inlineStr">
        <is>
          <t>RED</t>
        </is>
      </c>
      <c r="C380" s="42" t="inlineStr">
        <is>
          <t>P0</t>
        </is>
      </c>
      <c r="D380" s="43" t="inlineStr">
        <is>
          <t>Subjects</t>
        </is>
      </c>
      <c r="E380" s="43" t="inlineStr">
        <is>
          <t>dateOfBirth='2030-01-01' tương lai → ? (gap)</t>
        </is>
      </c>
      <c r="F380" s="40" t="inlineStr">
        <is>
          <t>REQ-CASE-SUBJECTS-377</t>
        </is>
      </c>
      <c r="G380" s="40" t="inlineStr">
        <is>
          <t>Use case testing</t>
        </is>
      </c>
      <c r="H380" s="40" t="inlineStr">
        <is>
          <t>Cao</t>
        </is>
      </c>
      <c r="I380" s="43" t="inlineStr">
        <is>
          <t>1. User đã login
2. Token JWT hợp lệ</t>
        </is>
      </c>
      <c r="J380" s="43" t="inlineStr">
        <is>
          <t>POST dateOfBirth='2030-01-01'</t>
        </is>
      </c>
      <c r="K380" s="43" t="inlineStr">
        <is>
          <t>-</t>
        </is>
      </c>
      <c r="L380" s="43" t="inlineStr">
        <is>
          <t>-</t>
        </is>
      </c>
      <c r="M380" s="43" t="inlineStr">
        <is>
          <t>201 (không validate future date)</t>
        </is>
      </c>
      <c r="N380" s="43" t="inlineStr">
        <is>
          <t>-</t>
        </is>
      </c>
      <c r="O380" s="40" t="inlineStr">
        <is>
          <t>Medium</t>
        </is>
      </c>
      <c r="P380" s="43" t="inlineStr">
        <is>
          <t>Thời gian: 123ms</t>
        </is>
      </c>
      <c r="Q380" s="40" t="inlineStr">
        <is>
          <t>Không đạt</t>
        </is>
      </c>
      <c r="R380" s="40" t="inlineStr">
        <is>
          <t>BUG-399</t>
        </is>
      </c>
      <c r="S380" s="40" t="inlineStr">
        <is>
          <t>23/05/2026 19:06</t>
        </is>
      </c>
      <c r="T380" s="43" t="inlineStr">
        <is>
          <t>R1:Không đạt</t>
        </is>
      </c>
      <c r="U380" s="40" t="inlineStr"/>
      <c r="V380" s="43" t="inlineStr">
        <is>
          <t>Gap: nên reject</t>
        </is>
      </c>
    </row>
    <row r="381" ht="80" customHeight="1">
      <c r="A381" s="40" t="inlineStr">
        <is>
          <t>TC-378</t>
        </is>
      </c>
      <c r="B381" s="45" t="inlineStr">
        <is>
          <t>RED</t>
        </is>
      </c>
      <c r="C381" s="42" t="inlineStr">
        <is>
          <t>P0</t>
        </is>
      </c>
      <c r="D381" s="43" t="inlineStr">
        <is>
          <t>Subjects</t>
        </is>
      </c>
      <c r="E381" s="43" t="inlineStr">
        <is>
          <t>address rỗng → 400</t>
        </is>
      </c>
      <c r="F381" s="40" t="inlineStr">
        <is>
          <t>REQ-CASE-SUBJECTS-378</t>
        </is>
      </c>
      <c r="G381" s="40" t="inlineStr">
        <is>
          <t>Use case testing</t>
        </is>
      </c>
      <c r="H381" s="40" t="inlineStr">
        <is>
          <t>Cao</t>
        </is>
      </c>
      <c r="I381" s="43" t="inlineStr">
        <is>
          <t>1. User đã login
2. Token JWT hợp lệ</t>
        </is>
      </c>
      <c r="J381" s="43" t="inlineStr">
        <is>
          <t>POST address=''</t>
        </is>
      </c>
      <c r="K381" s="43" t="inlineStr">
        <is>
          <t>-</t>
        </is>
      </c>
      <c r="L381" s="43" t="inlineStr">
        <is>
          <t>-</t>
        </is>
      </c>
      <c r="M381" s="43" t="inlineStr">
        <is>
          <t>400 IsNotEmpty</t>
        </is>
      </c>
      <c r="N381" s="43" t="inlineStr">
        <is>
          <t>-</t>
        </is>
      </c>
      <c r="O381" s="40" t="inlineStr">
        <is>
          <t>High</t>
        </is>
      </c>
      <c r="P381" s="43" t="inlineStr">
        <is>
          <t>Đạt như expected. Thời gian: 774ms</t>
        </is>
      </c>
      <c r="Q381" s="40" t="inlineStr">
        <is>
          <t>Đạt</t>
        </is>
      </c>
      <c r="R381" s="40" t="inlineStr"/>
      <c r="S381" s="40" t="inlineStr">
        <is>
          <t>23/05/2026 19:06</t>
        </is>
      </c>
      <c r="T381" s="43" t="inlineStr">
        <is>
          <t>R1:Đạt</t>
        </is>
      </c>
      <c r="U381" s="40" t="inlineStr"/>
      <c r="V381" s="43" t="inlineStr"/>
    </row>
    <row r="382" ht="80" customHeight="1">
      <c r="A382" s="40" t="inlineStr">
        <is>
          <t>TC-379</t>
        </is>
      </c>
      <c r="B382" s="45" t="inlineStr">
        <is>
          <t>RED</t>
        </is>
      </c>
      <c r="C382" s="42" t="inlineStr">
        <is>
          <t>P0</t>
        </is>
      </c>
      <c r="D382" s="43" t="inlineStr">
        <is>
          <t>Subjects</t>
        </is>
      </c>
      <c r="E382" s="43" t="inlineStr">
        <is>
          <t>caseId rỗng → 400</t>
        </is>
      </c>
      <c r="F382" s="40" t="inlineStr">
        <is>
          <t>REQ-CASE-SUBJECTS-379</t>
        </is>
      </c>
      <c r="G382" s="40" t="inlineStr">
        <is>
          <t>Use case testing</t>
        </is>
      </c>
      <c r="H382" s="40" t="inlineStr">
        <is>
          <t>Cao</t>
        </is>
      </c>
      <c r="I382" s="43" t="inlineStr">
        <is>
          <t>1. User đã login
2. Token JWT hợp lệ</t>
        </is>
      </c>
      <c r="J382" s="43" t="inlineStr">
        <is>
          <t>POST caseId=''</t>
        </is>
      </c>
      <c r="K382" s="43" t="inlineStr">
        <is>
          <t>-</t>
        </is>
      </c>
      <c r="L382" s="43" t="inlineStr">
        <is>
          <t>-</t>
        </is>
      </c>
      <c r="M382" s="43" t="inlineStr">
        <is>
          <t>400 'Vụ án không được để trống'</t>
        </is>
      </c>
      <c r="N382" s="43" t="inlineStr">
        <is>
          <t>-</t>
        </is>
      </c>
      <c r="O382" s="40" t="inlineStr">
        <is>
          <t>High</t>
        </is>
      </c>
      <c r="P382" s="43" t="inlineStr">
        <is>
          <t>Đạt như expected. Thời gian: 97ms</t>
        </is>
      </c>
      <c r="Q382" s="40" t="inlineStr">
        <is>
          <t>Đạt</t>
        </is>
      </c>
      <c r="R382" s="40" t="inlineStr"/>
      <c r="S382" s="40" t="inlineStr">
        <is>
          <t>23/05/2026 19:06</t>
        </is>
      </c>
      <c r="T382" s="43" t="inlineStr">
        <is>
          <t>R1:Đạt</t>
        </is>
      </c>
      <c r="U382" s="40" t="inlineStr"/>
      <c r="V382" s="43" t="inlineStr"/>
    </row>
    <row r="383" ht="80" customHeight="1">
      <c r="A383" s="40" t="inlineStr">
        <is>
          <t>TC-380</t>
        </is>
      </c>
      <c r="B383" s="45" t="inlineStr">
        <is>
          <t>RED</t>
        </is>
      </c>
      <c r="C383" s="42" t="inlineStr">
        <is>
          <t>P0</t>
        </is>
      </c>
      <c r="D383" s="43" t="inlineStr">
        <is>
          <t>Subjects</t>
        </is>
      </c>
      <c r="E383" s="43" t="inlineStr">
        <is>
          <t>caseId không tồn tại → 400 FK invalid</t>
        </is>
      </c>
      <c r="F383" s="40" t="inlineStr">
        <is>
          <t>REQ-CASE-SUBJECTS-380</t>
        </is>
      </c>
      <c r="G383" s="40" t="inlineStr">
        <is>
          <t>Use case testing</t>
        </is>
      </c>
      <c r="H383" s="40" t="inlineStr">
        <is>
          <t>Cao</t>
        </is>
      </c>
      <c r="I383" s="43" t="inlineStr">
        <is>
          <t>1. User đã login
2. Token JWT hợp lệ</t>
        </is>
      </c>
      <c r="J383" s="43" t="inlineStr">
        <is>
          <t>POST caseId='NOT_EXIST'</t>
        </is>
      </c>
      <c r="K383" s="43" t="inlineStr">
        <is>
          <t>-</t>
        </is>
      </c>
      <c r="L383" s="43" t="inlineStr">
        <is>
          <t>-</t>
        </is>
      </c>
      <c r="M383" s="43" t="inlineStr">
        <is>
          <t>400 (FK P2003 wrapped)</t>
        </is>
      </c>
      <c r="N383" s="43" t="inlineStr">
        <is>
          <t>-</t>
        </is>
      </c>
      <c r="O383" s="40" t="inlineStr">
        <is>
          <t>High</t>
        </is>
      </c>
      <c r="P383" s="43" t="inlineStr">
        <is>
          <t>Đạt như expected. Thời gian: 74ms</t>
        </is>
      </c>
      <c r="Q383" s="40" t="inlineStr">
        <is>
          <t>Đạt</t>
        </is>
      </c>
      <c r="R383" s="40" t="inlineStr"/>
      <c r="S383" s="40" t="inlineStr">
        <is>
          <t>23/05/2026 19:06</t>
        </is>
      </c>
      <c r="T383" s="43" t="inlineStr">
        <is>
          <t>R1:Đạt</t>
        </is>
      </c>
      <c r="U383" s="40" t="inlineStr"/>
      <c r="V383" s="43" t="inlineStr"/>
    </row>
    <row r="384" ht="80" customHeight="1">
      <c r="A384" s="40" t="inlineStr">
        <is>
          <t>TC-381</t>
        </is>
      </c>
      <c r="B384" s="45" t="inlineStr">
        <is>
          <t>RED</t>
        </is>
      </c>
      <c r="C384" s="42" t="inlineStr">
        <is>
          <t>P0</t>
        </is>
      </c>
      <c r="D384" s="43" t="inlineStr">
        <is>
          <t>Subjects</t>
        </is>
      </c>
      <c r="E384" s="43" t="inlineStr">
        <is>
          <t>caseId của Case soft-deleted → 400</t>
        </is>
      </c>
      <c r="F384" s="40" t="inlineStr">
        <is>
          <t>REQ-CASE-SUBJECTS-381</t>
        </is>
      </c>
      <c r="G384" s="40" t="inlineStr">
        <is>
          <t>Use case testing</t>
        </is>
      </c>
      <c r="H384" s="40" t="inlineStr">
        <is>
          <t>Cao</t>
        </is>
      </c>
      <c r="I384" s="43" t="inlineStr">
        <is>
          <t>1. User đã login
2. Token JWT hợp lệ</t>
        </is>
      </c>
      <c r="J384" s="43" t="inlineStr">
        <is>
          <t>POST caseId của CASE-DEL</t>
        </is>
      </c>
      <c r="K384" s="43" t="inlineStr">
        <is>
          <t>-</t>
        </is>
      </c>
      <c r="L384" s="43" t="inlineStr">
        <is>
          <t>-</t>
        </is>
      </c>
      <c r="M384" s="43" t="inlineStr">
        <is>
          <t>400</t>
        </is>
      </c>
      <c r="N384" s="43" t="inlineStr">
        <is>
          <t>-</t>
        </is>
      </c>
      <c r="O384" s="40" t="inlineStr">
        <is>
          <t>High</t>
        </is>
      </c>
      <c r="P384" s="43" t="inlineStr">
        <is>
          <t>Đạt như expected. Thời gian: 84ms</t>
        </is>
      </c>
      <c r="Q384" s="40" t="inlineStr">
        <is>
          <t>Đạt</t>
        </is>
      </c>
      <c r="R384" s="40" t="inlineStr"/>
      <c r="S384" s="40" t="inlineStr">
        <is>
          <t>23/05/2026 19:06</t>
        </is>
      </c>
      <c r="T384" s="43" t="inlineStr">
        <is>
          <t>R1:Đạt</t>
        </is>
      </c>
      <c r="U384" s="40" t="inlineStr"/>
      <c r="V384" s="43" t="inlineStr"/>
    </row>
    <row r="385" ht="80" customHeight="1">
      <c r="A385" s="40" t="inlineStr">
        <is>
          <t>TC-382</t>
        </is>
      </c>
      <c r="B385" s="45" t="inlineStr">
        <is>
          <t>RED</t>
        </is>
      </c>
      <c r="C385" s="42" t="inlineStr">
        <is>
          <t>P0</t>
        </is>
      </c>
      <c r="D385" s="43" t="inlineStr">
        <is>
          <t>Subjects</t>
        </is>
      </c>
      <c r="E385" s="43" t="inlineStr">
        <is>
          <t>crimeId rỗng → 400</t>
        </is>
      </c>
      <c r="F385" s="40" t="inlineStr">
        <is>
          <t>REQ-CASE-SUBJECTS-382</t>
        </is>
      </c>
      <c r="G385" s="40" t="inlineStr">
        <is>
          <t>Use case testing</t>
        </is>
      </c>
      <c r="H385" s="40" t="inlineStr">
        <is>
          <t>Cao</t>
        </is>
      </c>
      <c r="I385" s="43" t="inlineStr">
        <is>
          <t>1. User đã login
2. Token JWT hợp lệ</t>
        </is>
      </c>
      <c r="J385" s="43" t="inlineStr">
        <is>
          <t>POST crimeId=''</t>
        </is>
      </c>
      <c r="K385" s="43" t="inlineStr">
        <is>
          <t>-</t>
        </is>
      </c>
      <c r="L385" s="43" t="inlineStr">
        <is>
          <t>-</t>
        </is>
      </c>
      <c r="M385" s="43" t="inlineStr">
        <is>
          <t>400 'Tội danh không được để trống'</t>
        </is>
      </c>
      <c r="N385" s="43" t="inlineStr">
        <is>
          <t>-</t>
        </is>
      </c>
      <c r="O385" s="40" t="inlineStr">
        <is>
          <t>High</t>
        </is>
      </c>
      <c r="P385" s="43" t="inlineStr">
        <is>
          <t>Đạt như expected. Thời gian: 95ms</t>
        </is>
      </c>
      <c r="Q385" s="40" t="inlineStr">
        <is>
          <t>Đạt</t>
        </is>
      </c>
      <c r="R385" s="40" t="inlineStr"/>
      <c r="S385" s="40" t="inlineStr">
        <is>
          <t>23/05/2026 19:06</t>
        </is>
      </c>
      <c r="T385" s="43" t="inlineStr">
        <is>
          <t>R1:Đạt</t>
        </is>
      </c>
      <c r="U385" s="40" t="inlineStr"/>
      <c r="V385" s="43" t="inlineStr"/>
    </row>
    <row r="386" ht="80" customHeight="1">
      <c r="A386" s="40" t="inlineStr">
        <is>
          <t>TC-383</t>
        </is>
      </c>
      <c r="B386" s="45" t="inlineStr">
        <is>
          <t>RED</t>
        </is>
      </c>
      <c r="C386" s="42" t="inlineStr">
        <is>
          <t>P0</t>
        </is>
      </c>
      <c r="D386" s="43" t="inlineStr">
        <is>
          <t>Subjects</t>
        </is>
      </c>
      <c r="E386" s="43" t="inlineStr">
        <is>
          <t>crimeId không tồn tại trong directory → 400</t>
        </is>
      </c>
      <c r="F386" s="40" t="inlineStr">
        <is>
          <t>REQ-CASE-SUBJECTS-383</t>
        </is>
      </c>
      <c r="G386" s="40" t="inlineStr">
        <is>
          <t>Use case testing</t>
        </is>
      </c>
      <c r="H386" s="40" t="inlineStr">
        <is>
          <t>Cao</t>
        </is>
      </c>
      <c r="I386" s="43" t="inlineStr">
        <is>
          <t>1. User đã login
2. Token JWT hợp lệ</t>
        </is>
      </c>
      <c r="J386" s="43" t="inlineStr">
        <is>
          <t>POST crimeId='CRIME-NOT-EXIST'</t>
        </is>
      </c>
      <c r="K386" s="43" t="inlineStr">
        <is>
          <t>-</t>
        </is>
      </c>
      <c r="L386" s="43" t="inlineStr">
        <is>
          <t>-</t>
        </is>
      </c>
      <c r="M386" s="43" t="inlineStr">
        <is>
          <t>400</t>
        </is>
      </c>
      <c r="N386" s="43" t="inlineStr">
        <is>
          <t>-</t>
        </is>
      </c>
      <c r="O386" s="40" t="inlineStr">
        <is>
          <t>High</t>
        </is>
      </c>
      <c r="P386" s="43" t="inlineStr">
        <is>
          <t>Đạt như expected. Thời gian: 69ms</t>
        </is>
      </c>
      <c r="Q386" s="40" t="inlineStr">
        <is>
          <t>Đạt</t>
        </is>
      </c>
      <c r="R386" s="40" t="inlineStr"/>
      <c r="S386" s="40" t="inlineStr">
        <is>
          <t>23/05/2026 19:06</t>
        </is>
      </c>
      <c r="T386" s="43" t="inlineStr">
        <is>
          <t>R1:Đạt</t>
        </is>
      </c>
      <c r="U386" s="40" t="inlineStr"/>
      <c r="V386" s="43" t="inlineStr"/>
    </row>
    <row r="387" ht="80" customHeight="1">
      <c r="A387" s="40" t="inlineStr">
        <is>
          <t>TC-384</t>
        </is>
      </c>
      <c r="B387" s="45" t="inlineStr">
        <is>
          <t>RED</t>
        </is>
      </c>
      <c r="C387" s="44" t="inlineStr">
        <is>
          <t>P1</t>
        </is>
      </c>
      <c r="D387" s="43" t="inlineStr">
        <is>
          <t>Subjects</t>
        </is>
      </c>
      <c r="E387" s="43" t="inlineStr">
        <is>
          <t>gender='UNKNOWN' không trong enum → 400</t>
        </is>
      </c>
      <c r="F387" s="40" t="inlineStr">
        <is>
          <t>REQ-CASE-SUBJECTS-384</t>
        </is>
      </c>
      <c r="G387" s="40" t="inlineStr">
        <is>
          <t>Use case testing</t>
        </is>
      </c>
      <c r="H387" s="40" t="inlineStr">
        <is>
          <t>TB</t>
        </is>
      </c>
      <c r="I387" s="43" t="inlineStr">
        <is>
          <t>1. User đã login
2. Token JWT hợp lệ</t>
        </is>
      </c>
      <c r="J387" s="43" t="inlineStr">
        <is>
          <t>POST gender='UNKNOWN'</t>
        </is>
      </c>
      <c r="K387" s="43" t="inlineStr">
        <is>
          <t>-</t>
        </is>
      </c>
      <c r="L387" s="43" t="inlineStr">
        <is>
          <t>-</t>
        </is>
      </c>
      <c r="M387" s="43" t="inlineStr">
        <is>
          <t>400 'Giới tính không hợp lệ'</t>
        </is>
      </c>
      <c r="N387" s="43" t="inlineStr">
        <is>
          <t>-</t>
        </is>
      </c>
      <c r="O387" s="40" t="inlineStr">
        <is>
          <t>Medium</t>
        </is>
      </c>
      <c r="P387" s="43" t="inlineStr">
        <is>
          <t>Đạt như expected. Thời gian: 82ms</t>
        </is>
      </c>
      <c r="Q387" s="40" t="inlineStr">
        <is>
          <t>Đạt</t>
        </is>
      </c>
      <c r="R387" s="40" t="inlineStr"/>
      <c r="S387" s="40" t="inlineStr">
        <is>
          <t>23/05/2026 19:06</t>
        </is>
      </c>
      <c r="T387" s="43" t="inlineStr">
        <is>
          <t>R1:Đạt</t>
        </is>
      </c>
      <c r="U387" s="40" t="inlineStr"/>
      <c r="V387" s="43" t="inlineStr"/>
    </row>
    <row r="388" ht="80" customHeight="1">
      <c r="A388" s="40" t="inlineStr">
        <is>
          <t>TC-385</t>
        </is>
      </c>
      <c r="B388" s="41" t="inlineStr">
        <is>
          <t>GREEN</t>
        </is>
      </c>
      <c r="C388" s="44" t="inlineStr">
        <is>
          <t>P1</t>
        </is>
      </c>
      <c r="D388" s="43" t="inlineStr">
        <is>
          <t>Subjects</t>
        </is>
      </c>
      <c r="E388" s="43" t="inlineStr">
        <is>
          <t>gender bỏ trống → default MALE</t>
        </is>
      </c>
      <c r="F388" s="40" t="inlineStr">
        <is>
          <t>REQ-CASE-SUBJECTS-385</t>
        </is>
      </c>
      <c r="G388" s="40" t="inlineStr">
        <is>
          <t>Use case testing</t>
        </is>
      </c>
      <c r="H388" s="40" t="inlineStr">
        <is>
          <t>TB</t>
        </is>
      </c>
      <c r="I388" s="43" t="inlineStr">
        <is>
          <t>1. User đã login
2. Token JWT hợp lệ</t>
        </is>
      </c>
      <c r="J388" s="43" t="inlineStr">
        <is>
          <t>POST không kèm gender</t>
        </is>
      </c>
      <c r="K388" s="43" t="inlineStr">
        <is>
          <t>-</t>
        </is>
      </c>
      <c r="L388" s="43" t="inlineStr">
        <is>
          <t>-</t>
        </is>
      </c>
      <c r="M388" s="43" t="inlineStr">
        <is>
          <t>201, data.gender='MALE'</t>
        </is>
      </c>
      <c r="N388" s="43" t="inlineStr">
        <is>
          <t>-</t>
        </is>
      </c>
      <c r="O388" s="40" t="inlineStr">
        <is>
          <t>Medium</t>
        </is>
      </c>
      <c r="P388" s="43" t="inlineStr">
        <is>
          <t>Thời gian: 113ms</t>
        </is>
      </c>
      <c r="Q388" s="40" t="inlineStr">
        <is>
          <t>Không đạt</t>
        </is>
      </c>
      <c r="R388" s="40" t="inlineStr">
        <is>
          <t>BUG-400</t>
        </is>
      </c>
      <c r="S388" s="40" t="inlineStr">
        <is>
          <t>23/05/2026 19:06</t>
        </is>
      </c>
      <c r="T388" s="43" t="inlineStr">
        <is>
          <t>R1:Không đạt</t>
        </is>
      </c>
      <c r="U388" s="40" t="inlineStr"/>
      <c r="V388" s="43" t="inlineStr"/>
    </row>
    <row r="389" ht="80" customHeight="1">
      <c r="A389" s="40" t="inlineStr">
        <is>
          <t>TC-386</t>
        </is>
      </c>
      <c r="B389" s="41" t="inlineStr">
        <is>
          <t>GREEN</t>
        </is>
      </c>
      <c r="C389" s="44" t="inlineStr">
        <is>
          <t>P1</t>
        </is>
      </c>
      <c r="D389" s="43" t="inlineStr">
        <is>
          <t>Subjects</t>
        </is>
      </c>
      <c r="E389" s="43" t="inlineStr">
        <is>
          <t>type=VICTIM (Bị hại) — không phải SUSPECT default</t>
        </is>
      </c>
      <c r="F389" s="40" t="inlineStr">
        <is>
          <t>REQ-CASE-SUBJECTS-386</t>
        </is>
      </c>
      <c r="G389" s="40" t="inlineStr">
        <is>
          <t>Use case testing</t>
        </is>
      </c>
      <c r="H389" s="40" t="inlineStr">
        <is>
          <t>TB</t>
        </is>
      </c>
      <c r="I389" s="43" t="inlineStr">
        <is>
          <t>1. User đã login
2. Token JWT hợp lệ</t>
        </is>
      </c>
      <c r="J389" s="43" t="inlineStr">
        <is>
          <t>POST type='VICTIM'</t>
        </is>
      </c>
      <c r="K389" s="43" t="inlineStr">
        <is>
          <t>-</t>
        </is>
      </c>
      <c r="L389" s="43" t="inlineStr">
        <is>
          <t>Detail show 'Bị hại'</t>
        </is>
      </c>
      <c r="M389" s="43" t="inlineStr">
        <is>
          <t>201</t>
        </is>
      </c>
      <c r="N389" s="43" t="inlineStr">
        <is>
          <t>-</t>
        </is>
      </c>
      <c r="O389" s="40" t="inlineStr">
        <is>
          <t>High</t>
        </is>
      </c>
      <c r="P389" s="43" t="inlineStr">
        <is>
          <t>Thời gian: 168ms</t>
        </is>
      </c>
      <c r="Q389" s="40" t="inlineStr">
        <is>
          <t>Không đạt</t>
        </is>
      </c>
      <c r="R389" s="40" t="inlineStr">
        <is>
          <t>BUG-401</t>
        </is>
      </c>
      <c r="S389" s="40" t="inlineStr">
        <is>
          <t>23/05/2026 19:06</t>
        </is>
      </c>
      <c r="T389" s="43" t="inlineStr">
        <is>
          <t>R1:Không đạt</t>
        </is>
      </c>
      <c r="U389" s="40" t="inlineStr"/>
      <c r="V389" s="43" t="inlineStr"/>
    </row>
    <row r="390" ht="80" customHeight="1">
      <c r="A390" s="40" t="inlineStr">
        <is>
          <t>TC-387</t>
        </is>
      </c>
      <c r="B390" s="41" t="inlineStr">
        <is>
          <t>GREEN</t>
        </is>
      </c>
      <c r="C390" s="44" t="inlineStr">
        <is>
          <t>P1</t>
        </is>
      </c>
      <c r="D390" s="43" t="inlineStr">
        <is>
          <t>Subjects</t>
        </is>
      </c>
      <c r="E390" s="43" t="inlineStr">
        <is>
          <t>type=WITNESS (Nhân chứng)</t>
        </is>
      </c>
      <c r="F390" s="40" t="inlineStr">
        <is>
          <t>REQ-CASE-SUBJECTS-387</t>
        </is>
      </c>
      <c r="G390" s="40" t="inlineStr">
        <is>
          <t>Use case testing</t>
        </is>
      </c>
      <c r="H390" s="40" t="inlineStr">
        <is>
          <t>TB</t>
        </is>
      </c>
      <c r="I390" s="43" t="inlineStr">
        <is>
          <t>1. User đã login
2. Token JWT hợp lệ</t>
        </is>
      </c>
      <c r="J390" s="43" t="inlineStr">
        <is>
          <t>POST type='WITNESS'</t>
        </is>
      </c>
      <c r="K390" s="43" t="inlineStr">
        <is>
          <t>-</t>
        </is>
      </c>
      <c r="L390" s="43" t="inlineStr">
        <is>
          <t>-</t>
        </is>
      </c>
      <c r="M390" s="43" t="inlineStr">
        <is>
          <t>201</t>
        </is>
      </c>
      <c r="N390" s="43" t="inlineStr">
        <is>
          <t>-</t>
        </is>
      </c>
      <c r="O390" s="40" t="inlineStr">
        <is>
          <t>Medium</t>
        </is>
      </c>
      <c r="P390" s="43" t="inlineStr">
        <is>
          <t>Thời gian: 159ms</t>
        </is>
      </c>
      <c r="Q390" s="40" t="inlineStr">
        <is>
          <t>Không đạt</t>
        </is>
      </c>
      <c r="R390" s="40" t="inlineStr">
        <is>
          <t>BUG-402</t>
        </is>
      </c>
      <c r="S390" s="40" t="inlineStr">
        <is>
          <t>23/05/2026 19:06</t>
        </is>
      </c>
      <c r="T390" s="43" t="inlineStr">
        <is>
          <t>R1:Không đạt</t>
        </is>
      </c>
      <c r="U390" s="40" t="inlineStr"/>
      <c r="V390" s="43" t="inlineStr"/>
    </row>
    <row r="391" ht="80" customHeight="1">
      <c r="A391" s="40" t="inlineStr">
        <is>
          <t>TC-388</t>
        </is>
      </c>
      <c r="B391" s="45" t="inlineStr">
        <is>
          <t>RED</t>
        </is>
      </c>
      <c r="C391" s="44" t="inlineStr">
        <is>
          <t>P1</t>
        </is>
      </c>
      <c r="D391" s="43" t="inlineStr">
        <is>
          <t>Subjects</t>
        </is>
      </c>
      <c r="E391" s="43" t="inlineStr">
        <is>
          <t>type='INVALID' → 400</t>
        </is>
      </c>
      <c r="F391" s="40" t="inlineStr">
        <is>
          <t>REQ-CASE-SUBJECTS-388</t>
        </is>
      </c>
      <c r="G391" s="40" t="inlineStr">
        <is>
          <t>Use case testing</t>
        </is>
      </c>
      <c r="H391" s="40" t="inlineStr">
        <is>
          <t>TB</t>
        </is>
      </c>
      <c r="I391" s="43" t="inlineStr">
        <is>
          <t>1. User đã login
2. Token JWT hợp lệ</t>
        </is>
      </c>
      <c r="J391" s="43" t="inlineStr">
        <is>
          <t>POST type='INVALID'</t>
        </is>
      </c>
      <c r="K391" s="43" t="inlineStr">
        <is>
          <t>-</t>
        </is>
      </c>
      <c r="L391" s="43" t="inlineStr">
        <is>
          <t>-</t>
        </is>
      </c>
      <c r="M391" s="43" t="inlineStr">
        <is>
          <t>400</t>
        </is>
      </c>
      <c r="N391" s="43" t="inlineStr">
        <is>
          <t>-</t>
        </is>
      </c>
      <c r="O391" s="40" t="inlineStr">
        <is>
          <t>Medium</t>
        </is>
      </c>
      <c r="P391" s="43" t="inlineStr">
        <is>
          <t>Thời gian: 138ms</t>
        </is>
      </c>
      <c r="Q391" s="40" t="inlineStr">
        <is>
          <t>Không đạt</t>
        </is>
      </c>
      <c r="R391" s="40" t="inlineStr">
        <is>
          <t>BUG-403</t>
        </is>
      </c>
      <c r="S391" s="40" t="inlineStr">
        <is>
          <t>23/05/2026 19:06</t>
        </is>
      </c>
      <c r="T391" s="43" t="inlineStr">
        <is>
          <t>R1:Không đạt</t>
        </is>
      </c>
      <c r="U391" s="40" t="inlineStr"/>
      <c r="V391" s="43" t="inlineStr"/>
    </row>
    <row r="392" ht="80" customHeight="1">
      <c r="A392" s="40" t="inlineStr">
        <is>
          <t>TC-389</t>
        </is>
      </c>
      <c r="B392" s="41" t="inlineStr">
        <is>
          <t>GREEN</t>
        </is>
      </c>
      <c r="C392" s="44" t="inlineStr">
        <is>
          <t>P1</t>
        </is>
      </c>
      <c r="D392" s="43" t="inlineStr">
        <is>
          <t>Subjects</t>
        </is>
      </c>
      <c r="E392" s="43" t="inlineStr">
        <is>
          <t>status=DETAINED (Đang tạm giam)</t>
        </is>
      </c>
      <c r="F392" s="40" t="inlineStr">
        <is>
          <t>REQ-CASE-SUBJECTS-389</t>
        </is>
      </c>
      <c r="G392" s="40" t="inlineStr">
        <is>
          <t>Use case testing</t>
        </is>
      </c>
      <c r="H392" s="40" t="inlineStr">
        <is>
          <t>TB</t>
        </is>
      </c>
      <c r="I392" s="43" t="inlineStr">
        <is>
          <t>1. User đã login
2. Token JWT hợp lệ</t>
        </is>
      </c>
      <c r="J392" s="43" t="inlineStr">
        <is>
          <t>POST status='DETAINED'</t>
        </is>
      </c>
      <c r="K392" s="43" t="inlineStr">
        <is>
          <t>-</t>
        </is>
      </c>
      <c r="L392" s="43" t="inlineStr">
        <is>
          <t>Badge 'Đang tạm giam'</t>
        </is>
      </c>
      <c r="M392" s="43" t="inlineStr">
        <is>
          <t>201</t>
        </is>
      </c>
      <c r="N392" s="43" t="inlineStr">
        <is>
          <t>-</t>
        </is>
      </c>
      <c r="O392" s="40" t="inlineStr">
        <is>
          <t>High</t>
        </is>
      </c>
      <c r="P392" s="43" t="inlineStr">
        <is>
          <t>Thời gian: 123ms</t>
        </is>
      </c>
      <c r="Q392" s="40" t="inlineStr">
        <is>
          <t>Không đạt</t>
        </is>
      </c>
      <c r="R392" s="40" t="inlineStr">
        <is>
          <t>BUG-404</t>
        </is>
      </c>
      <c r="S392" s="40" t="inlineStr">
        <is>
          <t>23/05/2026 19:06</t>
        </is>
      </c>
      <c r="T392" s="43" t="inlineStr">
        <is>
          <t>R1:Không đạt</t>
        </is>
      </c>
      <c r="U392" s="40" t="inlineStr"/>
      <c r="V392" s="43" t="inlineStr"/>
    </row>
    <row r="393" ht="80" customHeight="1">
      <c r="A393" s="40" t="inlineStr">
        <is>
          <t>TC-390</t>
        </is>
      </c>
      <c r="B393" s="41" t="inlineStr">
        <is>
          <t>GREEN</t>
        </is>
      </c>
      <c r="C393" s="44" t="inlineStr">
        <is>
          <t>P1</t>
        </is>
      </c>
      <c r="D393" s="43" t="inlineStr">
        <is>
          <t>Subjects</t>
        </is>
      </c>
      <c r="E393" s="43" t="inlineStr">
        <is>
          <t>status=RELEASED khi đã thả</t>
        </is>
      </c>
      <c r="F393" s="40" t="inlineStr">
        <is>
          <t>REQ-CASE-SUBJECTS-390</t>
        </is>
      </c>
      <c r="G393" s="40" t="inlineStr">
        <is>
          <t>Use case testing</t>
        </is>
      </c>
      <c r="H393" s="40" t="inlineStr">
        <is>
          <t>TB</t>
        </is>
      </c>
      <c r="I393" s="43" t="inlineStr">
        <is>
          <t>1. User đã login
2. Token JWT hợp lệ</t>
        </is>
      </c>
      <c r="J393" s="43" t="inlineStr">
        <is>
          <t>PUT subject {status:'RELEASED'}</t>
        </is>
      </c>
      <c r="K393" s="43" t="inlineStr">
        <is>
          <t>-</t>
        </is>
      </c>
      <c r="L393" s="43" t="inlineStr">
        <is>
          <t>Badge update</t>
        </is>
      </c>
      <c r="M393" s="43" t="inlineStr">
        <is>
          <t>200</t>
        </is>
      </c>
      <c r="N393" s="43" t="inlineStr">
        <is>
          <t>-</t>
        </is>
      </c>
      <c r="O393" s="40" t="inlineStr">
        <is>
          <t>Medium</t>
        </is>
      </c>
      <c r="P393" s="43" t="inlineStr">
        <is>
          <t>Thời gian: 123ms</t>
        </is>
      </c>
      <c r="Q393" s="40" t="inlineStr">
        <is>
          <t>Không đạt</t>
        </is>
      </c>
      <c r="R393" s="40" t="inlineStr">
        <is>
          <t>BUG-405</t>
        </is>
      </c>
      <c r="S393" s="40" t="inlineStr">
        <is>
          <t>23/05/2026 19:06</t>
        </is>
      </c>
      <c r="T393" s="43" t="inlineStr">
        <is>
          <t>R1:Không đạt</t>
        </is>
      </c>
      <c r="U393" s="40" t="inlineStr"/>
      <c r="V393" s="43" t="inlineStr"/>
    </row>
    <row r="394" ht="80" customHeight="1">
      <c r="A394" s="40" t="inlineStr">
        <is>
          <t>TC-391</t>
        </is>
      </c>
      <c r="B394" s="41" t="inlineStr">
        <is>
          <t>GREEN</t>
        </is>
      </c>
      <c r="C394" s="44" t="inlineStr">
        <is>
          <t>P1</t>
        </is>
      </c>
      <c r="D394" s="43" t="inlineStr">
        <is>
          <t>Subjects</t>
        </is>
      </c>
      <c r="E394" s="43" t="inlineStr">
        <is>
          <t>status=WANTED (Truy nã)</t>
        </is>
      </c>
      <c r="F394" s="40" t="inlineStr">
        <is>
          <t>REQ-CASE-SUBJECTS-391</t>
        </is>
      </c>
      <c r="G394" s="40" t="inlineStr">
        <is>
          <t>Use case testing</t>
        </is>
      </c>
      <c r="H394" s="40" t="inlineStr">
        <is>
          <t>TB</t>
        </is>
      </c>
      <c r="I394" s="43" t="inlineStr">
        <is>
          <t>1. User đã login
2. Token JWT hợp lệ</t>
        </is>
      </c>
      <c r="J394" s="43" t="inlineStr">
        <is>
          <t>PUT status='WANTED'</t>
        </is>
      </c>
      <c r="K394" s="43" t="inlineStr">
        <is>
          <t>-</t>
        </is>
      </c>
      <c r="L394" s="43" t="inlineStr">
        <is>
          <t>Badge đỏ 'Truy nã'</t>
        </is>
      </c>
      <c r="M394" s="43" t="inlineStr">
        <is>
          <t>200</t>
        </is>
      </c>
      <c r="N394" s="43" t="inlineStr">
        <is>
          <t>-</t>
        </is>
      </c>
      <c r="O394" s="40" t="inlineStr">
        <is>
          <t>High</t>
        </is>
      </c>
      <c r="P394" s="43" t="inlineStr">
        <is>
          <t>Thời gian: 158ms</t>
        </is>
      </c>
      <c r="Q394" s="40" t="inlineStr">
        <is>
          <t>Không đạt</t>
        </is>
      </c>
      <c r="R394" s="40" t="inlineStr">
        <is>
          <t>BUG-406</t>
        </is>
      </c>
      <c r="S394" s="40" t="inlineStr">
        <is>
          <t>23/05/2026 19:06</t>
        </is>
      </c>
      <c r="T394" s="43" t="inlineStr">
        <is>
          <t>R1:Không đạt</t>
        </is>
      </c>
      <c r="U394" s="40" t="inlineStr"/>
      <c r="V394" s="43" t="inlineStr"/>
    </row>
    <row r="395" ht="80" customHeight="1">
      <c r="A395" s="40" t="inlineStr">
        <is>
          <t>TC-392</t>
        </is>
      </c>
      <c r="B395" s="41" t="inlineStr">
        <is>
          <t>GREEN</t>
        </is>
      </c>
      <c r="C395" s="42" t="inlineStr">
        <is>
          <t>P0</t>
        </is>
      </c>
      <c r="D395" s="43" t="inlineStr">
        <is>
          <t>Subjects</t>
        </is>
      </c>
      <c r="E395" s="43" t="inlineStr">
        <is>
          <t>GET /subjects?caseId=C001 trả subjects của Case</t>
        </is>
      </c>
      <c r="F395" s="40" t="inlineStr">
        <is>
          <t>REQ-CASE-SUBJECTS-392</t>
        </is>
      </c>
      <c r="G395" s="40" t="inlineStr">
        <is>
          <t>Use case testing</t>
        </is>
      </c>
      <c r="H395" s="40" t="inlineStr">
        <is>
          <t>Cao</t>
        </is>
      </c>
      <c r="I395" s="43" t="inlineStr">
        <is>
          <t>C001 có 3 subjects</t>
        </is>
      </c>
      <c r="J395" s="43" t="inlineStr">
        <is>
          <t>GET ?caseId=C001</t>
        </is>
      </c>
      <c r="K395" s="43" t="inlineStr">
        <is>
          <t>-</t>
        </is>
      </c>
      <c r="L395" s="43" t="inlineStr">
        <is>
          <t>Table 3 row</t>
        </is>
      </c>
      <c r="M395" s="43" t="inlineStr">
        <is>
          <t>200 data=[3 items]</t>
        </is>
      </c>
      <c r="N395" s="43" t="inlineStr">
        <is>
          <t>-</t>
        </is>
      </c>
      <c r="O395" s="40" t="inlineStr">
        <is>
          <t>High</t>
        </is>
      </c>
      <c r="P395" s="43" t="inlineStr">
        <is>
          <t>Thời gian: 143ms</t>
        </is>
      </c>
      <c r="Q395" s="40" t="inlineStr">
        <is>
          <t>Không đạt</t>
        </is>
      </c>
      <c r="R395" s="40" t="inlineStr">
        <is>
          <t>BUG-407</t>
        </is>
      </c>
      <c r="S395" s="40" t="inlineStr">
        <is>
          <t>23/05/2026 19:06</t>
        </is>
      </c>
      <c r="T395" s="43" t="inlineStr">
        <is>
          <t>R1:Không đạt</t>
        </is>
      </c>
      <c r="U395" s="40" t="inlineStr"/>
      <c r="V395" s="43" t="inlineStr"/>
    </row>
    <row r="396" ht="80" customHeight="1">
      <c r="A396" s="40" t="inlineStr">
        <is>
          <t>TC-393</t>
        </is>
      </c>
      <c r="B396" s="41" t="inlineStr">
        <is>
          <t>GREEN</t>
        </is>
      </c>
      <c r="C396" s="42" t="inlineStr">
        <is>
          <t>P0</t>
        </is>
      </c>
      <c r="D396" s="43" t="inlineStr">
        <is>
          <t>Subjects</t>
        </is>
      </c>
      <c r="E396" s="43" t="inlineStr">
        <is>
          <t>GET /subjects/:id detail include lawyers liên kết</t>
        </is>
      </c>
      <c r="F396" s="40" t="inlineStr">
        <is>
          <t>REQ-CASE-SUBJECTS-393</t>
        </is>
      </c>
      <c r="G396" s="40" t="inlineStr">
        <is>
          <t>Use case testing</t>
        </is>
      </c>
      <c r="H396" s="40" t="inlineStr">
        <is>
          <t>Cao</t>
        </is>
      </c>
      <c r="I396" s="43" t="inlineStr">
        <is>
          <t>1. User đã login
2. Token JWT hợp lệ</t>
        </is>
      </c>
      <c r="J396" s="43" t="inlineStr">
        <is>
          <t>GET /subjects/S001</t>
        </is>
      </c>
      <c r="K396" s="43" t="inlineStr">
        <is>
          <t>-</t>
        </is>
      </c>
      <c r="L396" s="43" t="inlineStr">
        <is>
          <t>Detail show lawyers tab</t>
        </is>
      </c>
      <c r="M396" s="43" t="inlineStr">
        <is>
          <t>200 data.lawyers=[...]</t>
        </is>
      </c>
      <c r="N396" s="43" t="inlineStr">
        <is>
          <t>-</t>
        </is>
      </c>
      <c r="O396" s="40" t="inlineStr">
        <is>
          <t>High</t>
        </is>
      </c>
      <c r="P396" s="43" t="inlineStr">
        <is>
          <t>Thời gian: 170ms</t>
        </is>
      </c>
      <c r="Q396" s="40" t="inlineStr">
        <is>
          <t>Không đạt</t>
        </is>
      </c>
      <c r="R396" s="40" t="inlineStr">
        <is>
          <t>BUG-408</t>
        </is>
      </c>
      <c r="S396" s="40" t="inlineStr">
        <is>
          <t>23/05/2026 19:06</t>
        </is>
      </c>
      <c r="T396" s="43" t="inlineStr">
        <is>
          <t>R1:Không đạt</t>
        </is>
      </c>
      <c r="U396" s="40" t="inlineStr"/>
      <c r="V396" s="43" t="inlineStr"/>
    </row>
    <row r="397" ht="80" customHeight="1">
      <c r="A397" s="40" t="inlineStr">
        <is>
          <t>TC-394</t>
        </is>
      </c>
      <c r="B397" s="45" t="inlineStr">
        <is>
          <t>RED</t>
        </is>
      </c>
      <c r="C397" s="42" t="inlineStr">
        <is>
          <t>P0</t>
        </is>
      </c>
      <c r="D397" s="43" t="inlineStr">
        <is>
          <t>Subjects</t>
        </is>
      </c>
      <c r="E397" s="43" t="inlineStr">
        <is>
          <t>GET /subjects/:id Subject ngoài scope → 403</t>
        </is>
      </c>
      <c r="F397" s="40" t="inlineStr">
        <is>
          <t>REQ-CASE-SUBJECTS-394</t>
        </is>
      </c>
      <c r="G397" s="40" t="inlineStr">
        <is>
          <t>Use case testing</t>
        </is>
      </c>
      <c r="H397" s="40" t="inlineStr">
        <is>
          <t>Cao</t>
        </is>
      </c>
      <c r="I397" s="43" t="inlineStr">
        <is>
          <t>User Q1, Subject thuộc Case Q3</t>
        </is>
      </c>
      <c r="J397" s="43" t="inlineStr">
        <is>
          <t>GET</t>
        </is>
      </c>
      <c r="K397" s="43" t="inlineStr">
        <is>
          <t>-</t>
        </is>
      </c>
      <c r="L397" s="43" t="inlineStr">
        <is>
          <t>-</t>
        </is>
      </c>
      <c r="M397" s="43" t="inlineStr">
        <is>
          <t>403</t>
        </is>
      </c>
      <c r="N397" s="43" t="inlineStr">
        <is>
          <t>-</t>
        </is>
      </c>
      <c r="O397" s="40" t="inlineStr">
        <is>
          <t>Critical</t>
        </is>
      </c>
      <c r="P397" s="43" t="inlineStr">
        <is>
          <t>Thời gian: 206ms</t>
        </is>
      </c>
      <c r="Q397" s="40" t="inlineStr">
        <is>
          <t>Không đạt</t>
        </is>
      </c>
      <c r="R397" s="40" t="inlineStr">
        <is>
          <t>BUG-409</t>
        </is>
      </c>
      <c r="S397" s="40" t="inlineStr">
        <is>
          <t>23/05/2026 19:06</t>
        </is>
      </c>
      <c r="T397" s="43" t="inlineStr">
        <is>
          <t>R1:Không đạt</t>
        </is>
      </c>
      <c r="U397" s="40" t="inlineStr"/>
      <c r="V397" s="43" t="inlineStr"/>
    </row>
    <row r="398" ht="80" customHeight="1">
      <c r="A398" s="40" t="inlineStr">
        <is>
          <t>TC-395</t>
        </is>
      </c>
      <c r="B398" s="45" t="inlineStr">
        <is>
          <t>RED</t>
        </is>
      </c>
      <c r="C398" s="42" t="inlineStr">
        <is>
          <t>P0</t>
        </is>
      </c>
      <c r="D398" s="43" t="inlineStr">
        <is>
          <t>Subjects</t>
        </is>
      </c>
      <c r="E398" s="43" t="inlineStr">
        <is>
          <t>GET /subjects/NOT_EXIST → 404</t>
        </is>
      </c>
      <c r="F398" s="40" t="inlineStr">
        <is>
          <t>REQ-CASE-SUBJECTS-395</t>
        </is>
      </c>
      <c r="G398" s="40" t="inlineStr">
        <is>
          <t>Use case testing</t>
        </is>
      </c>
      <c r="H398" s="40" t="inlineStr">
        <is>
          <t>Cao</t>
        </is>
      </c>
      <c r="I398" s="43" t="inlineStr">
        <is>
          <t>1. User đã login
2. Token JWT hợp lệ</t>
        </is>
      </c>
      <c r="J398" s="43" t="inlineStr">
        <is>
          <t>GET</t>
        </is>
      </c>
      <c r="K398" s="43" t="inlineStr">
        <is>
          <t>-</t>
        </is>
      </c>
      <c r="L398" s="43" t="inlineStr">
        <is>
          <t>-</t>
        </is>
      </c>
      <c r="M398" s="43" t="inlineStr">
        <is>
          <t>404</t>
        </is>
      </c>
      <c r="N398" s="43" t="inlineStr">
        <is>
          <t>-</t>
        </is>
      </c>
      <c r="O398" s="40" t="inlineStr">
        <is>
          <t>High</t>
        </is>
      </c>
      <c r="P398" s="43" t="inlineStr">
        <is>
          <t>Thời gian: 198ms</t>
        </is>
      </c>
      <c r="Q398" s="40" t="inlineStr">
        <is>
          <t>Không đạt</t>
        </is>
      </c>
      <c r="R398" s="40" t="inlineStr">
        <is>
          <t>BUG-410</t>
        </is>
      </c>
      <c r="S398" s="40" t="inlineStr">
        <is>
          <t>23/05/2026 19:06</t>
        </is>
      </c>
      <c r="T398" s="43" t="inlineStr">
        <is>
          <t>R1:Không đạt</t>
        </is>
      </c>
      <c r="U398" s="40" t="inlineStr"/>
      <c r="V398" s="43" t="inlineStr"/>
    </row>
    <row r="399" ht="80" customHeight="1">
      <c r="A399" s="40" t="inlineStr">
        <is>
          <t>TC-396</t>
        </is>
      </c>
      <c r="B399" s="41" t="inlineStr">
        <is>
          <t>GREEN</t>
        </is>
      </c>
      <c r="C399" s="42" t="inlineStr">
        <is>
          <t>P0</t>
        </is>
      </c>
      <c r="D399" s="43" t="inlineStr">
        <is>
          <t>Subjects</t>
        </is>
      </c>
      <c r="E399" s="43" t="inlineStr">
        <is>
          <t>PUT update fullName của Subject</t>
        </is>
      </c>
      <c r="F399" s="40" t="inlineStr">
        <is>
          <t>REQ-CASE-SUBJECTS-396</t>
        </is>
      </c>
      <c r="G399" s="40" t="inlineStr">
        <is>
          <t>Use case testing</t>
        </is>
      </c>
      <c r="H399" s="40" t="inlineStr">
        <is>
          <t>Cao</t>
        </is>
      </c>
      <c r="I399" s="43" t="inlineStr">
        <is>
          <t>1. User đã login
2. Token JWT hợp lệ</t>
        </is>
      </c>
      <c r="J399" s="43" t="inlineStr">
        <is>
          <t>PUT /subjects/S001 {fullName:'Tên đã sửa'}</t>
        </is>
      </c>
      <c r="K399" s="43" t="inlineStr">
        <is>
          <t>-</t>
        </is>
      </c>
      <c r="L399" s="43" t="inlineStr">
        <is>
          <t>Toast success</t>
        </is>
      </c>
      <c r="M399" s="43" t="inlineStr">
        <is>
          <t>200</t>
        </is>
      </c>
      <c r="N399" s="43" t="inlineStr">
        <is>
          <t>Audit SUBJECT_UPDATED diff</t>
        </is>
      </c>
      <c r="O399" s="40" t="inlineStr">
        <is>
          <t>High</t>
        </is>
      </c>
      <c r="P399" s="43" t="inlineStr">
        <is>
          <t>Thời gian: 127ms</t>
        </is>
      </c>
      <c r="Q399" s="40" t="inlineStr">
        <is>
          <t>Không đạt</t>
        </is>
      </c>
      <c r="R399" s="40" t="inlineStr">
        <is>
          <t>BUG-411</t>
        </is>
      </c>
      <c r="S399" s="40" t="inlineStr">
        <is>
          <t>23/05/2026 19:06</t>
        </is>
      </c>
      <c r="T399" s="43" t="inlineStr">
        <is>
          <t>R1:Không đạt</t>
        </is>
      </c>
      <c r="U399" s="40" t="inlineStr"/>
      <c r="V399" s="43" t="inlineStr"/>
    </row>
    <row r="400" ht="80" customHeight="1">
      <c r="A400" s="40" t="inlineStr">
        <is>
          <t>TC-397</t>
        </is>
      </c>
      <c r="B400" s="45" t="inlineStr">
        <is>
          <t>RED</t>
        </is>
      </c>
      <c r="C400" s="42" t="inlineStr">
        <is>
          <t>P0</t>
        </is>
      </c>
      <c r="D400" s="43" t="inlineStr">
        <is>
          <t>Subjects</t>
        </is>
      </c>
      <c r="E400" s="43" t="inlineStr">
        <is>
          <t>PUT Subject ngoài write scope → 403</t>
        </is>
      </c>
      <c r="F400" s="40" t="inlineStr">
        <is>
          <t>REQ-CASE-SUBJECTS-397</t>
        </is>
      </c>
      <c r="G400" s="40" t="inlineStr">
        <is>
          <t>Use case testing</t>
        </is>
      </c>
      <c r="H400" s="40" t="inlineStr">
        <is>
          <t>Cao</t>
        </is>
      </c>
      <c r="I400" s="43" t="inlineStr">
        <is>
          <t>1. User đã login
2. Token JWT hợp lệ</t>
        </is>
      </c>
      <c r="J400" s="43" t="inlineStr">
        <is>
          <t>PUT subject của case khác team</t>
        </is>
      </c>
      <c r="K400" s="43" t="inlineStr">
        <is>
          <t>-</t>
        </is>
      </c>
      <c r="L400" s="43" t="inlineStr">
        <is>
          <t>-</t>
        </is>
      </c>
      <c r="M400" s="43" t="inlineStr">
        <is>
          <t>403</t>
        </is>
      </c>
      <c r="N400" s="43" t="inlineStr">
        <is>
          <t>-</t>
        </is>
      </c>
      <c r="O400" s="40" t="inlineStr">
        <is>
          <t>Critical</t>
        </is>
      </c>
      <c r="P400" s="43" t="inlineStr">
        <is>
          <t>Thời gian: 125ms</t>
        </is>
      </c>
      <c r="Q400" s="40" t="inlineStr">
        <is>
          <t>Không đạt</t>
        </is>
      </c>
      <c r="R400" s="40" t="inlineStr">
        <is>
          <t>BUG-412</t>
        </is>
      </c>
      <c r="S400" s="40" t="inlineStr">
        <is>
          <t>23/05/2026 19:06</t>
        </is>
      </c>
      <c r="T400" s="43" t="inlineStr">
        <is>
          <t>R1:Không đạt</t>
        </is>
      </c>
      <c r="U400" s="40" t="inlineStr"/>
      <c r="V400" s="43" t="inlineStr"/>
    </row>
    <row r="401" ht="80" customHeight="1">
      <c r="A401" s="40" t="inlineStr">
        <is>
          <t>TC-398</t>
        </is>
      </c>
      <c r="B401" s="45" t="inlineStr">
        <is>
          <t>RED</t>
        </is>
      </c>
      <c r="C401" s="42" t="inlineStr">
        <is>
          <t>P0</t>
        </is>
      </c>
      <c r="D401" s="43" t="inlineStr">
        <is>
          <t>Subjects</t>
        </is>
      </c>
      <c r="E401" s="43" t="inlineStr">
        <is>
          <t>PUT Subject soft-deleted → 404</t>
        </is>
      </c>
      <c r="F401" s="40" t="inlineStr">
        <is>
          <t>REQ-CASE-SUBJECTS-398</t>
        </is>
      </c>
      <c r="G401" s="40" t="inlineStr">
        <is>
          <t>Use case testing</t>
        </is>
      </c>
      <c r="H401" s="40" t="inlineStr">
        <is>
          <t>Cao</t>
        </is>
      </c>
      <c r="I401" s="43" t="inlineStr">
        <is>
          <t>Subject deletedAt set</t>
        </is>
      </c>
      <c r="J401" s="43" t="inlineStr">
        <is>
          <t>PUT</t>
        </is>
      </c>
      <c r="K401" s="43" t="inlineStr">
        <is>
          <t>-</t>
        </is>
      </c>
      <c r="L401" s="43" t="inlineStr">
        <is>
          <t>-</t>
        </is>
      </c>
      <c r="M401" s="43" t="inlineStr">
        <is>
          <t>404</t>
        </is>
      </c>
      <c r="N401" s="43" t="inlineStr">
        <is>
          <t>-</t>
        </is>
      </c>
      <c r="O401" s="40" t="inlineStr">
        <is>
          <t>High</t>
        </is>
      </c>
      <c r="P401" s="43" t="inlineStr">
        <is>
          <t>Thời gian: 132ms</t>
        </is>
      </c>
      <c r="Q401" s="40" t="inlineStr">
        <is>
          <t>Không đạt</t>
        </is>
      </c>
      <c r="R401" s="40" t="inlineStr">
        <is>
          <t>BUG-413</t>
        </is>
      </c>
      <c r="S401" s="40" t="inlineStr">
        <is>
          <t>23/05/2026 19:06</t>
        </is>
      </c>
      <c r="T401" s="43" t="inlineStr">
        <is>
          <t>R1:Không đạt</t>
        </is>
      </c>
      <c r="U401" s="40" t="inlineStr"/>
      <c r="V401" s="43" t="inlineStr"/>
    </row>
    <row r="402" ht="80" customHeight="1">
      <c r="A402" s="40" t="inlineStr">
        <is>
          <t>TC-399</t>
        </is>
      </c>
      <c r="B402" s="41" t="inlineStr">
        <is>
          <t>GREEN</t>
        </is>
      </c>
      <c r="C402" s="42" t="inlineStr">
        <is>
          <t>P0</t>
        </is>
      </c>
      <c r="D402" s="43" t="inlineStr">
        <is>
          <t>Subjects</t>
        </is>
      </c>
      <c r="E402" s="43" t="inlineStr">
        <is>
          <t>DELETE Subject soft delete + Case.subjectsCount giảm</t>
        </is>
      </c>
      <c r="F402" s="40" t="inlineStr">
        <is>
          <t>REQ-CASE-SUBJECTS-399</t>
        </is>
      </c>
      <c r="G402" s="40" t="inlineStr">
        <is>
          <t>Use case testing</t>
        </is>
      </c>
      <c r="H402" s="40" t="inlineStr">
        <is>
          <t>Cao</t>
        </is>
      </c>
      <c r="I402" s="43" t="inlineStr">
        <is>
          <t>1. User đã login
2. Token JWT hợp lệ</t>
        </is>
      </c>
      <c r="J402" s="43" t="inlineStr">
        <is>
          <t>DELETE /subjects/S001</t>
        </is>
      </c>
      <c r="K402" s="43" t="inlineStr">
        <is>
          <t>-</t>
        </is>
      </c>
      <c r="L402" s="43" t="inlineStr">
        <is>
          <t>Toast 'Xóa đối tượng thành công', row mất khỏi list</t>
        </is>
      </c>
      <c r="M402" s="43" t="inlineStr">
        <is>
          <t>200</t>
        </is>
      </c>
      <c r="N402" s="43" t="inlineStr">
        <is>
          <t>subjects.deletedAt=now() + cases.subjectsCount-1 + audit</t>
        </is>
      </c>
      <c r="O402" s="40" t="inlineStr">
        <is>
          <t>Critical</t>
        </is>
      </c>
      <c r="P402" s="43" t="inlineStr">
        <is>
          <t>Thời gian: 174ms</t>
        </is>
      </c>
      <c r="Q402" s="40" t="inlineStr">
        <is>
          <t>Không đạt</t>
        </is>
      </c>
      <c r="R402" s="40" t="inlineStr">
        <is>
          <t>BUG-414</t>
        </is>
      </c>
      <c r="S402" s="40" t="inlineStr">
        <is>
          <t>23/05/2026 19:06</t>
        </is>
      </c>
      <c r="T402" s="43" t="inlineStr">
        <is>
          <t>R1:Không đạt</t>
        </is>
      </c>
      <c r="U402" s="40" t="inlineStr"/>
      <c r="V402" s="43" t="inlineStr"/>
    </row>
    <row r="403" ht="80" customHeight="1">
      <c r="A403" s="40" t="inlineStr">
        <is>
          <t>TC-400</t>
        </is>
      </c>
      <c r="B403" s="45" t="inlineStr">
        <is>
          <t>RED</t>
        </is>
      </c>
      <c r="C403" s="42" t="inlineStr">
        <is>
          <t>P0</t>
        </is>
      </c>
      <c r="D403" s="43" t="inlineStr">
        <is>
          <t>Subjects</t>
        </is>
      </c>
      <c r="E403" s="43" t="inlineStr">
        <is>
          <t>DELETE Subject ngoài scope → 403</t>
        </is>
      </c>
      <c r="F403" s="40" t="inlineStr">
        <is>
          <t>REQ-CASE-SUBJECTS-400</t>
        </is>
      </c>
      <c r="G403" s="40" t="inlineStr">
        <is>
          <t>Use case testing</t>
        </is>
      </c>
      <c r="H403" s="40" t="inlineStr">
        <is>
          <t>Cao</t>
        </is>
      </c>
      <c r="I403" s="43" t="inlineStr">
        <is>
          <t>1. User đã login
2. Token JWT hợp lệ</t>
        </is>
      </c>
      <c r="J403" s="43" t="inlineStr">
        <is>
          <t>DELETE</t>
        </is>
      </c>
      <c r="K403" s="43" t="inlineStr">
        <is>
          <t>-</t>
        </is>
      </c>
      <c r="L403" s="43" t="inlineStr">
        <is>
          <t>-</t>
        </is>
      </c>
      <c r="M403" s="43" t="inlineStr">
        <is>
          <t>403</t>
        </is>
      </c>
      <c r="N403" s="43" t="inlineStr">
        <is>
          <t>-</t>
        </is>
      </c>
      <c r="O403" s="40" t="inlineStr">
        <is>
          <t>Critical</t>
        </is>
      </c>
      <c r="P403" s="43" t="inlineStr">
        <is>
          <t>Thời gian: 110ms</t>
        </is>
      </c>
      <c r="Q403" s="40" t="inlineStr">
        <is>
          <t>Không đạt</t>
        </is>
      </c>
      <c r="R403" s="40" t="inlineStr">
        <is>
          <t>BUG-415</t>
        </is>
      </c>
      <c r="S403" s="40" t="inlineStr">
        <is>
          <t>23/05/2026 19:06</t>
        </is>
      </c>
      <c r="T403" s="43" t="inlineStr">
        <is>
          <t>R1:Không đạt</t>
        </is>
      </c>
      <c r="U403" s="40" t="inlineStr"/>
      <c r="V403" s="43" t="inlineStr"/>
    </row>
    <row r="404" ht="80" customHeight="1">
      <c r="A404" s="40" t="inlineStr">
        <is>
          <t>TC-401</t>
        </is>
      </c>
      <c r="B404" s="45" t="inlineStr">
        <is>
          <t>RED</t>
        </is>
      </c>
      <c r="C404" s="42" t="inlineStr">
        <is>
          <t>P0</t>
        </is>
      </c>
      <c r="D404" s="43" t="inlineStr">
        <is>
          <t>Subjects</t>
        </is>
      </c>
      <c r="E404" s="43" t="inlineStr">
        <is>
          <t>DELETE Subject không tồn tại → 404</t>
        </is>
      </c>
      <c r="F404" s="40" t="inlineStr">
        <is>
          <t>REQ-CASE-SUBJECTS-401</t>
        </is>
      </c>
      <c r="G404" s="40" t="inlineStr">
        <is>
          <t>Use case testing</t>
        </is>
      </c>
      <c r="H404" s="40" t="inlineStr">
        <is>
          <t>Cao</t>
        </is>
      </c>
      <c r="I404" s="43" t="inlineStr">
        <is>
          <t>1. User đã login
2. Token JWT hợp lệ</t>
        </is>
      </c>
      <c r="J404" s="43" t="inlineStr">
        <is>
          <t>DELETE</t>
        </is>
      </c>
      <c r="K404" s="43" t="inlineStr">
        <is>
          <t>-</t>
        </is>
      </c>
      <c r="L404" s="43" t="inlineStr">
        <is>
          <t>-</t>
        </is>
      </c>
      <c r="M404" s="43" t="inlineStr">
        <is>
          <t>404</t>
        </is>
      </c>
      <c r="N404" s="43" t="inlineStr">
        <is>
          <t>-</t>
        </is>
      </c>
      <c r="O404" s="40" t="inlineStr">
        <is>
          <t>High</t>
        </is>
      </c>
      <c r="P404" s="43" t="inlineStr">
        <is>
          <t>Thời gian: 115ms</t>
        </is>
      </c>
      <c r="Q404" s="40" t="inlineStr">
        <is>
          <t>Không đạt</t>
        </is>
      </c>
      <c r="R404" s="40" t="inlineStr">
        <is>
          <t>BUG-416</t>
        </is>
      </c>
      <c r="S404" s="40" t="inlineStr">
        <is>
          <t>23/05/2026 19:06</t>
        </is>
      </c>
      <c r="T404" s="43" t="inlineStr">
        <is>
          <t>R1:Không đạt</t>
        </is>
      </c>
      <c r="U404" s="40" t="inlineStr"/>
      <c r="V404" s="43" t="inlineStr"/>
    </row>
    <row r="405" ht="80" customHeight="1">
      <c r="A405" s="40" t="inlineStr">
        <is>
          <t>TC-402</t>
        </is>
      </c>
      <c r="B405" s="45" t="inlineStr">
        <is>
          <t>RED</t>
        </is>
      </c>
      <c r="C405" s="42" t="inlineStr">
        <is>
          <t>P0</t>
        </is>
      </c>
      <c r="D405" s="43" t="inlineStr">
        <is>
          <t>Subjects</t>
        </is>
      </c>
      <c r="E405" s="43" t="inlineStr">
        <is>
          <t>DELETE Subject đã soft-deleted (idempotent) → 404 hoặc 200</t>
        </is>
      </c>
      <c r="F405" s="40" t="inlineStr">
        <is>
          <t>REQ-CASE-SUBJECTS-402</t>
        </is>
      </c>
      <c r="G405" s="40" t="inlineStr">
        <is>
          <t>Use case testing</t>
        </is>
      </c>
      <c r="H405" s="40" t="inlineStr">
        <is>
          <t>Cao</t>
        </is>
      </c>
      <c r="I405" s="43" t="inlineStr">
        <is>
          <t>1. User đã login
2. Token JWT hợp lệ</t>
        </is>
      </c>
      <c r="J405" s="43" t="inlineStr">
        <is>
          <t>DELETE 2 lần</t>
        </is>
      </c>
      <c r="K405" s="43" t="inlineStr">
        <is>
          <t>-</t>
        </is>
      </c>
      <c r="L405" s="43" t="inlineStr">
        <is>
          <t>-</t>
        </is>
      </c>
      <c r="M405" s="43" t="inlineStr">
        <is>
          <t>Lần 2: 404</t>
        </is>
      </c>
      <c r="N405" s="43" t="inlineStr">
        <is>
          <t>-</t>
        </is>
      </c>
      <c r="O405" s="40" t="inlineStr">
        <is>
          <t>Medium</t>
        </is>
      </c>
      <c r="P405" s="43" t="inlineStr">
        <is>
          <t>Thời gian: 194ms</t>
        </is>
      </c>
      <c r="Q405" s="40" t="inlineStr">
        <is>
          <t>Không đạt</t>
        </is>
      </c>
      <c r="R405" s="40" t="inlineStr">
        <is>
          <t>BUG-417</t>
        </is>
      </c>
      <c r="S405" s="40" t="inlineStr">
        <is>
          <t>23/05/2026 19:06</t>
        </is>
      </c>
      <c r="T405" s="43" t="inlineStr">
        <is>
          <t>R1:Không đạt</t>
        </is>
      </c>
      <c r="U405" s="40" t="inlineStr"/>
      <c r="V405" s="43" t="inlineStr"/>
    </row>
    <row r="406" ht="80" customHeight="1">
      <c r="A406" s="40" t="inlineStr">
        <is>
          <t>TC-403</t>
        </is>
      </c>
      <c r="B406" s="47" t="inlineStr">
        <is>
          <t>SECURITY</t>
        </is>
      </c>
      <c r="C406" s="42" t="inlineStr">
        <is>
          <t>P0</t>
        </is>
      </c>
      <c r="D406" s="43" t="inlineStr">
        <is>
          <t>Subjects</t>
        </is>
      </c>
      <c r="E406" s="43" t="inlineStr">
        <is>
          <t>IDOR: POST subject với caseId của Case khác user → 403/400</t>
        </is>
      </c>
      <c r="F406" s="40" t="inlineStr">
        <is>
          <t>REQ-CASE-SUBJECTS-403</t>
        </is>
      </c>
      <c r="G406" s="40" t="inlineStr">
        <is>
          <t>Use case testing</t>
        </is>
      </c>
      <c r="H406" s="40" t="inlineStr">
        <is>
          <t>Cao</t>
        </is>
      </c>
      <c r="I406" s="43" t="inlineStr">
        <is>
          <t>1. User đã login
2. Token JWT hợp lệ</t>
        </is>
      </c>
      <c r="J406" s="43" t="inlineStr">
        <is>
          <t>dieuTra-Q1 POST subject với caseId thuộc Case-Q3</t>
        </is>
      </c>
      <c r="K406" s="43" t="inlineStr">
        <is>
          <t>caseId='CASE-Q3'</t>
        </is>
      </c>
      <c r="L406" s="43" t="inlineStr">
        <is>
          <t>-</t>
        </is>
      </c>
      <c r="M406" s="43" t="inlineStr">
        <is>
          <t>? — cần verify scope check</t>
        </is>
      </c>
      <c r="N406" s="43" t="inlineStr">
        <is>
          <t>Service phải check Case.assignedTeamId của caseId nằm trong writableTeamIds</t>
        </is>
      </c>
      <c r="O406" s="40" t="inlineStr">
        <is>
          <t>Critical</t>
        </is>
      </c>
      <c r="P406" s="43" t="inlineStr">
        <is>
          <t>Thời gian: 111ms</t>
        </is>
      </c>
      <c r="Q406" s="40" t="inlineStr">
        <is>
          <t>Không đạt</t>
        </is>
      </c>
      <c r="R406" s="40" t="inlineStr">
        <is>
          <t>BUG-418</t>
        </is>
      </c>
      <c r="S406" s="40" t="inlineStr">
        <is>
          <t>23/05/2026 19:06</t>
        </is>
      </c>
      <c r="T406" s="43" t="inlineStr">
        <is>
          <t>R1:Không đạt</t>
        </is>
      </c>
      <c r="U406" s="40" t="inlineStr"/>
      <c r="V406" s="43" t="inlineStr">
        <is>
          <t>Subject scope phụ thuộc Case parent scope</t>
        </is>
      </c>
    </row>
    <row r="407" ht="80" customHeight="1">
      <c r="A407" s="40" t="inlineStr">
        <is>
          <t>TC-404</t>
        </is>
      </c>
      <c r="B407" s="47" t="inlineStr">
        <is>
          <t>SECURITY</t>
        </is>
      </c>
      <c r="C407" s="42" t="inlineStr">
        <is>
          <t>P0</t>
        </is>
      </c>
      <c r="D407" s="43" t="inlineStr">
        <is>
          <t>Subjects</t>
        </is>
      </c>
      <c r="E407" s="43" t="inlineStr">
        <is>
          <t>XSS qua fullName='&lt;script&gt;alert(1)&lt;/script&gt;' → React escape</t>
        </is>
      </c>
      <c r="F407" s="40" t="inlineStr">
        <is>
          <t>REQ-CASE-SUBJECTS-404</t>
        </is>
      </c>
      <c r="G407" s="40" t="inlineStr">
        <is>
          <t>Use case testing</t>
        </is>
      </c>
      <c r="H407" s="40" t="inlineStr">
        <is>
          <t>Cao</t>
        </is>
      </c>
      <c r="I407" s="43" t="inlineStr">
        <is>
          <t>1. User đã login
2. Token JWT hợp lệ</t>
        </is>
      </c>
      <c r="J407" s="43" t="inlineStr">
        <is>
          <t>POST fullName='&lt;script&gt;alert(1)&lt;/script&gt;'</t>
        </is>
      </c>
      <c r="K407" s="43" t="inlineStr">
        <is>
          <t>-</t>
        </is>
      </c>
      <c r="L407" s="43" t="inlineStr">
        <is>
          <t>Hiển thị literal</t>
        </is>
      </c>
      <c r="M407" s="43" t="inlineStr">
        <is>
          <t>201</t>
        </is>
      </c>
      <c r="N407" s="43" t="inlineStr">
        <is>
          <t>-</t>
        </is>
      </c>
      <c r="O407" s="40" t="inlineStr">
        <is>
          <t>Critical</t>
        </is>
      </c>
      <c r="P407" s="43" t="inlineStr">
        <is>
          <t>Thời gian: 131ms</t>
        </is>
      </c>
      <c r="Q407" s="40" t="inlineStr">
        <is>
          <t>Không đạt</t>
        </is>
      </c>
      <c r="R407" s="40" t="inlineStr">
        <is>
          <t>BUG-419</t>
        </is>
      </c>
      <c r="S407" s="40" t="inlineStr">
        <is>
          <t>23/05/2026 19:06</t>
        </is>
      </c>
      <c r="T407" s="43" t="inlineStr">
        <is>
          <t>R1:Không đạt</t>
        </is>
      </c>
      <c r="U407" s="40" t="inlineStr"/>
      <c r="V407" s="43" t="inlineStr"/>
    </row>
    <row r="408" ht="80" customHeight="1">
      <c r="A408" s="40" t="inlineStr">
        <is>
          <t>TC-405</t>
        </is>
      </c>
      <c r="B408" s="47" t="inlineStr">
        <is>
          <t>SECURITY</t>
        </is>
      </c>
      <c r="C408" s="42" t="inlineStr">
        <is>
          <t>P0</t>
        </is>
      </c>
      <c r="D408" s="43" t="inlineStr">
        <is>
          <t>Subjects</t>
        </is>
      </c>
      <c r="E408" s="43" t="inlineStr">
        <is>
          <t>SQL injection qua idNumber bypass regex (impossible vì regex strict)</t>
        </is>
      </c>
      <c r="F408" s="40" t="inlineStr">
        <is>
          <t>REQ-CASE-SUBJECTS-405</t>
        </is>
      </c>
      <c r="G408" s="40" t="inlineStr">
        <is>
          <t>Use case testing</t>
        </is>
      </c>
      <c r="H408" s="40" t="inlineStr">
        <is>
          <t>Cao</t>
        </is>
      </c>
      <c r="I408" s="43" t="inlineStr">
        <is>
          <t>1. User đã login
2. Token JWT hợp lệ</t>
        </is>
      </c>
      <c r="J408" s="43" t="inlineStr">
        <is>
          <t>POST idNumber='123 OR 1=1'</t>
        </is>
      </c>
      <c r="K408" s="43" t="inlineStr">
        <is>
          <t>-</t>
        </is>
      </c>
      <c r="L408" s="43" t="inlineStr">
        <is>
          <t>-</t>
        </is>
      </c>
      <c r="M408" s="43" t="inlineStr">
        <is>
          <t>400 regex fail</t>
        </is>
      </c>
      <c r="N408" s="43" t="inlineStr">
        <is>
          <t>-</t>
        </is>
      </c>
      <c r="O408" s="40" t="inlineStr">
        <is>
          <t>High</t>
        </is>
      </c>
      <c r="P408" s="43" t="inlineStr">
        <is>
          <t>Thời gian: 157ms</t>
        </is>
      </c>
      <c r="Q408" s="40" t="inlineStr">
        <is>
          <t>Không đạt</t>
        </is>
      </c>
      <c r="R408" s="40" t="inlineStr">
        <is>
          <t>BUG-420</t>
        </is>
      </c>
      <c r="S408" s="40" t="inlineStr">
        <is>
          <t>23/05/2026 19:06</t>
        </is>
      </c>
      <c r="T408" s="43" t="inlineStr">
        <is>
          <t>R1:Không đạt</t>
        </is>
      </c>
      <c r="U408" s="40" t="inlineStr"/>
      <c r="V408" s="43" t="inlineStr"/>
    </row>
    <row r="409" ht="80" customHeight="1">
      <c r="A409" s="40" t="inlineStr">
        <is>
          <t>TC-406</t>
        </is>
      </c>
      <c r="B409" s="52" t="inlineStr">
        <is>
          <t>DATA</t>
        </is>
      </c>
      <c r="C409" s="44" t="inlineStr">
        <is>
          <t>P1</t>
        </is>
      </c>
      <c r="D409" s="43" t="inlineStr">
        <is>
          <t>Subjects</t>
        </is>
      </c>
      <c r="E409" s="43" t="inlineStr">
        <is>
          <t>fullName tiếng Việt có dấu 'Nguyễn Quỳnh Trâm'</t>
        </is>
      </c>
      <c r="F409" s="40" t="inlineStr">
        <is>
          <t>REQ-CASE-SUBJECTS-406</t>
        </is>
      </c>
      <c r="G409" s="40" t="inlineStr">
        <is>
          <t>Use case testing</t>
        </is>
      </c>
      <c r="H409" s="40" t="inlineStr">
        <is>
          <t>TB</t>
        </is>
      </c>
      <c r="I409" s="43" t="inlineStr">
        <is>
          <t>1. User đã login
2. Token JWT hợp lệ</t>
        </is>
      </c>
      <c r="J409" s="43" t="inlineStr">
        <is>
          <t>POST</t>
        </is>
      </c>
      <c r="K409" s="43" t="inlineStr">
        <is>
          <t>-</t>
        </is>
      </c>
      <c r="L409" s="43" t="inlineStr">
        <is>
          <t>Detail show đúng dấu</t>
        </is>
      </c>
      <c r="M409" s="43" t="inlineStr">
        <is>
          <t>201</t>
        </is>
      </c>
      <c r="N409" s="43" t="inlineStr">
        <is>
          <t>-</t>
        </is>
      </c>
      <c r="O409" s="40" t="inlineStr">
        <is>
          <t>Medium</t>
        </is>
      </c>
      <c r="P409" s="43" t="inlineStr">
        <is>
          <t>Thời gian: 171ms</t>
        </is>
      </c>
      <c r="Q409" s="40" t="inlineStr">
        <is>
          <t>Không đạt</t>
        </is>
      </c>
      <c r="R409" s="40" t="inlineStr">
        <is>
          <t>BUG-421</t>
        </is>
      </c>
      <c r="S409" s="40" t="inlineStr">
        <is>
          <t>23/05/2026 19:06</t>
        </is>
      </c>
      <c r="T409" s="43" t="inlineStr">
        <is>
          <t>R1:Không đạt</t>
        </is>
      </c>
      <c r="U409" s="40" t="inlineStr"/>
      <c r="V409" s="43" t="inlineStr"/>
    </row>
    <row r="410" ht="80" customHeight="1">
      <c r="A410" s="40" t="inlineStr">
        <is>
          <t>TC-407</t>
        </is>
      </c>
      <c r="B410" s="52" t="inlineStr">
        <is>
          <t>DATA</t>
        </is>
      </c>
      <c r="C410" s="44" t="inlineStr">
        <is>
          <t>P1</t>
        </is>
      </c>
      <c r="D410" s="43" t="inlineStr">
        <is>
          <t>Subjects</t>
        </is>
      </c>
      <c r="E410" s="43" t="inlineStr">
        <is>
          <t>fullName 200 ký tự (long name)</t>
        </is>
      </c>
      <c r="F410" s="40" t="inlineStr">
        <is>
          <t>REQ-CASE-SUBJECTS-407</t>
        </is>
      </c>
      <c r="G410" s="40" t="inlineStr">
        <is>
          <t>Use case testing</t>
        </is>
      </c>
      <c r="H410" s="40" t="inlineStr">
        <is>
          <t>TB</t>
        </is>
      </c>
      <c r="I410" s="43" t="inlineStr">
        <is>
          <t>1. User đã login
2. Token JWT hợp lệ</t>
        </is>
      </c>
      <c r="J410" s="43" t="inlineStr">
        <is>
          <t>POST fullName 'X'*200</t>
        </is>
      </c>
      <c r="K410" s="43" t="inlineStr">
        <is>
          <t>-</t>
        </is>
      </c>
      <c r="L410" s="43" t="inlineStr">
        <is>
          <t>-</t>
        </is>
      </c>
      <c r="M410" s="43" t="inlineStr">
        <is>
          <t>201</t>
        </is>
      </c>
      <c r="N410" s="43" t="inlineStr">
        <is>
          <t>-</t>
        </is>
      </c>
      <c r="O410" s="40" t="inlineStr">
        <is>
          <t>Low</t>
        </is>
      </c>
      <c r="P410" s="43" t="inlineStr">
        <is>
          <t>Thời gian: 785ms</t>
        </is>
      </c>
      <c r="Q410" s="40" t="inlineStr">
        <is>
          <t>Không đạt</t>
        </is>
      </c>
      <c r="R410" s="40" t="inlineStr">
        <is>
          <t>BUG-422</t>
        </is>
      </c>
      <c r="S410" s="40" t="inlineStr">
        <is>
          <t>23/05/2026 19:06</t>
        </is>
      </c>
      <c r="T410" s="43" t="inlineStr">
        <is>
          <t>R1:Không đạt</t>
        </is>
      </c>
      <c r="U410" s="40" t="inlineStr"/>
      <c r="V410" s="43" t="inlineStr"/>
    </row>
    <row r="411" ht="80" customHeight="1">
      <c r="A411" s="40" t="inlineStr">
        <is>
          <t>TC-408</t>
        </is>
      </c>
      <c r="B411" s="52" t="inlineStr">
        <is>
          <t>DATA</t>
        </is>
      </c>
      <c r="C411" s="44" t="inlineStr">
        <is>
          <t>P1</t>
        </is>
      </c>
      <c r="D411" s="43" t="inlineStr">
        <is>
          <t>Subjects</t>
        </is>
      </c>
      <c r="E411" s="43" t="inlineStr">
        <is>
          <t>address Unicode + multi-line</t>
        </is>
      </c>
      <c r="F411" s="40" t="inlineStr">
        <is>
          <t>REQ-CASE-SUBJECTS-408</t>
        </is>
      </c>
      <c r="G411" s="40" t="inlineStr">
        <is>
          <t>Use case testing</t>
        </is>
      </c>
      <c r="H411" s="40" t="inlineStr">
        <is>
          <t>TB</t>
        </is>
      </c>
      <c r="I411" s="43" t="inlineStr">
        <is>
          <t>1. User đã login
2. Token JWT hợp lệ</t>
        </is>
      </c>
      <c r="J411" s="43" t="inlineStr">
        <is>
          <t>POST address='Số 12\nLê Lợi, Quận 1\nTP.HCM'</t>
        </is>
      </c>
      <c r="K411" s="43" t="inlineStr">
        <is>
          <t>-</t>
        </is>
      </c>
      <c r="L411" s="43" t="inlineStr">
        <is>
          <t>Detail preserve newline</t>
        </is>
      </c>
      <c r="M411" s="43" t="inlineStr">
        <is>
          <t>201</t>
        </is>
      </c>
      <c r="N411" s="43" t="inlineStr">
        <is>
          <t>-</t>
        </is>
      </c>
      <c r="O411" s="40" t="inlineStr">
        <is>
          <t>Low</t>
        </is>
      </c>
      <c r="P411" s="43" t="inlineStr">
        <is>
          <t>Thời gian: 859ms</t>
        </is>
      </c>
      <c r="Q411" s="40" t="inlineStr">
        <is>
          <t>Không đạt</t>
        </is>
      </c>
      <c r="R411" s="40" t="inlineStr">
        <is>
          <t>BUG-423</t>
        </is>
      </c>
      <c r="S411" s="40" t="inlineStr">
        <is>
          <t>23/05/2026 19:06</t>
        </is>
      </c>
      <c r="T411" s="43" t="inlineStr">
        <is>
          <t>R1:Không đạt</t>
        </is>
      </c>
      <c r="U411" s="40" t="inlineStr"/>
      <c r="V411" s="43" t="inlineStr"/>
    </row>
    <row r="412" ht="80" customHeight="1">
      <c r="A412" s="40" t="inlineStr">
        <is>
          <t>TC-409</t>
        </is>
      </c>
      <c r="B412" s="53" t="inlineStr">
        <is>
          <t>BOUNDARY</t>
        </is>
      </c>
      <c r="C412" s="44" t="inlineStr">
        <is>
          <t>P1</t>
        </is>
      </c>
      <c r="D412" s="43" t="inlineStr">
        <is>
          <t>Subjects</t>
        </is>
      </c>
      <c r="E412" s="43" t="inlineStr">
        <is>
          <t>CCCD đúng 9 chữ → pass min</t>
        </is>
      </c>
      <c r="F412" s="40" t="inlineStr">
        <is>
          <t>REQ-CASE-SUBJECTS-409</t>
        </is>
      </c>
      <c r="G412" s="40" t="inlineStr">
        <is>
          <t>Use case testing</t>
        </is>
      </c>
      <c r="H412" s="40" t="inlineStr">
        <is>
          <t>TB</t>
        </is>
      </c>
      <c r="I412" s="43" t="inlineStr">
        <is>
          <t>1. User đã login
2. Token JWT hợp lệ</t>
        </is>
      </c>
      <c r="J412" s="43" t="inlineStr">
        <is>
          <t>POST idNumber='079090123'</t>
        </is>
      </c>
      <c r="K412" s="43" t="inlineStr">
        <is>
          <t>-</t>
        </is>
      </c>
      <c r="L412" s="43" t="inlineStr">
        <is>
          <t>-</t>
        </is>
      </c>
      <c r="M412" s="43" t="inlineStr">
        <is>
          <t>201</t>
        </is>
      </c>
      <c r="N412" s="43" t="inlineStr">
        <is>
          <t>-</t>
        </is>
      </c>
      <c r="O412" s="40" t="inlineStr">
        <is>
          <t>Medium</t>
        </is>
      </c>
      <c r="P412" s="43" t="inlineStr">
        <is>
          <t>Thời gian: 749ms</t>
        </is>
      </c>
      <c r="Q412" s="40" t="inlineStr">
        <is>
          <t>Không đạt</t>
        </is>
      </c>
      <c r="R412" s="40" t="inlineStr">
        <is>
          <t>BUG-424</t>
        </is>
      </c>
      <c r="S412" s="40" t="inlineStr">
        <is>
          <t>23/05/2026 19:06</t>
        </is>
      </c>
      <c r="T412" s="43" t="inlineStr">
        <is>
          <t>R1:Không đạt</t>
        </is>
      </c>
      <c r="U412" s="40" t="inlineStr"/>
      <c r="V412" s="43" t="inlineStr"/>
    </row>
    <row r="413" ht="80" customHeight="1">
      <c r="A413" s="40" t="inlineStr">
        <is>
          <t>TC-410</t>
        </is>
      </c>
      <c r="B413" s="53" t="inlineStr">
        <is>
          <t>BOUNDARY</t>
        </is>
      </c>
      <c r="C413" s="44" t="inlineStr">
        <is>
          <t>P1</t>
        </is>
      </c>
      <c r="D413" s="43" t="inlineStr">
        <is>
          <t>Subjects</t>
        </is>
      </c>
      <c r="E413" s="43" t="inlineStr">
        <is>
          <t>CCCD đúng 12 chữ → pass max</t>
        </is>
      </c>
      <c r="F413" s="40" t="inlineStr">
        <is>
          <t>REQ-CASE-SUBJECTS-410</t>
        </is>
      </c>
      <c r="G413" s="40" t="inlineStr">
        <is>
          <t>Use case testing</t>
        </is>
      </c>
      <c r="H413" s="40" t="inlineStr">
        <is>
          <t>TB</t>
        </is>
      </c>
      <c r="I413" s="43" t="inlineStr">
        <is>
          <t>1. User đã login
2. Token JWT hợp lệ</t>
        </is>
      </c>
      <c r="J413" s="43" t="inlineStr">
        <is>
          <t>POST idNumber 12 chars</t>
        </is>
      </c>
      <c r="K413" s="43" t="inlineStr">
        <is>
          <t>-</t>
        </is>
      </c>
      <c r="L413" s="43" t="inlineStr">
        <is>
          <t>-</t>
        </is>
      </c>
      <c r="M413" s="43" t="inlineStr">
        <is>
          <t>201</t>
        </is>
      </c>
      <c r="N413" s="43" t="inlineStr">
        <is>
          <t>-</t>
        </is>
      </c>
      <c r="O413" s="40" t="inlineStr">
        <is>
          <t>Medium</t>
        </is>
      </c>
      <c r="P413" s="43" t="inlineStr">
        <is>
          <t>Thời gian: 767ms</t>
        </is>
      </c>
      <c r="Q413" s="40" t="inlineStr">
        <is>
          <t>Không đạt</t>
        </is>
      </c>
      <c r="R413" s="40" t="inlineStr">
        <is>
          <t>BUG-425</t>
        </is>
      </c>
      <c r="S413" s="40" t="inlineStr">
        <is>
          <t>23/05/2026 19:06</t>
        </is>
      </c>
      <c r="T413" s="43" t="inlineStr">
        <is>
          <t>R1:Không đạt</t>
        </is>
      </c>
      <c r="U413" s="40" t="inlineStr"/>
      <c r="V413" s="43" t="inlineStr"/>
    </row>
    <row r="414" ht="80" customHeight="1">
      <c r="A414" s="40" t="inlineStr">
        <is>
          <t>TC-411</t>
        </is>
      </c>
      <c r="B414" s="53" t="inlineStr">
        <is>
          <t>BOUNDARY</t>
        </is>
      </c>
      <c r="C414" s="44" t="inlineStr">
        <is>
          <t>P1</t>
        </is>
      </c>
      <c r="D414" s="43" t="inlineStr">
        <is>
          <t>Subjects</t>
        </is>
      </c>
      <c r="E414" s="43" t="inlineStr">
        <is>
          <t>CCCD 10 chữ → 400 (regex chỉ accept 9 hoặc 12)</t>
        </is>
      </c>
      <c r="F414" s="40" t="inlineStr">
        <is>
          <t>REQ-CASE-SUBJECTS-411</t>
        </is>
      </c>
      <c r="G414" s="40" t="inlineStr">
        <is>
          <t>Use case testing</t>
        </is>
      </c>
      <c r="H414" s="40" t="inlineStr">
        <is>
          <t>TB</t>
        </is>
      </c>
      <c r="I414" s="43" t="inlineStr">
        <is>
          <t>1. User đã login
2. Token JWT hợp lệ</t>
        </is>
      </c>
      <c r="J414" s="43" t="inlineStr">
        <is>
          <t>POST idNumber 10 chars</t>
        </is>
      </c>
      <c r="K414" s="43" t="inlineStr">
        <is>
          <t>-</t>
        </is>
      </c>
      <c r="L414" s="43" t="inlineStr">
        <is>
          <t>-</t>
        </is>
      </c>
      <c r="M414" s="43" t="inlineStr">
        <is>
          <t>400 regex</t>
        </is>
      </c>
      <c r="N414" s="43" t="inlineStr">
        <is>
          <t>-</t>
        </is>
      </c>
      <c r="O414" s="40" t="inlineStr">
        <is>
          <t>High</t>
        </is>
      </c>
      <c r="P414" s="43" t="inlineStr">
        <is>
          <t>Đạt như expected. Thời gian: 660ms</t>
        </is>
      </c>
      <c r="Q414" s="40" t="inlineStr">
        <is>
          <t>Đạt</t>
        </is>
      </c>
      <c r="R414" s="40" t="inlineStr"/>
      <c r="S414" s="40" t="inlineStr">
        <is>
          <t>23/05/2026 19:06</t>
        </is>
      </c>
      <c r="T414" s="43" t="inlineStr">
        <is>
          <t>R1:Đạt</t>
        </is>
      </c>
      <c r="U414" s="40" t="inlineStr"/>
      <c r="V414" s="43" t="inlineStr"/>
    </row>
    <row r="415" ht="80" customHeight="1">
      <c r="A415" s="40" t="inlineStr">
        <is>
          <t>TC-412</t>
        </is>
      </c>
      <c r="B415" s="53" t="inlineStr">
        <is>
          <t>BOUNDARY</t>
        </is>
      </c>
      <c r="C415" s="44" t="inlineStr">
        <is>
          <t>P1</t>
        </is>
      </c>
      <c r="D415" s="43" t="inlineStr">
        <is>
          <t>Subjects</t>
        </is>
      </c>
      <c r="E415" s="43" t="inlineStr">
        <is>
          <t>CCCD 11 chữ → 400</t>
        </is>
      </c>
      <c r="F415" s="40" t="inlineStr">
        <is>
          <t>REQ-CASE-SUBJECTS-412</t>
        </is>
      </c>
      <c r="G415" s="40" t="inlineStr">
        <is>
          <t>Use case testing</t>
        </is>
      </c>
      <c r="H415" s="40" t="inlineStr">
        <is>
          <t>TB</t>
        </is>
      </c>
      <c r="I415" s="43" t="inlineStr">
        <is>
          <t>1. User đã login
2. Token JWT hợp lệ</t>
        </is>
      </c>
      <c r="J415" s="43" t="inlineStr">
        <is>
          <t>POST idNumber 11 chars</t>
        </is>
      </c>
      <c r="K415" s="43" t="inlineStr">
        <is>
          <t>-</t>
        </is>
      </c>
      <c r="L415" s="43" t="inlineStr">
        <is>
          <t>-</t>
        </is>
      </c>
      <c r="M415" s="43" t="inlineStr">
        <is>
          <t>400</t>
        </is>
      </c>
      <c r="N415" s="43" t="inlineStr">
        <is>
          <t>-</t>
        </is>
      </c>
      <c r="O415" s="40" t="inlineStr">
        <is>
          <t>High</t>
        </is>
      </c>
      <c r="P415" s="43" t="inlineStr">
        <is>
          <t>Đạt như expected. Thời gian: 83ms</t>
        </is>
      </c>
      <c r="Q415" s="40" t="inlineStr">
        <is>
          <t>Đạt</t>
        </is>
      </c>
      <c r="R415" s="40" t="inlineStr"/>
      <c r="S415" s="40" t="inlineStr">
        <is>
          <t>23/05/2026 19:06</t>
        </is>
      </c>
      <c r="T415" s="43" t="inlineStr">
        <is>
          <t>R1:Đạt</t>
        </is>
      </c>
      <c r="U415" s="40" t="inlineStr"/>
      <c r="V415" s="43" t="inlineStr"/>
    </row>
    <row r="416" ht="80" customHeight="1">
      <c r="A416" s="40" t="inlineStr">
        <is>
          <t>TC-413</t>
        </is>
      </c>
      <c r="B416" s="46" t="inlineStr">
        <is>
          <t>STATE</t>
        </is>
      </c>
      <c r="C416" s="42" t="inlineStr">
        <is>
          <t>P0</t>
        </is>
      </c>
      <c r="D416" s="43" t="inlineStr">
        <is>
          <t>Subjects</t>
        </is>
      </c>
      <c r="E416" s="43" t="inlineStr">
        <is>
          <t>Transition INVESTIGATING → DETAINED (bắt tạm giam)</t>
        </is>
      </c>
      <c r="F416" s="40" t="inlineStr">
        <is>
          <t>REQ-CASE-SUBJECTS-413</t>
        </is>
      </c>
      <c r="G416" s="40" t="inlineStr">
        <is>
          <t>Use case testing</t>
        </is>
      </c>
      <c r="H416" s="40" t="inlineStr">
        <is>
          <t>Cao</t>
        </is>
      </c>
      <c r="I416" s="43" t="inlineStr">
        <is>
          <t>1. User đã login
2. Token JWT hợp lệ</t>
        </is>
      </c>
      <c r="J416" s="43" t="inlineStr">
        <is>
          <t>PUT status='DETAINED'</t>
        </is>
      </c>
      <c r="K416" s="43" t="inlineStr">
        <is>
          <t>-</t>
        </is>
      </c>
      <c r="L416" s="43" t="inlineStr">
        <is>
          <t>Badge change</t>
        </is>
      </c>
      <c r="M416" s="43" t="inlineStr">
        <is>
          <t>200</t>
        </is>
      </c>
      <c r="N416" s="43" t="inlineStr">
        <is>
          <t>Audit status change</t>
        </is>
      </c>
      <c r="O416" s="40" t="inlineStr">
        <is>
          <t>High</t>
        </is>
      </c>
      <c r="P416" s="43" t="inlineStr">
        <is>
          <t>Thời gian: 107ms</t>
        </is>
      </c>
      <c r="Q416" s="40" t="inlineStr">
        <is>
          <t>Không đạt</t>
        </is>
      </c>
      <c r="R416" s="40" t="inlineStr">
        <is>
          <t>BUG-426</t>
        </is>
      </c>
      <c r="S416" s="40" t="inlineStr">
        <is>
          <t>23/05/2026 19:06</t>
        </is>
      </c>
      <c r="T416" s="43" t="inlineStr">
        <is>
          <t>R1:Không đạt</t>
        </is>
      </c>
      <c r="U416" s="40" t="inlineStr"/>
      <c r="V416" s="43" t="inlineStr"/>
    </row>
    <row r="417" ht="80" customHeight="1">
      <c r="A417" s="40" t="inlineStr">
        <is>
          <t>TC-414</t>
        </is>
      </c>
      <c r="B417" s="46" t="inlineStr">
        <is>
          <t>STATE</t>
        </is>
      </c>
      <c r="C417" s="42" t="inlineStr">
        <is>
          <t>P0</t>
        </is>
      </c>
      <c r="D417" s="43" t="inlineStr">
        <is>
          <t>Subjects</t>
        </is>
      </c>
      <c r="E417" s="43" t="inlineStr">
        <is>
          <t>Transition DETAINED → RELEASED (thả)</t>
        </is>
      </c>
      <c r="F417" s="40" t="inlineStr">
        <is>
          <t>REQ-CASE-SUBJECTS-414</t>
        </is>
      </c>
      <c r="G417" s="40" t="inlineStr">
        <is>
          <t>Use case testing</t>
        </is>
      </c>
      <c r="H417" s="40" t="inlineStr">
        <is>
          <t>Cao</t>
        </is>
      </c>
      <c r="I417" s="43" t="inlineStr">
        <is>
          <t>1. User đã login
2. Token JWT hợp lệ</t>
        </is>
      </c>
      <c r="J417" s="43" t="inlineStr">
        <is>
          <t>PUT status='RELEASED'</t>
        </is>
      </c>
      <c r="K417" s="43" t="inlineStr">
        <is>
          <t>-</t>
        </is>
      </c>
      <c r="L417" s="43" t="inlineStr">
        <is>
          <t>-</t>
        </is>
      </c>
      <c r="M417" s="43" t="inlineStr">
        <is>
          <t>200</t>
        </is>
      </c>
      <c r="N417" s="43" t="inlineStr">
        <is>
          <t>-</t>
        </is>
      </c>
      <c r="O417" s="40" t="inlineStr">
        <is>
          <t>High</t>
        </is>
      </c>
      <c r="P417" s="43" t="inlineStr">
        <is>
          <t>Thời gian: 748ms</t>
        </is>
      </c>
      <c r="Q417" s="40" t="inlineStr">
        <is>
          <t>Không đạt</t>
        </is>
      </c>
      <c r="R417" s="40" t="inlineStr">
        <is>
          <t>BUG-427</t>
        </is>
      </c>
      <c r="S417" s="40" t="inlineStr">
        <is>
          <t>23/05/2026 19:06</t>
        </is>
      </c>
      <c r="T417" s="43" t="inlineStr">
        <is>
          <t>R1:Không đạt</t>
        </is>
      </c>
      <c r="U417" s="40" t="inlineStr"/>
      <c r="V417" s="43" t="inlineStr"/>
    </row>
    <row r="418" ht="80" customHeight="1">
      <c r="A418" s="40" t="inlineStr">
        <is>
          <t>TC-415</t>
        </is>
      </c>
      <c r="B418" s="46" t="inlineStr">
        <is>
          <t>STATE</t>
        </is>
      </c>
      <c r="C418" s="42" t="inlineStr">
        <is>
          <t>P0</t>
        </is>
      </c>
      <c r="D418" s="43" t="inlineStr">
        <is>
          <t>Subjects</t>
        </is>
      </c>
      <c r="E418" s="43" t="inlineStr">
        <is>
          <t>Transition INVESTIGATING → WANTED (chuyển truy nã)</t>
        </is>
      </c>
      <c r="F418" s="40" t="inlineStr">
        <is>
          <t>REQ-CASE-SUBJECTS-415</t>
        </is>
      </c>
      <c r="G418" s="40" t="inlineStr">
        <is>
          <t>Use case testing</t>
        </is>
      </c>
      <c r="H418" s="40" t="inlineStr">
        <is>
          <t>Cao</t>
        </is>
      </c>
      <c r="I418" s="43" t="inlineStr">
        <is>
          <t>1. User đã login
2. Token JWT hợp lệ</t>
        </is>
      </c>
      <c r="J418" s="43" t="inlineStr">
        <is>
          <t>PUT status='WANTED'</t>
        </is>
      </c>
      <c r="K418" s="43" t="inlineStr">
        <is>
          <t>-</t>
        </is>
      </c>
      <c r="L418" s="43" t="inlineStr">
        <is>
          <t>-</t>
        </is>
      </c>
      <c r="M418" s="43" t="inlineStr">
        <is>
          <t>200</t>
        </is>
      </c>
      <c r="N418" s="43" t="inlineStr">
        <is>
          <t>-</t>
        </is>
      </c>
      <c r="O418" s="40" t="inlineStr">
        <is>
          <t>High</t>
        </is>
      </c>
      <c r="P418" s="43" t="inlineStr">
        <is>
          <t>Thời gian: 147ms</t>
        </is>
      </c>
      <c r="Q418" s="40" t="inlineStr">
        <is>
          <t>Không đạt</t>
        </is>
      </c>
      <c r="R418" s="40" t="inlineStr">
        <is>
          <t>BUG-428</t>
        </is>
      </c>
      <c r="S418" s="40" t="inlineStr">
        <is>
          <t>23/05/2026 19:06</t>
        </is>
      </c>
      <c r="T418" s="43" t="inlineStr">
        <is>
          <t>R1:Không đạt</t>
        </is>
      </c>
      <c r="U418" s="40" t="inlineStr"/>
      <c r="V418" s="43" t="inlineStr"/>
    </row>
    <row r="419" ht="80" customHeight="1">
      <c r="A419" s="40" t="inlineStr">
        <is>
          <t>TC-416</t>
        </is>
      </c>
      <c r="B419" s="46" t="inlineStr">
        <is>
          <t>STATE</t>
        </is>
      </c>
      <c r="C419" s="44" t="inlineStr">
        <is>
          <t>P1</t>
        </is>
      </c>
      <c r="D419" s="43" t="inlineStr">
        <is>
          <t>Subjects</t>
        </is>
      </c>
      <c r="E419" s="43" t="inlineStr">
        <is>
          <t>Transition WANTED → DETAINED (bắt được rồi)</t>
        </is>
      </c>
      <c r="F419" s="40" t="inlineStr">
        <is>
          <t>REQ-CASE-SUBJECTS-416</t>
        </is>
      </c>
      <c r="G419" s="40" t="inlineStr">
        <is>
          <t>Use case testing</t>
        </is>
      </c>
      <c r="H419" s="40" t="inlineStr">
        <is>
          <t>TB</t>
        </is>
      </c>
      <c r="I419" s="43" t="inlineStr">
        <is>
          <t>1. User đã login
2. Token JWT hợp lệ</t>
        </is>
      </c>
      <c r="J419" s="43" t="inlineStr">
        <is>
          <t>PUT</t>
        </is>
      </c>
      <c r="K419" s="43" t="inlineStr">
        <is>
          <t>-</t>
        </is>
      </c>
      <c r="L419" s="43" t="inlineStr">
        <is>
          <t>-</t>
        </is>
      </c>
      <c r="M419" s="43" t="inlineStr">
        <is>
          <t>200</t>
        </is>
      </c>
      <c r="N419" s="43" t="inlineStr">
        <is>
          <t>-</t>
        </is>
      </c>
      <c r="O419" s="40" t="inlineStr">
        <is>
          <t>Medium</t>
        </is>
      </c>
      <c r="P419" s="43" t="inlineStr">
        <is>
          <t>Thời gian: 76ms</t>
        </is>
      </c>
      <c r="Q419" s="40" t="inlineStr">
        <is>
          <t>Không đạt</t>
        </is>
      </c>
      <c r="R419" s="40" t="inlineStr">
        <is>
          <t>BUG-429</t>
        </is>
      </c>
      <c r="S419" s="40" t="inlineStr">
        <is>
          <t>23/05/2026 19:06</t>
        </is>
      </c>
      <c r="T419" s="43" t="inlineStr">
        <is>
          <t>R1:Không đạt</t>
        </is>
      </c>
      <c r="U419" s="40" t="inlineStr"/>
      <c r="V419" s="43" t="inlineStr"/>
    </row>
    <row r="420" ht="80" customHeight="1">
      <c r="A420" s="40" t="inlineStr">
        <is>
          <t>TC-417</t>
        </is>
      </c>
      <c r="B420" s="48" t="inlineStr">
        <is>
          <t>A11Y</t>
        </is>
      </c>
      <c r="C420" s="44" t="inlineStr">
        <is>
          <t>P1</t>
        </is>
      </c>
      <c r="D420" s="43" t="inlineStr">
        <is>
          <t>Subjects</t>
        </is>
      </c>
      <c r="E420" s="43" t="inlineStr">
        <is>
          <t>Form Subject input có label gắn id</t>
        </is>
      </c>
      <c r="F420" s="40" t="inlineStr">
        <is>
          <t>REQ-CASE-SUBJECTS-417</t>
        </is>
      </c>
      <c r="G420" s="40" t="inlineStr">
        <is>
          <t>Use case testing</t>
        </is>
      </c>
      <c r="H420" s="40" t="inlineStr">
        <is>
          <t>TB</t>
        </is>
      </c>
      <c r="I420" s="43" t="inlineStr">
        <is>
          <t>1. User đã login
2. Token JWT hợp lệ</t>
        </is>
      </c>
      <c r="J420" s="43" t="inlineStr">
        <is>
          <t>Inspect form</t>
        </is>
      </c>
      <c r="K420" s="43" t="inlineStr">
        <is>
          <t>-</t>
        </is>
      </c>
      <c r="L420" s="43" t="inlineStr">
        <is>
          <t>&lt;label for=fullName&gt;</t>
        </is>
      </c>
      <c r="M420" s="43" t="inlineStr">
        <is>
          <t>-</t>
        </is>
      </c>
      <c r="N420" s="43" t="inlineStr">
        <is>
          <t>-</t>
        </is>
      </c>
      <c r="O420" s="40" t="inlineStr">
        <is>
          <t>Medium</t>
        </is>
      </c>
      <c r="P420" s="43" t="inlineStr">
        <is>
          <t>Thời gian: 126ms</t>
        </is>
      </c>
      <c r="Q420" s="40" t="inlineStr">
        <is>
          <t>Không đạt</t>
        </is>
      </c>
      <c r="R420" s="40" t="inlineStr">
        <is>
          <t>BUG-430</t>
        </is>
      </c>
      <c r="S420" s="40" t="inlineStr">
        <is>
          <t>23/05/2026 19:06</t>
        </is>
      </c>
      <c r="T420" s="43" t="inlineStr">
        <is>
          <t>R1:Không đạt</t>
        </is>
      </c>
      <c r="U420" s="40" t="inlineStr"/>
      <c r="V420" s="43" t="inlineStr"/>
    </row>
    <row r="421" ht="80" customHeight="1">
      <c r="A421" s="40" t="inlineStr">
        <is>
          <t>TC-418</t>
        </is>
      </c>
      <c r="B421" s="48" t="inlineStr">
        <is>
          <t>A11Y</t>
        </is>
      </c>
      <c r="C421" s="44" t="inlineStr">
        <is>
          <t>P1</t>
        </is>
      </c>
      <c r="D421" s="43" t="inlineStr">
        <is>
          <t>Subjects</t>
        </is>
      </c>
      <c r="E421" s="43" t="inlineStr">
        <is>
          <t>Date picker dateOfBirth keyboard accessible</t>
        </is>
      </c>
      <c r="F421" s="40" t="inlineStr">
        <is>
          <t>REQ-CASE-SUBJECTS-418</t>
        </is>
      </c>
      <c r="G421" s="40" t="inlineStr">
        <is>
          <t>Use case testing</t>
        </is>
      </c>
      <c r="H421" s="40" t="inlineStr">
        <is>
          <t>TB</t>
        </is>
      </c>
      <c r="I421" s="43" t="inlineStr">
        <is>
          <t>1. User đã login
2. Token JWT hợp lệ</t>
        </is>
      </c>
      <c r="J421" s="43" t="inlineStr">
        <is>
          <t>Tab vào date picker, dùng arrow keys</t>
        </is>
      </c>
      <c r="K421" s="43" t="inlineStr">
        <is>
          <t>-</t>
        </is>
      </c>
      <c r="L421" s="43" t="inlineStr">
        <is>
          <t>-</t>
        </is>
      </c>
      <c r="M421" s="43" t="inlineStr">
        <is>
          <t>-</t>
        </is>
      </c>
      <c r="N421" s="43" t="inlineStr">
        <is>
          <t>-</t>
        </is>
      </c>
      <c r="O421" s="40" t="inlineStr">
        <is>
          <t>Medium</t>
        </is>
      </c>
      <c r="P421" s="43" t="inlineStr">
        <is>
          <t>Thời gian: 123ms</t>
        </is>
      </c>
      <c r="Q421" s="40" t="inlineStr">
        <is>
          <t>Không đạt</t>
        </is>
      </c>
      <c r="R421" s="40" t="inlineStr">
        <is>
          <t>BUG-431</t>
        </is>
      </c>
      <c r="S421" s="40" t="inlineStr">
        <is>
          <t>23/05/2026 19:06</t>
        </is>
      </c>
      <c r="T421" s="43" t="inlineStr">
        <is>
          <t>R1:Không đạt</t>
        </is>
      </c>
      <c r="U421" s="40" t="inlineStr"/>
      <c r="V421" s="43" t="inlineStr"/>
    </row>
    <row r="422" ht="80" customHeight="1">
      <c r="A422" s="40" t="inlineStr">
        <is>
          <t>TC-419</t>
        </is>
      </c>
      <c r="B422" s="51" t="inlineStr">
        <is>
          <t>PERFORMANCE</t>
        </is>
      </c>
      <c r="C422" s="44" t="inlineStr">
        <is>
          <t>P1</t>
        </is>
      </c>
      <c r="D422" s="43" t="inlineStr">
        <is>
          <t>Subjects</t>
        </is>
      </c>
      <c r="E422" s="43" t="inlineStr">
        <is>
          <t>GET /subjects?caseId=X với Case có 50 subjects &lt; 500ms</t>
        </is>
      </c>
      <c r="F422" s="40" t="inlineStr">
        <is>
          <t>REQ-CASE-SUBJECTS-419</t>
        </is>
      </c>
      <c r="G422" s="40" t="inlineStr">
        <is>
          <t>Use case testing</t>
        </is>
      </c>
      <c r="H422" s="40" t="inlineStr">
        <is>
          <t>TB</t>
        </is>
      </c>
      <c r="I422" s="43" t="inlineStr">
        <is>
          <t>1. User đã login
2. Token JWT hợp lệ</t>
        </is>
      </c>
      <c r="J422" s="43" t="inlineStr">
        <is>
          <t>GET</t>
        </is>
      </c>
      <c r="K422" s="43" t="inlineStr">
        <is>
          <t>-</t>
        </is>
      </c>
      <c r="L422" s="43" t="inlineStr">
        <is>
          <t>-</t>
        </is>
      </c>
      <c r="M422" s="43" t="inlineStr">
        <is>
          <t>&lt;500ms</t>
        </is>
      </c>
      <c r="N422" s="43" t="inlineStr">
        <is>
          <t>-</t>
        </is>
      </c>
      <c r="O422" s="40" t="inlineStr">
        <is>
          <t>Medium</t>
        </is>
      </c>
      <c r="P422" s="43" t="inlineStr">
        <is>
          <t>Thời gian: 71ms</t>
        </is>
      </c>
      <c r="Q422" s="40" t="inlineStr">
        <is>
          <t>Không đạt</t>
        </is>
      </c>
      <c r="R422" s="40" t="inlineStr">
        <is>
          <t>BUG-432</t>
        </is>
      </c>
      <c r="S422" s="40" t="inlineStr">
        <is>
          <t>23/05/2026 19:06</t>
        </is>
      </c>
      <c r="T422" s="43" t="inlineStr">
        <is>
          <t>R1:Không đạt</t>
        </is>
      </c>
      <c r="U422" s="40" t="inlineStr"/>
      <c r="V422" s="43" t="inlineStr"/>
    </row>
    <row r="423" ht="80" customHeight="1">
      <c r="A423" s="40" t="inlineStr">
        <is>
          <t>TC-420</t>
        </is>
      </c>
      <c r="B423" s="45" t="inlineStr">
        <is>
          <t>RED</t>
        </is>
      </c>
      <c r="C423" s="42" t="inlineStr">
        <is>
          <t>P0</t>
        </is>
      </c>
      <c r="D423" s="43" t="inlineStr">
        <is>
          <t>Subjects</t>
        </is>
      </c>
      <c r="E423" s="43" t="inlineStr">
        <is>
          <t>Duplicate idNumber + caseId + type (constraint unique per type per case)</t>
        </is>
      </c>
      <c r="F423" s="40" t="inlineStr">
        <is>
          <t>REQ-CASE-SUBJECTS-420</t>
        </is>
      </c>
      <c r="G423" s="40" t="inlineStr">
        <is>
          <t>Use case testing</t>
        </is>
      </c>
      <c r="H423" s="40" t="inlineStr">
        <is>
          <t>Cao</t>
        </is>
      </c>
      <c r="I423" s="43" t="inlineStr">
        <is>
          <t>1. User đã login
2. Token JWT hợp lệ</t>
        </is>
      </c>
      <c r="J423" s="43" t="inlineStr">
        <is>
          <t>POST 2 lần cùng idNumber+caseId+type</t>
        </is>
      </c>
      <c r="K423" s="43" t="inlineStr">
        <is>
          <t>-</t>
        </is>
      </c>
      <c r="L423" s="43" t="inlineStr">
        <is>
          <t>Toast 'Đối tượng đã tồn tại'</t>
        </is>
      </c>
      <c r="M423" s="43" t="inlineStr">
        <is>
          <t>409 hoặc 400 (P2002 unique)</t>
        </is>
      </c>
      <c r="N423" s="43" t="inlineStr">
        <is>
          <t>-</t>
        </is>
      </c>
      <c r="O423" s="40" t="inlineStr">
        <is>
          <t>High</t>
        </is>
      </c>
      <c r="P423" s="43" t="inlineStr">
        <is>
          <t>Thời gian: 102ms</t>
        </is>
      </c>
      <c r="Q423" s="40" t="inlineStr">
        <is>
          <t>Không đạt</t>
        </is>
      </c>
      <c r="R423" s="40" t="inlineStr">
        <is>
          <t>BUG-433</t>
        </is>
      </c>
      <c r="S423" s="40" t="inlineStr">
        <is>
          <t>23/05/2026 19:06</t>
        </is>
      </c>
      <c r="T423" s="43" t="inlineStr">
        <is>
          <t>R1:Không đạt</t>
        </is>
      </c>
      <c r="U423" s="40" t="inlineStr"/>
      <c r="V423" s="43" t="inlineStr"/>
    </row>
    <row r="424" ht="80" customHeight="1">
      <c r="A424" s="40" t="inlineStr">
        <is>
          <t>TC-421</t>
        </is>
      </c>
      <c r="B424" s="41" t="inlineStr">
        <is>
          <t>GREEN</t>
        </is>
      </c>
      <c r="C424" s="44" t="inlineStr">
        <is>
          <t>P1</t>
        </is>
      </c>
      <c r="D424" s="43" t="inlineStr">
        <is>
          <t>Subjects</t>
        </is>
      </c>
      <c r="E424" s="43" t="inlineStr">
        <is>
          <t>Cùng idNumber khác type (SUSPECT vs VICTIM) trong cùng Case OK</t>
        </is>
      </c>
      <c r="F424" s="40" t="inlineStr">
        <is>
          <t>REQ-CASE-SUBJECTS-421</t>
        </is>
      </c>
      <c r="G424" s="40" t="inlineStr">
        <is>
          <t>Use case testing</t>
        </is>
      </c>
      <c r="H424" s="40" t="inlineStr">
        <is>
          <t>TB</t>
        </is>
      </c>
      <c r="I424" s="43" t="inlineStr">
        <is>
          <t>1. User đã login
2. Token JWT hợp lệ</t>
        </is>
      </c>
      <c r="J424" s="43" t="inlineStr">
        <is>
          <t>POST 2 Subject idNumber giống type khác</t>
        </is>
      </c>
      <c r="K424" s="43" t="inlineStr">
        <is>
          <t>-</t>
        </is>
      </c>
      <c r="L424" s="43" t="inlineStr">
        <is>
          <t>-</t>
        </is>
      </c>
      <c r="M424" s="43" t="inlineStr">
        <is>
          <t>201 cả 2 (unique constraint per type)</t>
        </is>
      </c>
      <c r="N424" s="43" t="inlineStr">
        <is>
          <t>-</t>
        </is>
      </c>
      <c r="O424" s="40" t="inlineStr">
        <is>
          <t>Medium</t>
        </is>
      </c>
      <c r="P424" s="43" t="inlineStr">
        <is>
          <t>Thời gian: 124ms</t>
        </is>
      </c>
      <c r="Q424" s="40" t="inlineStr">
        <is>
          <t>Không đạt</t>
        </is>
      </c>
      <c r="R424" s="40" t="inlineStr">
        <is>
          <t>BUG-434</t>
        </is>
      </c>
      <c r="S424" s="40" t="inlineStr">
        <is>
          <t>23/05/2026 19:06</t>
        </is>
      </c>
      <c r="T424" s="43" t="inlineStr">
        <is>
          <t>R1:Không đạt</t>
        </is>
      </c>
      <c r="U424" s="40" t="inlineStr"/>
      <c r="V424" s="43" t="inlineStr"/>
    </row>
    <row r="425" ht="80" customHeight="1">
      <c r="A425" s="40" t="inlineStr">
        <is>
          <t>TC-422</t>
        </is>
      </c>
      <c r="B425" s="58" t="inlineStr">
        <is>
          <t>AUDIT</t>
        </is>
      </c>
      <c r="C425" s="42" t="inlineStr">
        <is>
          <t>P0</t>
        </is>
      </c>
      <c r="D425" s="43" t="inlineStr">
        <is>
          <t>Subjects</t>
        </is>
      </c>
      <c r="E425" s="43" t="inlineStr">
        <is>
          <t>DELETE Subject ghi audit với name + reason</t>
        </is>
      </c>
      <c r="F425" s="40" t="inlineStr">
        <is>
          <t>REQ-CASE-SUBJECTS-422</t>
        </is>
      </c>
      <c r="G425" s="40" t="inlineStr">
        <is>
          <t>Use case testing</t>
        </is>
      </c>
      <c r="H425" s="40" t="inlineStr">
        <is>
          <t>Cao</t>
        </is>
      </c>
      <c r="I425" s="43" t="inlineStr">
        <is>
          <t>1. User đã login
2. Token JWT hợp lệ</t>
        </is>
      </c>
      <c r="J425" s="43" t="inlineStr">
        <is>
          <t>DELETE</t>
        </is>
      </c>
      <c r="K425" s="43" t="inlineStr">
        <is>
          <t>-</t>
        </is>
      </c>
      <c r="L425" s="43" t="inlineStr">
        <is>
          <t>-</t>
        </is>
      </c>
      <c r="M425" s="43" t="inlineStr">
        <is>
          <t>-</t>
        </is>
      </c>
      <c r="N425" s="43" t="inlineStr">
        <is>
          <t>audit row SUBJECT_DELETED metadata</t>
        </is>
      </c>
      <c r="O425" s="40" t="inlineStr">
        <is>
          <t>High</t>
        </is>
      </c>
      <c r="P425" s="43" t="inlineStr">
        <is>
          <t>Thời gian: 98ms</t>
        </is>
      </c>
      <c r="Q425" s="40" t="inlineStr">
        <is>
          <t>Không đạt</t>
        </is>
      </c>
      <c r="R425" s="40" t="inlineStr">
        <is>
          <t>BUG-435</t>
        </is>
      </c>
      <c r="S425" s="40" t="inlineStr">
        <is>
          <t>23/05/2026 19:06</t>
        </is>
      </c>
      <c r="T425" s="43" t="inlineStr">
        <is>
          <t>R1:Không đạt</t>
        </is>
      </c>
      <c r="U425" s="40" t="inlineStr"/>
      <c r="V425" s="43" t="inlineStr"/>
    </row>
    <row r="426" ht="80" customHeight="1">
      <c r="A426" s="40" t="inlineStr">
        <is>
          <t>TC-423</t>
        </is>
      </c>
      <c r="B426" s="45" t="inlineStr">
        <is>
          <t>RED</t>
        </is>
      </c>
      <c r="C426" s="44" t="inlineStr">
        <is>
          <t>P1</t>
        </is>
      </c>
      <c r="D426" s="43" t="inlineStr">
        <is>
          <t>Subjects</t>
        </is>
      </c>
      <c r="E426" s="43" t="inlineStr">
        <is>
          <t>PUT thay đổi caseId (chuyển vụ án) → có cho phép?</t>
        </is>
      </c>
      <c r="F426" s="40" t="inlineStr">
        <is>
          <t>REQ-CASE-SUBJECTS-423</t>
        </is>
      </c>
      <c r="G426" s="40" t="inlineStr">
        <is>
          <t>Use case testing</t>
        </is>
      </c>
      <c r="H426" s="40" t="inlineStr">
        <is>
          <t>TB</t>
        </is>
      </c>
      <c r="I426" s="43" t="inlineStr">
        <is>
          <t>1. User đã login
2. Token JWT hợp lệ</t>
        </is>
      </c>
      <c r="J426" s="43" t="inlineStr">
        <is>
          <t>PUT caseId='OTHER_CASE'</t>
        </is>
      </c>
      <c r="K426" s="43" t="inlineStr">
        <is>
          <t>-</t>
        </is>
      </c>
      <c r="L426" s="43" t="inlineStr">
        <is>
          <t>-</t>
        </is>
      </c>
      <c r="M426" s="43" t="inlineStr">
        <is>
          <t>? — verify business rule. Cần block hoặc audit</t>
        </is>
      </c>
      <c r="N426" s="43" t="inlineStr">
        <is>
          <t>-</t>
        </is>
      </c>
      <c r="O426" s="40" t="inlineStr">
        <is>
          <t>Medium</t>
        </is>
      </c>
      <c r="P426" s="43" t="inlineStr">
        <is>
          <t>Thời gian: 132ms</t>
        </is>
      </c>
      <c r="Q426" s="40" t="inlineStr">
        <is>
          <t>Không đạt</t>
        </is>
      </c>
      <c r="R426" s="40" t="inlineStr">
        <is>
          <t>BUG-436</t>
        </is>
      </c>
      <c r="S426" s="40" t="inlineStr">
        <is>
          <t>23/05/2026 19:06</t>
        </is>
      </c>
      <c r="T426" s="43" t="inlineStr">
        <is>
          <t>R1:Không đạt</t>
        </is>
      </c>
      <c r="U426" s="40" t="inlineStr"/>
      <c r="V426" s="43" t="inlineStr">
        <is>
          <t>Gap: nên freeze caseId sau create</t>
        </is>
      </c>
    </row>
    <row r="427" ht="80" customHeight="1">
      <c r="A427" s="40" t="inlineStr">
        <is>
          <t>TC-424</t>
        </is>
      </c>
      <c r="B427" s="45" t="inlineStr">
        <is>
          <t>RED</t>
        </is>
      </c>
      <c r="C427" s="44" t="inlineStr">
        <is>
          <t>P1</t>
        </is>
      </c>
      <c r="D427" s="43" t="inlineStr">
        <is>
          <t>Subjects</t>
        </is>
      </c>
      <c r="E427" s="43" t="inlineStr">
        <is>
          <t>occupationId không tồn tại directory → 400</t>
        </is>
      </c>
      <c r="F427" s="40" t="inlineStr">
        <is>
          <t>REQ-CASE-SUBJECTS-424</t>
        </is>
      </c>
      <c r="G427" s="40" t="inlineStr">
        <is>
          <t>Use case testing</t>
        </is>
      </c>
      <c r="H427" s="40" t="inlineStr">
        <is>
          <t>TB</t>
        </is>
      </c>
      <c r="I427" s="43" t="inlineStr">
        <is>
          <t>1. User đã login
2. Token JWT hợp lệ</t>
        </is>
      </c>
      <c r="J427" s="43" t="inlineStr">
        <is>
          <t>POST occupationId='OCC-NOT-EXIST'</t>
        </is>
      </c>
      <c r="K427" s="43" t="inlineStr">
        <is>
          <t>-</t>
        </is>
      </c>
      <c r="L427" s="43" t="inlineStr">
        <is>
          <t>-</t>
        </is>
      </c>
      <c r="M427" s="43" t="inlineStr">
        <is>
          <t>400 FK</t>
        </is>
      </c>
      <c r="N427" s="43" t="inlineStr">
        <is>
          <t>-</t>
        </is>
      </c>
      <c r="O427" s="40" t="inlineStr">
        <is>
          <t>Medium</t>
        </is>
      </c>
      <c r="P427" s="43" t="inlineStr">
        <is>
          <t>Thời gian: 83ms</t>
        </is>
      </c>
      <c r="Q427" s="40" t="inlineStr">
        <is>
          <t>Không đạt</t>
        </is>
      </c>
      <c r="R427" s="40" t="inlineStr">
        <is>
          <t>BUG-437</t>
        </is>
      </c>
      <c r="S427" s="40" t="inlineStr">
        <is>
          <t>23/05/2026 19:06</t>
        </is>
      </c>
      <c r="T427" s="43" t="inlineStr">
        <is>
          <t>R1:Không đạt</t>
        </is>
      </c>
      <c r="U427" s="40" t="inlineStr"/>
      <c r="V427" s="43" t="inlineStr"/>
    </row>
    <row r="428" ht="80" customHeight="1">
      <c r="A428" s="40" t="inlineStr">
        <is>
          <t>TC-425</t>
        </is>
      </c>
      <c r="B428" s="45" t="inlineStr">
        <is>
          <t>RED</t>
        </is>
      </c>
      <c r="C428" s="44" t="inlineStr">
        <is>
          <t>P1</t>
        </is>
      </c>
      <c r="D428" s="43" t="inlineStr">
        <is>
          <t>Subjects</t>
        </is>
      </c>
      <c r="E428" s="43" t="inlineStr">
        <is>
          <t>nationalityId không tồn tại → 400</t>
        </is>
      </c>
      <c r="F428" s="40" t="inlineStr">
        <is>
          <t>REQ-CASE-SUBJECTS-425</t>
        </is>
      </c>
      <c r="G428" s="40" t="inlineStr">
        <is>
          <t>Use case testing</t>
        </is>
      </c>
      <c r="H428" s="40" t="inlineStr">
        <is>
          <t>TB</t>
        </is>
      </c>
      <c r="I428" s="43" t="inlineStr">
        <is>
          <t>1. User đã login
2. Token JWT hợp lệ</t>
        </is>
      </c>
      <c r="J428" s="43" t="inlineStr">
        <is>
          <t>POST nationalityId='NAT-NOT-EXIST'</t>
        </is>
      </c>
      <c r="K428" s="43" t="inlineStr">
        <is>
          <t>-</t>
        </is>
      </c>
      <c r="L428" s="43" t="inlineStr">
        <is>
          <t>-</t>
        </is>
      </c>
      <c r="M428" s="43" t="inlineStr">
        <is>
          <t>400</t>
        </is>
      </c>
      <c r="N428" s="43" t="inlineStr">
        <is>
          <t>-</t>
        </is>
      </c>
      <c r="O428" s="40" t="inlineStr">
        <is>
          <t>Medium</t>
        </is>
      </c>
      <c r="P428" s="43" t="inlineStr">
        <is>
          <t>Thời gian: 118ms</t>
        </is>
      </c>
      <c r="Q428" s="40" t="inlineStr">
        <is>
          <t>Không đạt</t>
        </is>
      </c>
      <c r="R428" s="40" t="inlineStr">
        <is>
          <t>BUG-438</t>
        </is>
      </c>
      <c r="S428" s="40" t="inlineStr">
        <is>
          <t>23/05/2026 19:06</t>
        </is>
      </c>
      <c r="T428" s="43" t="inlineStr">
        <is>
          <t>R1:Không đạt</t>
        </is>
      </c>
      <c r="U428" s="40" t="inlineStr"/>
      <c r="V428" s="43" t="inlineStr"/>
    </row>
    <row r="429" ht="80" customHeight="1">
      <c r="A429" s="40" t="inlineStr">
        <is>
          <t>TC-426</t>
        </is>
      </c>
      <c r="B429" s="45" t="inlineStr">
        <is>
          <t>RED</t>
        </is>
      </c>
      <c r="C429" s="44" t="inlineStr">
        <is>
          <t>P1</t>
        </is>
      </c>
      <c r="D429" s="43" t="inlineStr">
        <is>
          <t>Subjects</t>
        </is>
      </c>
      <c r="E429" s="43" t="inlineStr">
        <is>
          <t>wardId không tồn tại → 400</t>
        </is>
      </c>
      <c r="F429" s="40" t="inlineStr">
        <is>
          <t>REQ-CASE-SUBJECTS-426</t>
        </is>
      </c>
      <c r="G429" s="40" t="inlineStr">
        <is>
          <t>Use case testing</t>
        </is>
      </c>
      <c r="H429" s="40" t="inlineStr">
        <is>
          <t>TB</t>
        </is>
      </c>
      <c r="I429" s="43" t="inlineStr">
        <is>
          <t>1. User đã login
2. Token JWT hợp lệ</t>
        </is>
      </c>
      <c r="J429" s="43" t="inlineStr">
        <is>
          <t>POST wardId='WARD-NOT-EXIST'</t>
        </is>
      </c>
      <c r="K429" s="43" t="inlineStr">
        <is>
          <t>-</t>
        </is>
      </c>
      <c r="L429" s="43" t="inlineStr">
        <is>
          <t>-</t>
        </is>
      </c>
      <c r="M429" s="43" t="inlineStr">
        <is>
          <t>400</t>
        </is>
      </c>
      <c r="N429" s="43" t="inlineStr">
        <is>
          <t>-</t>
        </is>
      </c>
      <c r="O429" s="40" t="inlineStr">
        <is>
          <t>Medium</t>
        </is>
      </c>
      <c r="P429" s="43" t="inlineStr">
        <is>
          <t>Thời gian: 154ms</t>
        </is>
      </c>
      <c r="Q429" s="40" t="inlineStr">
        <is>
          <t>Không đạt</t>
        </is>
      </c>
      <c r="R429" s="40" t="inlineStr">
        <is>
          <t>BUG-439</t>
        </is>
      </c>
      <c r="S429" s="40" t="inlineStr">
        <is>
          <t>23/05/2026 19:06</t>
        </is>
      </c>
      <c r="T429" s="43" t="inlineStr">
        <is>
          <t>R1:Không đạt</t>
        </is>
      </c>
      <c r="U429" s="40" t="inlineStr"/>
      <c r="V429" s="43" t="inlineStr"/>
    </row>
    <row r="430" ht="80" customHeight="1">
      <c r="A430" s="40" t="inlineStr">
        <is>
          <t>TC-427</t>
        </is>
      </c>
      <c r="B430" s="41" t="inlineStr">
        <is>
          <t>GREEN</t>
        </is>
      </c>
      <c r="C430" s="44" t="inlineStr">
        <is>
          <t>P1</t>
        </is>
      </c>
      <c r="D430" s="43" t="inlineStr">
        <is>
          <t>Subjects</t>
        </is>
      </c>
      <c r="E430" s="43" t="inlineStr">
        <is>
          <t>districtName denormalized preserve sau cải cách hành chính</t>
        </is>
      </c>
      <c r="F430" s="40" t="inlineStr">
        <is>
          <t>REQ-CASE-SUBJECTS-427</t>
        </is>
      </c>
      <c r="G430" s="40" t="inlineStr">
        <is>
          <t>Use case testing</t>
        </is>
      </c>
      <c r="H430" s="40" t="inlineStr">
        <is>
          <t>TB</t>
        </is>
      </c>
      <c r="I430" s="43" t="inlineStr">
        <is>
          <t>1. User đã login
2. Token JWT hợp lệ</t>
        </is>
      </c>
      <c r="J430" s="43" t="inlineStr">
        <is>
          <t>POST districtName='Quận 1'</t>
        </is>
      </c>
      <c r="K430" s="43" t="inlineStr">
        <is>
          <t>-</t>
        </is>
      </c>
      <c r="L430" s="43" t="inlineStr">
        <is>
          <t>Detail show 'Quận 1' kể cả khi đơn vị hành chính đã đổi</t>
        </is>
      </c>
      <c r="M430" s="43" t="inlineStr">
        <is>
          <t>201</t>
        </is>
      </c>
      <c r="N430" s="43" t="inlineStr">
        <is>
          <t>districtName lưu raw, không update khi directory đổi</t>
        </is>
      </c>
      <c r="O430" s="40" t="inlineStr">
        <is>
          <t>Medium</t>
        </is>
      </c>
      <c r="P430" s="43" t="inlineStr">
        <is>
          <t>Thời gian: 109ms</t>
        </is>
      </c>
      <c r="Q430" s="40" t="inlineStr">
        <is>
          <t>Không đạt</t>
        </is>
      </c>
      <c r="R430" s="40" t="inlineStr">
        <is>
          <t>BUG-440</t>
        </is>
      </c>
      <c r="S430" s="40" t="inlineStr">
        <is>
          <t>23/05/2026 19:06</t>
        </is>
      </c>
      <c r="T430" s="43" t="inlineStr">
        <is>
          <t>R1:Không đạt</t>
        </is>
      </c>
      <c r="U430" s="40" t="inlineStr"/>
      <c r="V430" s="43" t="inlineStr"/>
    </row>
    <row r="431" ht="80" customHeight="1">
      <c r="A431" s="40" t="inlineStr">
        <is>
          <t>TC-428</t>
        </is>
      </c>
      <c r="B431" s="41" t="inlineStr">
        <is>
          <t>GREEN</t>
        </is>
      </c>
      <c r="C431" s="44" t="inlineStr">
        <is>
          <t>P1</t>
        </is>
      </c>
      <c r="D431" s="43" t="inlineStr">
        <is>
          <t>Subjects</t>
        </is>
      </c>
      <c r="E431" s="43" t="inlineStr">
        <is>
          <t>Subject Filter by status=DETAINED</t>
        </is>
      </c>
      <c r="F431" s="40" t="inlineStr">
        <is>
          <t>REQ-CASE-SUBJECTS-428</t>
        </is>
      </c>
      <c r="G431" s="40" t="inlineStr">
        <is>
          <t>Use case testing</t>
        </is>
      </c>
      <c r="H431" s="40" t="inlineStr">
        <is>
          <t>TB</t>
        </is>
      </c>
      <c r="I431" s="43" t="inlineStr">
        <is>
          <t>1. User đã login
2. Token JWT hợp lệ</t>
        </is>
      </c>
      <c r="J431" s="43" t="inlineStr">
        <is>
          <t>GET /subjects?status=DETAINED</t>
        </is>
      </c>
      <c r="K431" s="43" t="inlineStr">
        <is>
          <t>-</t>
        </is>
      </c>
      <c r="L431" s="43" t="inlineStr">
        <is>
          <t>-</t>
        </is>
      </c>
      <c r="M431" s="43" t="inlineStr">
        <is>
          <t>data[].status=DETAINED</t>
        </is>
      </c>
      <c r="N431" s="43" t="inlineStr">
        <is>
          <t>-</t>
        </is>
      </c>
      <c r="O431" s="40" t="inlineStr">
        <is>
          <t>Medium</t>
        </is>
      </c>
      <c r="P431" s="43" t="inlineStr">
        <is>
          <t>Thời gian: 94ms</t>
        </is>
      </c>
      <c r="Q431" s="40" t="inlineStr">
        <is>
          <t>Không đạt</t>
        </is>
      </c>
      <c r="R431" s="40" t="inlineStr">
        <is>
          <t>BUG-441</t>
        </is>
      </c>
      <c r="S431" s="40" t="inlineStr">
        <is>
          <t>23/05/2026 19:06</t>
        </is>
      </c>
      <c r="T431" s="43" t="inlineStr">
        <is>
          <t>R1:Không đạt</t>
        </is>
      </c>
      <c r="U431" s="40" t="inlineStr"/>
      <c r="V431" s="43" t="inlineStr"/>
    </row>
    <row r="432" ht="80" customHeight="1">
      <c r="A432" s="40" t="inlineStr">
        <is>
          <t>TC-429</t>
        </is>
      </c>
      <c r="B432" s="41" t="inlineStr">
        <is>
          <t>GREEN</t>
        </is>
      </c>
      <c r="C432" s="44" t="inlineStr">
        <is>
          <t>P1</t>
        </is>
      </c>
      <c r="D432" s="43" t="inlineStr">
        <is>
          <t>Subjects</t>
        </is>
      </c>
      <c r="E432" s="43" t="inlineStr">
        <is>
          <t>Subject Filter by type=SUSPECT</t>
        </is>
      </c>
      <c r="F432" s="40" t="inlineStr">
        <is>
          <t>REQ-CASE-SUBJECTS-429</t>
        </is>
      </c>
      <c r="G432" s="40" t="inlineStr">
        <is>
          <t>Use case testing</t>
        </is>
      </c>
      <c r="H432" s="40" t="inlineStr">
        <is>
          <t>TB</t>
        </is>
      </c>
      <c r="I432" s="43" t="inlineStr">
        <is>
          <t>1. User đã login
2. Token JWT hợp lệ</t>
        </is>
      </c>
      <c r="J432" s="43" t="inlineStr">
        <is>
          <t>GET ?type=SUSPECT</t>
        </is>
      </c>
      <c r="K432" s="43" t="inlineStr">
        <is>
          <t>-</t>
        </is>
      </c>
      <c r="L432" s="43" t="inlineStr">
        <is>
          <t>-</t>
        </is>
      </c>
      <c r="M432" s="43" t="inlineStr">
        <is>
          <t>data[].type=SUSPECT</t>
        </is>
      </c>
      <c r="N432" s="43" t="inlineStr">
        <is>
          <t>-</t>
        </is>
      </c>
      <c r="O432" s="40" t="inlineStr">
        <is>
          <t>Medium</t>
        </is>
      </c>
      <c r="P432" s="43" t="inlineStr">
        <is>
          <t>Thời gian: 101ms</t>
        </is>
      </c>
      <c r="Q432" s="40" t="inlineStr">
        <is>
          <t>Không đạt</t>
        </is>
      </c>
      <c r="R432" s="40" t="inlineStr">
        <is>
          <t>BUG-442</t>
        </is>
      </c>
      <c r="S432" s="40" t="inlineStr">
        <is>
          <t>23/05/2026 19:06</t>
        </is>
      </c>
      <c r="T432" s="43" t="inlineStr">
        <is>
          <t>R1:Không đạt</t>
        </is>
      </c>
      <c r="U432" s="40" t="inlineStr"/>
      <c r="V432" s="43" t="inlineStr"/>
    </row>
    <row r="433" ht="80" customHeight="1">
      <c r="A433" s="40" t="inlineStr">
        <is>
          <t>TC-430</t>
        </is>
      </c>
      <c r="B433" s="45" t="inlineStr">
        <is>
          <t>RED</t>
        </is>
      </c>
      <c r="C433" s="42" t="inlineStr">
        <is>
          <t>P0</t>
        </is>
      </c>
      <c r="D433" s="43" t="inlineStr">
        <is>
          <t>Subjects</t>
        </is>
      </c>
      <c r="E433" s="43" t="inlineStr">
        <is>
          <t>User VIEWER không có write/Subject → 403</t>
        </is>
      </c>
      <c r="F433" s="40" t="inlineStr">
        <is>
          <t>REQ-CASE-SUBJECTS-430</t>
        </is>
      </c>
      <c r="G433" s="40" t="inlineStr">
        <is>
          <t>Use case testing</t>
        </is>
      </c>
      <c r="H433" s="40" t="inlineStr">
        <is>
          <t>Cao</t>
        </is>
      </c>
      <c r="I433" s="43" t="inlineStr">
        <is>
          <t>viewer</t>
        </is>
      </c>
      <c r="J433" s="43" t="inlineStr">
        <is>
          <t>POST /subjects</t>
        </is>
      </c>
      <c r="K433" s="43" t="inlineStr">
        <is>
          <t>-</t>
        </is>
      </c>
      <c r="L433" s="43" t="inlineStr">
        <is>
          <t>-</t>
        </is>
      </c>
      <c r="M433" s="43" t="inlineStr">
        <is>
          <t>403</t>
        </is>
      </c>
      <c r="N433" s="43" t="inlineStr">
        <is>
          <t>-</t>
        </is>
      </c>
      <c r="O433" s="40" t="inlineStr">
        <is>
          <t>Critical</t>
        </is>
      </c>
      <c r="P433" s="43" t="inlineStr">
        <is>
          <t>Đạt như expected. Thời gian: 63ms</t>
        </is>
      </c>
      <c r="Q433" s="40" t="inlineStr">
        <is>
          <t>Đạt</t>
        </is>
      </c>
      <c r="R433" s="40" t="inlineStr"/>
      <c r="S433" s="40" t="inlineStr">
        <is>
          <t>23/05/2026 19:06</t>
        </is>
      </c>
      <c r="T433" s="43" t="inlineStr">
        <is>
          <t>R1:Đạt</t>
        </is>
      </c>
      <c r="U433" s="40" t="inlineStr"/>
      <c r="V433" s="43" t="inlineStr"/>
    </row>
    <row r="434" ht="80" customHeight="1">
      <c r="A434" s="40" t="inlineStr">
        <is>
          <t>TC-431</t>
        </is>
      </c>
      <c r="B434" s="45" t="inlineStr">
        <is>
          <t>RED</t>
        </is>
      </c>
      <c r="C434" s="42" t="inlineStr">
        <is>
          <t>P0</t>
        </is>
      </c>
      <c r="D434" s="43" t="inlineStr">
        <is>
          <t>Subjects</t>
        </is>
      </c>
      <c r="E434" s="43" t="inlineStr">
        <is>
          <t>JWT thiếu → 401</t>
        </is>
      </c>
      <c r="F434" s="40" t="inlineStr">
        <is>
          <t>REQ-CASE-SUBJECTS-431</t>
        </is>
      </c>
      <c r="G434" s="40" t="inlineStr">
        <is>
          <t>Use case testing</t>
        </is>
      </c>
      <c r="H434" s="40" t="inlineStr">
        <is>
          <t>Cao</t>
        </is>
      </c>
      <c r="I434" s="43" t="inlineStr">
        <is>
          <t>1. User đã login
2. Token JWT hợp lệ</t>
        </is>
      </c>
      <c r="J434" s="43" t="inlineStr">
        <is>
          <t>POST không token</t>
        </is>
      </c>
      <c r="K434" s="43" t="inlineStr">
        <is>
          <t>-</t>
        </is>
      </c>
      <c r="L434" s="43" t="inlineStr">
        <is>
          <t>-</t>
        </is>
      </c>
      <c r="M434" s="43" t="inlineStr">
        <is>
          <t>401</t>
        </is>
      </c>
      <c r="N434" s="43" t="inlineStr">
        <is>
          <t>-</t>
        </is>
      </c>
      <c r="O434" s="40" t="inlineStr">
        <is>
          <t>Critical</t>
        </is>
      </c>
      <c r="P434" s="43" t="inlineStr">
        <is>
          <t>Đạt như expected. Thời gian: 65ms</t>
        </is>
      </c>
      <c r="Q434" s="40" t="inlineStr">
        <is>
          <t>Đạt</t>
        </is>
      </c>
      <c r="R434" s="40" t="inlineStr"/>
      <c r="S434" s="40" t="inlineStr">
        <is>
          <t>23/05/2026 19:06</t>
        </is>
      </c>
      <c r="T434" s="43" t="inlineStr">
        <is>
          <t>R1:Đạt</t>
        </is>
      </c>
      <c r="U434" s="40" t="inlineStr"/>
      <c r="V434" s="43" t="inlineStr"/>
    </row>
    <row r="435" ht="80" customHeight="1">
      <c r="A435" s="40" t="inlineStr">
        <is>
          <t>TC-432</t>
        </is>
      </c>
      <c r="B435" s="53" t="inlineStr">
        <is>
          <t>BOUNDARY</t>
        </is>
      </c>
      <c r="C435" s="44" t="inlineStr">
        <is>
          <t>P1</t>
        </is>
      </c>
      <c r="D435" s="43" t="inlineStr">
        <is>
          <t>Subjects</t>
        </is>
      </c>
      <c r="E435" s="43" t="inlineStr">
        <is>
          <t>fullName 1 ký tự 'A'</t>
        </is>
      </c>
      <c r="F435" s="40" t="inlineStr">
        <is>
          <t>REQ-CASE-SUBJECTS-432</t>
        </is>
      </c>
      <c r="G435" s="40" t="inlineStr">
        <is>
          <t>Use case testing</t>
        </is>
      </c>
      <c r="H435" s="40" t="inlineStr">
        <is>
          <t>TB</t>
        </is>
      </c>
      <c r="I435" s="43" t="inlineStr">
        <is>
          <t>1. User đã login
2. Token JWT hợp lệ</t>
        </is>
      </c>
      <c r="J435" s="43" t="inlineStr">
        <is>
          <t>POST fullName='A'</t>
        </is>
      </c>
      <c r="K435" s="43" t="inlineStr">
        <is>
          <t>-</t>
        </is>
      </c>
      <c r="L435" s="43" t="inlineStr">
        <is>
          <t>-</t>
        </is>
      </c>
      <c r="M435" s="43" t="inlineStr">
        <is>
          <t>201 (no min length)</t>
        </is>
      </c>
      <c r="N435" s="43" t="inlineStr">
        <is>
          <t>-</t>
        </is>
      </c>
      <c r="O435" s="40" t="inlineStr">
        <is>
          <t>Low</t>
        </is>
      </c>
      <c r="P435" s="43" t="inlineStr">
        <is>
          <t>Thời gian: 101ms</t>
        </is>
      </c>
      <c r="Q435" s="40" t="inlineStr">
        <is>
          <t>Không đạt</t>
        </is>
      </c>
      <c r="R435" s="40" t="inlineStr">
        <is>
          <t>BUG-443</t>
        </is>
      </c>
      <c r="S435" s="40" t="inlineStr">
        <is>
          <t>23/05/2026 19:06</t>
        </is>
      </c>
      <c r="T435" s="43" t="inlineStr">
        <is>
          <t>R1:Không đạt</t>
        </is>
      </c>
      <c r="U435" s="40" t="inlineStr"/>
      <c r="V435" s="43" t="inlineStr"/>
    </row>
    <row r="436" ht="80" customHeight="1">
      <c r="A436" s="40" t="inlineStr">
        <is>
          <t>TC-433</t>
        </is>
      </c>
      <c r="B436" s="53" t="inlineStr">
        <is>
          <t>BOUNDARY</t>
        </is>
      </c>
      <c r="C436" s="44" t="inlineStr">
        <is>
          <t>P1</t>
        </is>
      </c>
      <c r="D436" s="43" t="inlineStr">
        <is>
          <t>Subjects</t>
        </is>
      </c>
      <c r="E436" s="43" t="inlineStr">
        <is>
          <t>fullName 1000 ký tự (no max)</t>
        </is>
      </c>
      <c r="F436" s="40" t="inlineStr">
        <is>
          <t>REQ-CASE-SUBJECTS-433</t>
        </is>
      </c>
      <c r="G436" s="40" t="inlineStr">
        <is>
          <t>Use case testing</t>
        </is>
      </c>
      <c r="H436" s="40" t="inlineStr">
        <is>
          <t>TB</t>
        </is>
      </c>
      <c r="I436" s="43" t="inlineStr">
        <is>
          <t>1. User đã login
2. Token JWT hợp lệ</t>
        </is>
      </c>
      <c r="J436" s="43" t="inlineStr">
        <is>
          <t>POST fullName 'X'*1000</t>
        </is>
      </c>
      <c r="K436" s="43" t="inlineStr">
        <is>
          <t>-</t>
        </is>
      </c>
      <c r="L436" s="43" t="inlineStr">
        <is>
          <t>-</t>
        </is>
      </c>
      <c r="M436" s="43" t="inlineStr">
        <is>
          <t>201 (no MaxLength constraint — gap)</t>
        </is>
      </c>
      <c r="N436" s="43" t="inlineStr">
        <is>
          <t>-</t>
        </is>
      </c>
      <c r="O436" s="40" t="inlineStr">
        <is>
          <t>Low</t>
        </is>
      </c>
      <c r="P436" s="43" t="inlineStr">
        <is>
          <t>Thời gian: 70ms</t>
        </is>
      </c>
      <c r="Q436" s="40" t="inlineStr">
        <is>
          <t>Không đạt</t>
        </is>
      </c>
      <c r="R436" s="40" t="inlineStr">
        <is>
          <t>BUG-444</t>
        </is>
      </c>
      <c r="S436" s="40" t="inlineStr">
        <is>
          <t>23/05/2026 19:06</t>
        </is>
      </c>
      <c r="T436" s="43" t="inlineStr">
        <is>
          <t>R1:Không đạt</t>
        </is>
      </c>
      <c r="U436" s="40" t="inlineStr"/>
      <c r="V436" s="43" t="inlineStr">
        <is>
          <t>Gap: nên có MaxLength để chống DoS</t>
        </is>
      </c>
    </row>
    <row r="437" ht="80" customHeight="1">
      <c r="A437" s="40" t="inlineStr">
        <is>
          <t>TC-434</t>
        </is>
      </c>
      <c r="B437" s="52" t="inlineStr">
        <is>
          <t>DATA</t>
        </is>
      </c>
      <c r="C437" s="44" t="inlineStr">
        <is>
          <t>P1</t>
        </is>
      </c>
      <c r="D437" s="43" t="inlineStr">
        <is>
          <t>Subjects</t>
        </is>
      </c>
      <c r="E437" s="43" t="inlineStr">
        <is>
          <t>phone number format VN '0901234567'</t>
        </is>
      </c>
      <c r="F437" s="40" t="inlineStr">
        <is>
          <t>REQ-CASE-SUBJECTS-434</t>
        </is>
      </c>
      <c r="G437" s="40" t="inlineStr">
        <is>
          <t>Use case testing</t>
        </is>
      </c>
      <c r="H437" s="40" t="inlineStr">
        <is>
          <t>TB</t>
        </is>
      </c>
      <c r="I437" s="43" t="inlineStr">
        <is>
          <t>1. User đã login
2. Token JWT hợp lệ</t>
        </is>
      </c>
      <c r="J437" s="43" t="inlineStr">
        <is>
          <t>POST phone='0901234567'</t>
        </is>
      </c>
      <c r="K437" s="43" t="inlineStr">
        <is>
          <t>-</t>
        </is>
      </c>
      <c r="L437" s="43" t="inlineStr">
        <is>
          <t>-</t>
        </is>
      </c>
      <c r="M437" s="43" t="inlineStr">
        <is>
          <t>201 (no validation — gap)</t>
        </is>
      </c>
      <c r="N437" s="43" t="inlineStr">
        <is>
          <t>-</t>
        </is>
      </c>
      <c r="O437" s="40" t="inlineStr">
        <is>
          <t>Medium</t>
        </is>
      </c>
      <c r="P437" s="43" t="inlineStr">
        <is>
          <t>Thời gian: 79ms</t>
        </is>
      </c>
      <c r="Q437" s="40" t="inlineStr">
        <is>
          <t>Không đạt</t>
        </is>
      </c>
      <c r="R437" s="40" t="inlineStr">
        <is>
          <t>BUG-445</t>
        </is>
      </c>
      <c r="S437" s="40" t="inlineStr">
        <is>
          <t>23/05/2026 19:06</t>
        </is>
      </c>
      <c r="T437" s="43" t="inlineStr">
        <is>
          <t>R1:Không đạt</t>
        </is>
      </c>
      <c r="U437" s="40" t="inlineStr"/>
      <c r="V437" s="43" t="inlineStr"/>
    </row>
    <row r="438" ht="80" customHeight="1">
      <c r="A438" s="40" t="inlineStr">
        <is>
          <t>TC-435</t>
        </is>
      </c>
      <c r="B438" s="52" t="inlineStr">
        <is>
          <t>DATA</t>
        </is>
      </c>
      <c r="C438" s="44" t="inlineStr">
        <is>
          <t>P1</t>
        </is>
      </c>
      <c r="D438" s="43" t="inlineStr">
        <is>
          <t>Subjects</t>
        </is>
      </c>
      <c r="E438" s="43" t="inlineStr">
        <is>
          <t>phone với ký tự đặc biệt '+84 901 234 567'</t>
        </is>
      </c>
      <c r="F438" s="40" t="inlineStr">
        <is>
          <t>REQ-CASE-SUBJECTS-435</t>
        </is>
      </c>
      <c r="G438" s="40" t="inlineStr">
        <is>
          <t>Use case testing</t>
        </is>
      </c>
      <c r="H438" s="40" t="inlineStr">
        <is>
          <t>TB</t>
        </is>
      </c>
      <c r="I438" s="43" t="inlineStr">
        <is>
          <t>1. User đã login
2. Token JWT hợp lệ</t>
        </is>
      </c>
      <c r="J438" s="43" t="inlineStr">
        <is>
          <t>POST phone='+84 901 234 567'</t>
        </is>
      </c>
      <c r="K438" s="43" t="inlineStr">
        <is>
          <t>-</t>
        </is>
      </c>
      <c r="L438" s="43" t="inlineStr">
        <is>
          <t>-</t>
        </is>
      </c>
      <c r="M438" s="43" t="inlineStr">
        <is>
          <t>201 raw</t>
        </is>
      </c>
      <c r="N438" s="43" t="inlineStr">
        <is>
          <t>-</t>
        </is>
      </c>
      <c r="O438" s="40" t="inlineStr">
        <is>
          <t>Low</t>
        </is>
      </c>
      <c r="P438" s="43" t="inlineStr">
        <is>
          <t>Thời gian: 137ms</t>
        </is>
      </c>
      <c r="Q438" s="40" t="inlineStr">
        <is>
          <t>Không đạt</t>
        </is>
      </c>
      <c r="R438" s="40" t="inlineStr">
        <is>
          <t>BUG-446</t>
        </is>
      </c>
      <c r="S438" s="40" t="inlineStr">
        <is>
          <t>23/05/2026 19:06</t>
        </is>
      </c>
      <c r="T438" s="43" t="inlineStr">
        <is>
          <t>R1:Không đạt</t>
        </is>
      </c>
      <c r="U438" s="40" t="inlineStr"/>
      <c r="V438" s="43" t="inlineStr"/>
    </row>
    <row r="439" ht="80" customHeight="1">
      <c r="A439" s="40" t="inlineStr">
        <is>
          <t>TC-436</t>
        </is>
      </c>
      <c r="B439" s="56" t="inlineStr">
        <is>
          <t>INTEGRATION</t>
        </is>
      </c>
      <c r="C439" s="44" t="inlineStr">
        <is>
          <t>P1</t>
        </is>
      </c>
      <c r="D439" s="43" t="inlineStr">
        <is>
          <t>Subjects</t>
        </is>
      </c>
      <c r="E439" s="43" t="inlineStr">
        <is>
          <t>Subject + Lawyer assign: thêm Lawyer cho 1 Subject cụ thể</t>
        </is>
      </c>
      <c r="F439" s="40" t="inlineStr">
        <is>
          <t>REQ-CASE-SUBJECTS-436</t>
        </is>
      </c>
      <c r="G439" s="40" t="inlineStr">
        <is>
          <t>Use case testing</t>
        </is>
      </c>
      <c r="H439" s="40" t="inlineStr">
        <is>
          <t>TB</t>
        </is>
      </c>
      <c r="I439" s="43" t="inlineStr">
        <is>
          <t>1. User đã login
2. Token JWT hợp lệ</t>
        </is>
      </c>
      <c r="J439" s="43" t="inlineStr">
        <is>
          <t>POST Lawyer với subjectId=S001</t>
        </is>
      </c>
      <c r="K439" s="43" t="inlineStr">
        <is>
          <t>-</t>
        </is>
      </c>
      <c r="L439" s="43" t="inlineStr">
        <is>
          <t>-</t>
        </is>
      </c>
      <c r="M439" s="43" t="inlineStr">
        <is>
          <t>201 lawyer.subjectId=S001</t>
        </is>
      </c>
      <c r="N439" s="43" t="inlineStr">
        <is>
          <t>-</t>
        </is>
      </c>
      <c r="O439" s="40" t="inlineStr">
        <is>
          <t>Medium</t>
        </is>
      </c>
      <c r="P439" s="43" t="inlineStr">
        <is>
          <t>Thời gian: 71ms</t>
        </is>
      </c>
      <c r="Q439" s="40" t="inlineStr">
        <is>
          <t>Không đạt</t>
        </is>
      </c>
      <c r="R439" s="40" t="inlineStr">
        <is>
          <t>BUG-447</t>
        </is>
      </c>
      <c r="S439" s="40" t="inlineStr">
        <is>
          <t>23/05/2026 19:06</t>
        </is>
      </c>
      <c r="T439" s="43" t="inlineStr">
        <is>
          <t>R1:Không đạt</t>
        </is>
      </c>
      <c r="U439" s="40" t="inlineStr"/>
      <c r="V439" s="43" t="inlineStr"/>
    </row>
    <row r="440" ht="80" customHeight="1">
      <c r="A440" s="40" t="inlineStr">
        <is>
          <t>TC-437</t>
        </is>
      </c>
      <c r="B440" s="56" t="inlineStr">
        <is>
          <t>INTEGRATION</t>
        </is>
      </c>
      <c r="C440" s="44" t="inlineStr">
        <is>
          <t>P1</t>
        </is>
      </c>
      <c r="D440" s="43" t="inlineStr">
        <is>
          <t>Subjects</t>
        </is>
      </c>
      <c r="E440" s="43" t="inlineStr">
        <is>
          <t>Delete Subject có Lawyer link — Lawyer.subjectId=NULL (SetNull)</t>
        </is>
      </c>
      <c r="F440" s="40" t="inlineStr">
        <is>
          <t>REQ-CASE-SUBJECTS-437</t>
        </is>
      </c>
      <c r="G440" s="40" t="inlineStr">
        <is>
          <t>Use case testing</t>
        </is>
      </c>
      <c r="H440" s="40" t="inlineStr">
        <is>
          <t>TB</t>
        </is>
      </c>
      <c r="I440" s="43" t="inlineStr">
        <is>
          <t>1. User đã login
2. Token JWT hợp lệ</t>
        </is>
      </c>
      <c r="J440" s="43" t="inlineStr">
        <is>
          <t>DELETE Subject có 1 Lawyer</t>
        </is>
      </c>
      <c r="K440" s="43" t="inlineStr">
        <is>
          <t>-</t>
        </is>
      </c>
      <c r="L440" s="43" t="inlineStr">
        <is>
          <t>-</t>
        </is>
      </c>
      <c r="M440" s="43" t="inlineStr">
        <is>
          <t>200 subject deleted</t>
        </is>
      </c>
      <c r="N440" s="43" t="inlineStr">
        <is>
          <t>Lawyer.subjectId=NULL (Prisma onDelete: SetNull)</t>
        </is>
      </c>
      <c r="O440" s="40" t="inlineStr">
        <is>
          <t>High</t>
        </is>
      </c>
      <c r="P440" s="43" t="inlineStr">
        <is>
          <t>Thời gian: 109ms</t>
        </is>
      </c>
      <c r="Q440" s="40" t="inlineStr">
        <is>
          <t>Không đạt</t>
        </is>
      </c>
      <c r="R440" s="40" t="inlineStr">
        <is>
          <t>BUG-448</t>
        </is>
      </c>
      <c r="S440" s="40" t="inlineStr">
        <is>
          <t>23/05/2026 19:06</t>
        </is>
      </c>
      <c r="T440" s="43" t="inlineStr">
        <is>
          <t>R1:Không đạt</t>
        </is>
      </c>
      <c r="U440" s="40" t="inlineStr"/>
      <c r="V440" s="43" t="inlineStr"/>
    </row>
    <row r="441" ht="80" customHeight="1">
      <c r="A441" s="40" t="inlineStr">
        <is>
          <t>TC-438</t>
        </is>
      </c>
      <c r="B441" s="57" t="inlineStr">
        <is>
          <t>RECOVERY</t>
        </is>
      </c>
      <c r="C441" s="44" t="inlineStr">
        <is>
          <t>P1</t>
        </is>
      </c>
      <c r="D441" s="43" t="inlineStr">
        <is>
          <t>Subjects</t>
        </is>
      </c>
      <c r="E441" s="43" t="inlineStr">
        <is>
          <t>Atomic Subject create rollback nếu audit fail</t>
        </is>
      </c>
      <c r="F441" s="40" t="inlineStr">
        <is>
          <t>REQ-CASE-SUBJECTS-438</t>
        </is>
      </c>
      <c r="G441" s="40" t="inlineStr">
        <is>
          <t>Use case testing</t>
        </is>
      </c>
      <c r="H441" s="40" t="inlineStr">
        <is>
          <t>TB</t>
        </is>
      </c>
      <c r="I441" s="43" t="inlineStr">
        <is>
          <t>1. User đã login
2. Token JWT hợp lệ</t>
        </is>
      </c>
      <c r="J441" s="43" t="inlineStr">
        <is>
          <t>Mock audit throw</t>
        </is>
      </c>
      <c r="K441" s="43" t="inlineStr">
        <is>
          <t>-</t>
        </is>
      </c>
      <c r="L441" s="43" t="inlineStr">
        <is>
          <t>-</t>
        </is>
      </c>
      <c r="M441" s="43" t="inlineStr">
        <is>
          <t>500</t>
        </is>
      </c>
      <c r="N441" s="43" t="inlineStr">
        <is>
          <t>No subject row created</t>
        </is>
      </c>
      <c r="O441" s="40" t="inlineStr">
        <is>
          <t>High</t>
        </is>
      </c>
      <c r="P441" s="43" t="inlineStr">
        <is>
          <t>Thời gian: 114ms</t>
        </is>
      </c>
      <c r="Q441" s="40" t="inlineStr">
        <is>
          <t>Không đạt</t>
        </is>
      </c>
      <c r="R441" s="40" t="inlineStr">
        <is>
          <t>BUG-449</t>
        </is>
      </c>
      <c r="S441" s="40" t="inlineStr">
        <is>
          <t>23/05/2026 19:06</t>
        </is>
      </c>
      <c r="T441" s="43" t="inlineStr">
        <is>
          <t>R1:Không đạt</t>
        </is>
      </c>
      <c r="U441" s="40" t="inlineStr"/>
      <c r="V441" s="43" t="inlineStr"/>
    </row>
    <row r="442" ht="80" customHeight="1">
      <c r="A442" s="40" t="inlineStr">
        <is>
          <t>TC-439</t>
        </is>
      </c>
      <c r="B442" s="58" t="inlineStr">
        <is>
          <t>AUDIT</t>
        </is>
      </c>
      <c r="C442" s="42" t="inlineStr">
        <is>
          <t>P0</t>
        </is>
      </c>
      <c r="D442" s="43" t="inlineStr">
        <is>
          <t>Subjects</t>
        </is>
      </c>
      <c r="E442" s="43" t="inlineStr">
        <is>
          <t>SUBJECT_CREATED log có caseId trong metadata</t>
        </is>
      </c>
      <c r="F442" s="40" t="inlineStr">
        <is>
          <t>REQ-CASE-SUBJECTS-439</t>
        </is>
      </c>
      <c r="G442" s="40" t="inlineStr">
        <is>
          <t>Use case testing</t>
        </is>
      </c>
      <c r="H442" s="40" t="inlineStr">
        <is>
          <t>Cao</t>
        </is>
      </c>
      <c r="I442" s="43" t="inlineStr">
        <is>
          <t>1. User đã login
2. Token JWT hợp lệ</t>
        </is>
      </c>
      <c r="J442" s="43" t="inlineStr">
        <is>
          <t>POST</t>
        </is>
      </c>
      <c r="K442" s="43" t="inlineStr">
        <is>
          <t>-</t>
        </is>
      </c>
      <c r="L442" s="43" t="inlineStr">
        <is>
          <t>-</t>
        </is>
      </c>
      <c r="M442" s="43" t="inlineStr">
        <is>
          <t>-</t>
        </is>
      </c>
      <c r="N442" s="43" t="inlineStr">
        <is>
          <t>metadata.caseId, fullName, idNumber preserved</t>
        </is>
      </c>
      <c r="O442" s="40" t="inlineStr">
        <is>
          <t>High</t>
        </is>
      </c>
      <c r="P442" s="43" t="inlineStr">
        <is>
          <t>Thời gian: 102ms</t>
        </is>
      </c>
      <c r="Q442" s="40" t="inlineStr">
        <is>
          <t>Không đạt</t>
        </is>
      </c>
      <c r="R442" s="40" t="inlineStr">
        <is>
          <t>BUG-450</t>
        </is>
      </c>
      <c r="S442" s="40" t="inlineStr">
        <is>
          <t>23/05/2026 19:06</t>
        </is>
      </c>
      <c r="T442" s="43" t="inlineStr">
        <is>
          <t>R1:Không đạt</t>
        </is>
      </c>
      <c r="U442" s="40" t="inlineStr"/>
      <c r="V442" s="43" t="inlineStr"/>
    </row>
    <row r="443" ht="80" customHeight="1">
      <c r="A443" s="40" t="inlineStr">
        <is>
          <t>TC-440</t>
        </is>
      </c>
      <c r="B443" s="41" t="inlineStr">
        <is>
          <t>GREEN</t>
        </is>
      </c>
      <c r="C443" s="42" t="inlineStr">
        <is>
          <t>P0</t>
        </is>
      </c>
      <c r="D443" s="43" t="inlineStr">
        <is>
          <t>Lawyers</t>
        </is>
      </c>
      <c r="E443" s="43" t="inlineStr">
        <is>
          <t>Tạo Lawyer với barNumber unique</t>
        </is>
      </c>
      <c r="F443" s="40" t="inlineStr">
        <is>
          <t>REQ-CASE-LAWYERS-440</t>
        </is>
      </c>
      <c r="G443" s="40" t="inlineStr">
        <is>
          <t>Use case testing</t>
        </is>
      </c>
      <c r="H443" s="40" t="inlineStr">
        <is>
          <t>Cao</t>
        </is>
      </c>
      <c r="I443" s="43" t="inlineStr">
        <is>
          <t>1. User đã login
2. Token JWT hợp lệ</t>
        </is>
      </c>
      <c r="J443" s="43" t="inlineStr">
        <is>
          <t>POST /api/lawyers {fullName, barNumber, caseId, lawFirm, phone}</t>
        </is>
      </c>
      <c r="K443" s="43" t="inlineStr">
        <is>
          <t>fullName='Luật sư Trần Văn B', barNumber='LS-2026-12345', caseId='C001', lawFirm='VP Luật ABC', phone='0901234567'</t>
        </is>
      </c>
      <c r="L443" s="43" t="inlineStr">
        <is>
          <t>Toast 'Tạo luật sư thành công'</t>
        </is>
      </c>
      <c r="M443" s="43" t="inlineStr">
        <is>
          <t>201</t>
        </is>
      </c>
      <c r="N443" s="43" t="inlineStr">
        <is>
          <t>DB row + audit</t>
        </is>
      </c>
      <c r="O443" s="40" t="inlineStr">
        <is>
          <t>High</t>
        </is>
      </c>
      <c r="P443" s="43" t="inlineStr">
        <is>
          <t>Thời gian: 141ms</t>
        </is>
      </c>
      <c r="Q443" s="40" t="inlineStr">
        <is>
          <t>Không đạt</t>
        </is>
      </c>
      <c r="R443" s="40" t="inlineStr">
        <is>
          <t>BUG-261</t>
        </is>
      </c>
      <c r="S443" s="40" t="inlineStr">
        <is>
          <t>23/05/2026 19:06</t>
        </is>
      </c>
      <c r="T443" s="43" t="inlineStr">
        <is>
          <t>R1:Không đạt</t>
        </is>
      </c>
      <c r="U443" s="40" t="inlineStr"/>
      <c r="V443" s="43" t="inlineStr"/>
    </row>
    <row r="444" ht="80" customHeight="1">
      <c r="A444" s="40" t="inlineStr">
        <is>
          <t>TC-441</t>
        </is>
      </c>
      <c r="B444" s="41" t="inlineStr">
        <is>
          <t>GREEN</t>
        </is>
      </c>
      <c r="C444" s="42" t="inlineStr">
        <is>
          <t>P0</t>
        </is>
      </c>
      <c r="D444" s="43" t="inlineStr">
        <is>
          <t>Lawyers</t>
        </is>
      </c>
      <c r="E444" s="43" t="inlineStr">
        <is>
          <t>Tạo Lawyer gắn subjectId (bào chữa cho subject cụ thể)</t>
        </is>
      </c>
      <c r="F444" s="40" t="inlineStr">
        <is>
          <t>REQ-CASE-LAWYERS-441</t>
        </is>
      </c>
      <c r="G444" s="40" t="inlineStr">
        <is>
          <t>Use case testing</t>
        </is>
      </c>
      <c r="H444" s="40" t="inlineStr">
        <is>
          <t>Cao</t>
        </is>
      </c>
      <c r="I444" s="43" t="inlineStr">
        <is>
          <t>1. User đã login
2. Token JWT hợp lệ</t>
        </is>
      </c>
      <c r="J444" s="43" t="inlineStr">
        <is>
          <t>POST với subjectId='S001'</t>
        </is>
      </c>
      <c r="K444" s="43" t="inlineStr">
        <is>
          <t>subjectId='S001'</t>
        </is>
      </c>
      <c r="L444" s="43" t="inlineStr">
        <is>
          <t>Detail show 'Bào chữa cho Nguyễn Văn A'</t>
        </is>
      </c>
      <c r="M444" s="43" t="inlineStr">
        <is>
          <t>201</t>
        </is>
      </c>
      <c r="N444" s="43" t="inlineStr">
        <is>
          <t>-</t>
        </is>
      </c>
      <c r="O444" s="40" t="inlineStr">
        <is>
          <t>High</t>
        </is>
      </c>
      <c r="P444" s="43" t="inlineStr">
        <is>
          <t>Thời gian: 758ms</t>
        </is>
      </c>
      <c r="Q444" s="40" t="inlineStr">
        <is>
          <t>Không đạt</t>
        </is>
      </c>
      <c r="R444" s="40" t="inlineStr">
        <is>
          <t>BUG-262</t>
        </is>
      </c>
      <c r="S444" s="40" t="inlineStr">
        <is>
          <t>23/05/2026 19:06</t>
        </is>
      </c>
      <c r="T444" s="43" t="inlineStr">
        <is>
          <t>R1:Không đạt</t>
        </is>
      </c>
      <c r="U444" s="40" t="inlineStr"/>
      <c r="V444" s="43" t="inlineStr"/>
    </row>
    <row r="445" ht="80" customHeight="1">
      <c r="A445" s="40" t="inlineStr">
        <is>
          <t>TC-442</t>
        </is>
      </c>
      <c r="B445" s="41" t="inlineStr">
        <is>
          <t>GREEN</t>
        </is>
      </c>
      <c r="C445" s="44" t="inlineStr">
        <is>
          <t>P1</t>
        </is>
      </c>
      <c r="D445" s="43" t="inlineStr">
        <is>
          <t>Lawyers</t>
        </is>
      </c>
      <c r="E445" s="43" t="inlineStr">
        <is>
          <t>Lawyer không gắn subjectId (bào chữa chung)</t>
        </is>
      </c>
      <c r="F445" s="40" t="inlineStr">
        <is>
          <t>REQ-CASE-LAWYERS-442</t>
        </is>
      </c>
      <c r="G445" s="40" t="inlineStr">
        <is>
          <t>Use case testing</t>
        </is>
      </c>
      <c r="H445" s="40" t="inlineStr">
        <is>
          <t>TB</t>
        </is>
      </c>
      <c r="I445" s="43" t="inlineStr">
        <is>
          <t>1. User đã login
2. Token JWT hợp lệ</t>
        </is>
      </c>
      <c r="J445" s="43" t="inlineStr">
        <is>
          <t>POST không subjectId</t>
        </is>
      </c>
      <c r="K445" s="43" t="inlineStr">
        <is>
          <t>-</t>
        </is>
      </c>
      <c r="L445" s="43" t="inlineStr">
        <is>
          <t>Detail 'Bào chữa chung'</t>
        </is>
      </c>
      <c r="M445" s="43" t="inlineStr">
        <is>
          <t>201 subjectId=null</t>
        </is>
      </c>
      <c r="N445" s="43" t="inlineStr">
        <is>
          <t>-</t>
        </is>
      </c>
      <c r="O445" s="40" t="inlineStr">
        <is>
          <t>Medium</t>
        </is>
      </c>
      <c r="P445" s="43" t="inlineStr">
        <is>
          <t>Thời gian: 847ms</t>
        </is>
      </c>
      <c r="Q445" s="40" t="inlineStr">
        <is>
          <t>Không đạt</t>
        </is>
      </c>
      <c r="R445" s="40" t="inlineStr">
        <is>
          <t>BUG-263</t>
        </is>
      </c>
      <c r="S445" s="40" t="inlineStr">
        <is>
          <t>23/05/2026 19:06</t>
        </is>
      </c>
      <c r="T445" s="43" t="inlineStr">
        <is>
          <t>R1:Không đạt</t>
        </is>
      </c>
      <c r="U445" s="40" t="inlineStr"/>
      <c r="V445" s="43" t="inlineStr"/>
    </row>
    <row r="446" ht="80" customHeight="1">
      <c r="A446" s="40" t="inlineStr">
        <is>
          <t>TC-443</t>
        </is>
      </c>
      <c r="B446" s="45" t="inlineStr">
        <is>
          <t>RED</t>
        </is>
      </c>
      <c r="C446" s="42" t="inlineStr">
        <is>
          <t>P0</t>
        </is>
      </c>
      <c r="D446" s="43" t="inlineStr">
        <is>
          <t>Lawyers</t>
        </is>
      </c>
      <c r="E446" s="43" t="inlineStr">
        <is>
          <t>fullName rỗng → 400</t>
        </is>
      </c>
      <c r="F446" s="40" t="inlineStr">
        <is>
          <t>REQ-CASE-LAWYERS-443</t>
        </is>
      </c>
      <c r="G446" s="40" t="inlineStr">
        <is>
          <t>Use case testing</t>
        </is>
      </c>
      <c r="H446" s="40" t="inlineStr">
        <is>
          <t>Cao</t>
        </is>
      </c>
      <c r="I446" s="43" t="inlineStr">
        <is>
          <t>1. User đã login
2. Token JWT hợp lệ</t>
        </is>
      </c>
      <c r="J446" s="43" t="inlineStr">
        <is>
          <t>POST fullName=''</t>
        </is>
      </c>
      <c r="K446" s="43" t="inlineStr">
        <is>
          <t>-</t>
        </is>
      </c>
      <c r="L446" s="43" t="inlineStr">
        <is>
          <t>Error 'Họ tên luật sư không được để trống'</t>
        </is>
      </c>
      <c r="M446" s="43" t="inlineStr">
        <is>
          <t>400</t>
        </is>
      </c>
      <c r="N446" s="43" t="inlineStr">
        <is>
          <t>-</t>
        </is>
      </c>
      <c r="O446" s="40" t="inlineStr">
        <is>
          <t>High</t>
        </is>
      </c>
      <c r="P446" s="43" t="inlineStr">
        <is>
          <t>Thời gian: 189ms</t>
        </is>
      </c>
      <c r="Q446" s="40" t="inlineStr">
        <is>
          <t>Không đạt</t>
        </is>
      </c>
      <c r="R446" s="40" t="inlineStr">
        <is>
          <t>BUG-264</t>
        </is>
      </c>
      <c r="S446" s="40" t="inlineStr">
        <is>
          <t>23/05/2026 19:06</t>
        </is>
      </c>
      <c r="T446" s="43" t="inlineStr">
        <is>
          <t>R1:Không đạt</t>
        </is>
      </c>
      <c r="U446" s="40" t="inlineStr"/>
      <c r="V446" s="43" t="inlineStr"/>
    </row>
    <row r="447" ht="80" customHeight="1">
      <c r="A447" s="40" t="inlineStr">
        <is>
          <t>TC-444</t>
        </is>
      </c>
      <c r="B447" s="45" t="inlineStr">
        <is>
          <t>RED</t>
        </is>
      </c>
      <c r="C447" s="42" t="inlineStr">
        <is>
          <t>P0</t>
        </is>
      </c>
      <c r="D447" s="43" t="inlineStr">
        <is>
          <t>Lawyers</t>
        </is>
      </c>
      <c r="E447" s="43" t="inlineStr">
        <is>
          <t>barNumber rỗng → 400</t>
        </is>
      </c>
      <c r="F447" s="40" t="inlineStr">
        <is>
          <t>REQ-CASE-LAWYERS-444</t>
        </is>
      </c>
      <c r="G447" s="40" t="inlineStr">
        <is>
          <t>Use case testing</t>
        </is>
      </c>
      <c r="H447" s="40" t="inlineStr">
        <is>
          <t>Cao</t>
        </is>
      </c>
      <c r="I447" s="43" t="inlineStr">
        <is>
          <t>1. User đã login
2. Token JWT hợp lệ</t>
        </is>
      </c>
      <c r="J447" s="43" t="inlineStr">
        <is>
          <t>POST barNumber=''</t>
        </is>
      </c>
      <c r="K447" s="43" t="inlineStr">
        <is>
          <t>-</t>
        </is>
      </c>
      <c r="L447" s="43" t="inlineStr">
        <is>
          <t>Error 'Số thẻ luật sư không được để trống'</t>
        </is>
      </c>
      <c r="M447" s="43" t="inlineStr">
        <is>
          <t>400</t>
        </is>
      </c>
      <c r="N447" s="43" t="inlineStr">
        <is>
          <t>-</t>
        </is>
      </c>
      <c r="O447" s="40" t="inlineStr">
        <is>
          <t>High</t>
        </is>
      </c>
      <c r="P447" s="43" t="inlineStr">
        <is>
          <t>Thời gian: 178ms</t>
        </is>
      </c>
      <c r="Q447" s="40" t="inlineStr">
        <is>
          <t>Không đạt</t>
        </is>
      </c>
      <c r="R447" s="40" t="inlineStr">
        <is>
          <t>BUG-265</t>
        </is>
      </c>
      <c r="S447" s="40" t="inlineStr">
        <is>
          <t>23/05/2026 19:06</t>
        </is>
      </c>
      <c r="T447" s="43" t="inlineStr">
        <is>
          <t>R1:Không đạt</t>
        </is>
      </c>
      <c r="U447" s="40" t="inlineStr"/>
      <c r="V447" s="43" t="inlineStr"/>
    </row>
    <row r="448" ht="80" customHeight="1">
      <c r="A448" s="40" t="inlineStr">
        <is>
          <t>TC-445</t>
        </is>
      </c>
      <c r="B448" s="45" t="inlineStr">
        <is>
          <t>RED</t>
        </is>
      </c>
      <c r="C448" s="42" t="inlineStr">
        <is>
          <t>P0</t>
        </is>
      </c>
      <c r="D448" s="43" t="inlineStr">
        <is>
          <t>Lawyers</t>
        </is>
      </c>
      <c r="E448" s="43" t="inlineStr">
        <is>
          <t>barNumber duplicate (đã tồn tại) → 409 unique constraint</t>
        </is>
      </c>
      <c r="F448" s="40" t="inlineStr">
        <is>
          <t>REQ-CASE-LAWYERS-445</t>
        </is>
      </c>
      <c r="G448" s="40" t="inlineStr">
        <is>
          <t>Use case testing</t>
        </is>
      </c>
      <c r="H448" s="40" t="inlineStr">
        <is>
          <t>Cao</t>
        </is>
      </c>
      <c r="I448" s="43" t="inlineStr">
        <is>
          <t>LS-2026-12345 đã tồn tại</t>
        </is>
      </c>
      <c r="J448" s="43" t="inlineStr">
        <is>
          <t>POST barNumber='LS-2026-12345'</t>
        </is>
      </c>
      <c r="K448" s="43" t="inlineStr">
        <is>
          <t>-</t>
        </is>
      </c>
      <c r="L448" s="43" t="inlineStr">
        <is>
          <t>Toast 'Số thẻ luật sư đã tồn tại'</t>
        </is>
      </c>
      <c r="M448" s="43" t="inlineStr">
        <is>
          <t>409 (P2002)</t>
        </is>
      </c>
      <c r="N448" s="43" t="inlineStr">
        <is>
          <t>-</t>
        </is>
      </c>
      <c r="O448" s="40" t="inlineStr">
        <is>
          <t>High</t>
        </is>
      </c>
      <c r="P448" s="43" t="inlineStr">
        <is>
          <t>Thời gian: 144ms</t>
        </is>
      </c>
      <c r="Q448" s="40" t="inlineStr">
        <is>
          <t>Không đạt</t>
        </is>
      </c>
      <c r="R448" s="40" t="inlineStr">
        <is>
          <t>BUG-266</t>
        </is>
      </c>
      <c r="S448" s="40" t="inlineStr">
        <is>
          <t>23/05/2026 19:06</t>
        </is>
      </c>
      <c r="T448" s="43" t="inlineStr">
        <is>
          <t>R1:Không đạt</t>
        </is>
      </c>
      <c r="U448" s="40" t="inlineStr"/>
      <c r="V448" s="43" t="inlineStr"/>
    </row>
    <row r="449" ht="80" customHeight="1">
      <c r="A449" s="40" t="inlineStr">
        <is>
          <t>TC-446</t>
        </is>
      </c>
      <c r="B449" s="45" t="inlineStr">
        <is>
          <t>RED</t>
        </is>
      </c>
      <c r="C449" s="42" t="inlineStr">
        <is>
          <t>P0</t>
        </is>
      </c>
      <c r="D449" s="43" t="inlineStr">
        <is>
          <t>Lawyers</t>
        </is>
      </c>
      <c r="E449" s="43" t="inlineStr">
        <is>
          <t>caseId rỗng → 400</t>
        </is>
      </c>
      <c r="F449" s="40" t="inlineStr">
        <is>
          <t>REQ-CASE-LAWYERS-446</t>
        </is>
      </c>
      <c r="G449" s="40" t="inlineStr">
        <is>
          <t>Use case testing</t>
        </is>
      </c>
      <c r="H449" s="40" t="inlineStr">
        <is>
          <t>Cao</t>
        </is>
      </c>
      <c r="I449" s="43" t="inlineStr">
        <is>
          <t>1. User đã login
2. Token JWT hợp lệ</t>
        </is>
      </c>
      <c r="J449" s="43" t="inlineStr">
        <is>
          <t>POST caseId=''</t>
        </is>
      </c>
      <c r="K449" s="43" t="inlineStr">
        <is>
          <t>-</t>
        </is>
      </c>
      <c r="L449" s="43" t="inlineStr">
        <is>
          <t>-</t>
        </is>
      </c>
      <c r="M449" s="43" t="inlineStr">
        <is>
          <t>400 'Vụ án không được để trống'</t>
        </is>
      </c>
      <c r="N449" s="43" t="inlineStr">
        <is>
          <t>-</t>
        </is>
      </c>
      <c r="O449" s="40" t="inlineStr">
        <is>
          <t>High</t>
        </is>
      </c>
      <c r="P449" s="43" t="inlineStr">
        <is>
          <t>Thời gian: 131ms</t>
        </is>
      </c>
      <c r="Q449" s="40" t="inlineStr">
        <is>
          <t>Không đạt</t>
        </is>
      </c>
      <c r="R449" s="40" t="inlineStr">
        <is>
          <t>BUG-267</t>
        </is>
      </c>
      <c r="S449" s="40" t="inlineStr">
        <is>
          <t>23/05/2026 19:06</t>
        </is>
      </c>
      <c r="T449" s="43" t="inlineStr">
        <is>
          <t>R1:Không đạt</t>
        </is>
      </c>
      <c r="U449" s="40" t="inlineStr"/>
      <c r="V449" s="43" t="inlineStr"/>
    </row>
    <row r="450" ht="80" customHeight="1">
      <c r="A450" s="40" t="inlineStr">
        <is>
          <t>TC-447</t>
        </is>
      </c>
      <c r="B450" s="45" t="inlineStr">
        <is>
          <t>RED</t>
        </is>
      </c>
      <c r="C450" s="42" t="inlineStr">
        <is>
          <t>P0</t>
        </is>
      </c>
      <c r="D450" s="43" t="inlineStr">
        <is>
          <t>Lawyers</t>
        </is>
      </c>
      <c r="E450" s="43" t="inlineStr">
        <is>
          <t>caseId không tồn tại → 400 FK</t>
        </is>
      </c>
      <c r="F450" s="40" t="inlineStr">
        <is>
          <t>REQ-CASE-LAWYERS-447</t>
        </is>
      </c>
      <c r="G450" s="40" t="inlineStr">
        <is>
          <t>Use case testing</t>
        </is>
      </c>
      <c r="H450" s="40" t="inlineStr">
        <is>
          <t>Cao</t>
        </is>
      </c>
      <c r="I450" s="43" t="inlineStr">
        <is>
          <t>1. User đã login
2. Token JWT hợp lệ</t>
        </is>
      </c>
      <c r="J450" s="43" t="inlineStr">
        <is>
          <t>POST caseId='NOT_EXIST'</t>
        </is>
      </c>
      <c r="K450" s="43" t="inlineStr">
        <is>
          <t>-</t>
        </is>
      </c>
      <c r="L450" s="43" t="inlineStr">
        <is>
          <t>-</t>
        </is>
      </c>
      <c r="M450" s="43" t="inlineStr">
        <is>
          <t>400</t>
        </is>
      </c>
      <c r="N450" s="43" t="inlineStr">
        <is>
          <t>-</t>
        </is>
      </c>
      <c r="O450" s="40" t="inlineStr">
        <is>
          <t>High</t>
        </is>
      </c>
      <c r="P450" s="43" t="inlineStr">
        <is>
          <t>Thời gian: 194ms</t>
        </is>
      </c>
      <c r="Q450" s="40" t="inlineStr">
        <is>
          <t>Không đạt</t>
        </is>
      </c>
      <c r="R450" s="40" t="inlineStr">
        <is>
          <t>BUG-268</t>
        </is>
      </c>
      <c r="S450" s="40" t="inlineStr">
        <is>
          <t>23/05/2026 19:06</t>
        </is>
      </c>
      <c r="T450" s="43" t="inlineStr">
        <is>
          <t>R1:Không đạt</t>
        </is>
      </c>
      <c r="U450" s="40" t="inlineStr"/>
      <c r="V450" s="43" t="inlineStr"/>
    </row>
    <row r="451" ht="80" customHeight="1">
      <c r="A451" s="40" t="inlineStr">
        <is>
          <t>TC-448</t>
        </is>
      </c>
      <c r="B451" s="45" t="inlineStr">
        <is>
          <t>RED</t>
        </is>
      </c>
      <c r="C451" s="42" t="inlineStr">
        <is>
          <t>P0</t>
        </is>
      </c>
      <c r="D451" s="43" t="inlineStr">
        <is>
          <t>Lawyers</t>
        </is>
      </c>
      <c r="E451" s="43" t="inlineStr">
        <is>
          <t>subjectId không tồn tại trong DB → 400 FK</t>
        </is>
      </c>
      <c r="F451" s="40" t="inlineStr">
        <is>
          <t>REQ-CASE-LAWYERS-448</t>
        </is>
      </c>
      <c r="G451" s="40" t="inlineStr">
        <is>
          <t>Use case testing</t>
        </is>
      </c>
      <c r="H451" s="40" t="inlineStr">
        <is>
          <t>Cao</t>
        </is>
      </c>
      <c r="I451" s="43" t="inlineStr">
        <is>
          <t>1. User đã login
2. Token JWT hợp lệ</t>
        </is>
      </c>
      <c r="J451" s="43" t="inlineStr">
        <is>
          <t>POST subjectId='NOT_EXIST'</t>
        </is>
      </c>
      <c r="K451" s="43" t="inlineStr">
        <is>
          <t>-</t>
        </is>
      </c>
      <c r="L451" s="43" t="inlineStr">
        <is>
          <t>-</t>
        </is>
      </c>
      <c r="M451" s="43" t="inlineStr">
        <is>
          <t>400</t>
        </is>
      </c>
      <c r="N451" s="43" t="inlineStr">
        <is>
          <t>-</t>
        </is>
      </c>
      <c r="O451" s="40" t="inlineStr">
        <is>
          <t>High</t>
        </is>
      </c>
      <c r="P451" s="43" t="inlineStr">
        <is>
          <t>Thời gian: 175ms</t>
        </is>
      </c>
      <c r="Q451" s="40" t="inlineStr">
        <is>
          <t>Không đạt</t>
        </is>
      </c>
      <c r="R451" s="40" t="inlineStr">
        <is>
          <t>BUG-269</t>
        </is>
      </c>
      <c r="S451" s="40" t="inlineStr">
        <is>
          <t>23/05/2026 19:06</t>
        </is>
      </c>
      <c r="T451" s="43" t="inlineStr">
        <is>
          <t>R1:Không đạt</t>
        </is>
      </c>
      <c r="U451" s="40" t="inlineStr"/>
      <c r="V451" s="43" t="inlineStr"/>
    </row>
    <row r="452" ht="80" customHeight="1">
      <c r="A452" s="40" t="inlineStr">
        <is>
          <t>TC-449</t>
        </is>
      </c>
      <c r="B452" s="45" t="inlineStr">
        <is>
          <t>RED</t>
        </is>
      </c>
      <c r="C452" s="44" t="inlineStr">
        <is>
          <t>P1</t>
        </is>
      </c>
      <c r="D452" s="43" t="inlineStr">
        <is>
          <t>Lawyers</t>
        </is>
      </c>
      <c r="E452" s="43" t="inlineStr">
        <is>
          <t>subjectId không cùng caseId (cross-case) → 400 business rule</t>
        </is>
      </c>
      <c r="F452" s="40" t="inlineStr">
        <is>
          <t>REQ-CASE-LAWYERS-449</t>
        </is>
      </c>
      <c r="G452" s="40" t="inlineStr">
        <is>
          <t>Use case testing</t>
        </is>
      </c>
      <c r="H452" s="40" t="inlineStr">
        <is>
          <t>TB</t>
        </is>
      </c>
      <c r="I452" s="43" t="inlineStr">
        <is>
          <t>1. User đã login
2. Token JWT hợp lệ</t>
        </is>
      </c>
      <c r="J452" s="43" t="inlineStr">
        <is>
          <t>POST caseId='C001', subjectId='S-of-C002'</t>
        </is>
      </c>
      <c r="K452" s="43" t="inlineStr">
        <is>
          <t>-</t>
        </is>
      </c>
      <c r="L452" s="43" t="inlineStr">
        <is>
          <t>-</t>
        </is>
      </c>
      <c r="M452" s="43" t="inlineStr">
        <is>
          <t>400 'Đối tượng không thuộc vụ án này'</t>
        </is>
      </c>
      <c r="N452" s="43" t="inlineStr">
        <is>
          <t>-</t>
        </is>
      </c>
      <c r="O452" s="40" t="inlineStr">
        <is>
          <t>High</t>
        </is>
      </c>
      <c r="P452" s="43" t="inlineStr">
        <is>
          <t>Thời gian: 133ms</t>
        </is>
      </c>
      <c r="Q452" s="40" t="inlineStr">
        <is>
          <t>Không đạt</t>
        </is>
      </c>
      <c r="R452" s="40" t="inlineStr">
        <is>
          <t>BUG-270</t>
        </is>
      </c>
      <c r="S452" s="40" t="inlineStr">
        <is>
          <t>23/05/2026 19:06</t>
        </is>
      </c>
      <c r="T452" s="43" t="inlineStr">
        <is>
          <t>R1:Không đạt</t>
        </is>
      </c>
      <c r="U452" s="40" t="inlineStr"/>
      <c r="V452" s="43" t="inlineStr">
        <is>
          <t>Cần verify service business check</t>
        </is>
      </c>
    </row>
    <row r="453" ht="80" customHeight="1">
      <c r="A453" s="40" t="inlineStr">
        <is>
          <t>TC-450</t>
        </is>
      </c>
      <c r="B453" s="41" t="inlineStr">
        <is>
          <t>GREEN</t>
        </is>
      </c>
      <c r="C453" s="42" t="inlineStr">
        <is>
          <t>P0</t>
        </is>
      </c>
      <c r="D453" s="43" t="inlineStr">
        <is>
          <t>Lawyers</t>
        </is>
      </c>
      <c r="E453" s="43" t="inlineStr">
        <is>
          <t>GET /lawyers?caseId=C001 trả lawyers của Case</t>
        </is>
      </c>
      <c r="F453" s="40" t="inlineStr">
        <is>
          <t>REQ-CASE-LAWYERS-450</t>
        </is>
      </c>
      <c r="G453" s="40" t="inlineStr">
        <is>
          <t>Use case testing</t>
        </is>
      </c>
      <c r="H453" s="40" t="inlineStr">
        <is>
          <t>Cao</t>
        </is>
      </c>
      <c r="I453" s="43" t="inlineStr">
        <is>
          <t>1. User đã login
2. Token JWT hợp lệ</t>
        </is>
      </c>
      <c r="J453" s="43" t="inlineStr">
        <is>
          <t>GET</t>
        </is>
      </c>
      <c r="K453" s="43" t="inlineStr">
        <is>
          <t>-</t>
        </is>
      </c>
      <c r="L453" s="43" t="inlineStr">
        <is>
          <t>Table list</t>
        </is>
      </c>
      <c r="M453" s="43" t="inlineStr">
        <is>
          <t>200 data filtered by caseId</t>
        </is>
      </c>
      <c r="N453" s="43" t="inlineStr">
        <is>
          <t>-</t>
        </is>
      </c>
      <c r="O453" s="40" t="inlineStr">
        <is>
          <t>High</t>
        </is>
      </c>
      <c r="P453" s="43" t="inlineStr">
        <is>
          <t>Thời gian: 166ms</t>
        </is>
      </c>
      <c r="Q453" s="40" t="inlineStr">
        <is>
          <t>Không đạt</t>
        </is>
      </c>
      <c r="R453" s="40" t="inlineStr">
        <is>
          <t>BUG-271</t>
        </is>
      </c>
      <c r="S453" s="40" t="inlineStr">
        <is>
          <t>23/05/2026 19:06</t>
        </is>
      </c>
      <c r="T453" s="43" t="inlineStr">
        <is>
          <t>R1:Không đạt</t>
        </is>
      </c>
      <c r="U453" s="40" t="inlineStr"/>
      <c r="V453" s="43" t="inlineStr"/>
    </row>
    <row r="454" ht="80" customHeight="1">
      <c r="A454" s="40" t="inlineStr">
        <is>
          <t>TC-451</t>
        </is>
      </c>
      <c r="B454" s="41" t="inlineStr">
        <is>
          <t>GREEN</t>
        </is>
      </c>
      <c r="C454" s="42" t="inlineStr">
        <is>
          <t>P0</t>
        </is>
      </c>
      <c r="D454" s="43" t="inlineStr">
        <is>
          <t>Lawyers</t>
        </is>
      </c>
      <c r="E454" s="43" t="inlineStr">
        <is>
          <t>GET /lawyers?subjectId=S001 trả lawyers của subject</t>
        </is>
      </c>
      <c r="F454" s="40" t="inlineStr">
        <is>
          <t>REQ-CASE-LAWYERS-451</t>
        </is>
      </c>
      <c r="G454" s="40" t="inlineStr">
        <is>
          <t>Use case testing</t>
        </is>
      </c>
      <c r="H454" s="40" t="inlineStr">
        <is>
          <t>Cao</t>
        </is>
      </c>
      <c r="I454" s="43" t="inlineStr">
        <is>
          <t>1. User đã login
2. Token JWT hợp lệ</t>
        </is>
      </c>
      <c r="J454" s="43" t="inlineStr">
        <is>
          <t>GET ?subjectId=S001</t>
        </is>
      </c>
      <c r="K454" s="43" t="inlineStr">
        <is>
          <t>-</t>
        </is>
      </c>
      <c r="L454" s="43" t="inlineStr">
        <is>
          <t>-</t>
        </is>
      </c>
      <c r="M454" s="43" t="inlineStr">
        <is>
          <t>200</t>
        </is>
      </c>
      <c r="N454" s="43" t="inlineStr">
        <is>
          <t>-</t>
        </is>
      </c>
      <c r="O454" s="40" t="inlineStr">
        <is>
          <t>Medium</t>
        </is>
      </c>
      <c r="P454" s="43" t="inlineStr">
        <is>
          <t>Thời gian: 134ms</t>
        </is>
      </c>
      <c r="Q454" s="40" t="inlineStr">
        <is>
          <t>Không đạt</t>
        </is>
      </c>
      <c r="R454" s="40" t="inlineStr">
        <is>
          <t>BUG-272</t>
        </is>
      </c>
      <c r="S454" s="40" t="inlineStr">
        <is>
          <t>23/05/2026 19:06</t>
        </is>
      </c>
      <c r="T454" s="43" t="inlineStr">
        <is>
          <t>R1:Không đạt</t>
        </is>
      </c>
      <c r="U454" s="40" t="inlineStr"/>
      <c r="V454" s="43" t="inlineStr"/>
    </row>
    <row r="455" ht="80" customHeight="1">
      <c r="A455" s="40" t="inlineStr">
        <is>
          <t>TC-452</t>
        </is>
      </c>
      <c r="B455" s="41" t="inlineStr">
        <is>
          <t>GREEN</t>
        </is>
      </c>
      <c r="C455" s="42" t="inlineStr">
        <is>
          <t>P0</t>
        </is>
      </c>
      <c r="D455" s="43" t="inlineStr">
        <is>
          <t>Lawyers</t>
        </is>
      </c>
      <c r="E455" s="43" t="inlineStr">
        <is>
          <t>GET /lawyers/:id detail include subject info</t>
        </is>
      </c>
      <c r="F455" s="40" t="inlineStr">
        <is>
          <t>REQ-CASE-LAWYERS-452</t>
        </is>
      </c>
      <c r="G455" s="40" t="inlineStr">
        <is>
          <t>Use case testing</t>
        </is>
      </c>
      <c r="H455" s="40" t="inlineStr">
        <is>
          <t>Cao</t>
        </is>
      </c>
      <c r="I455" s="43" t="inlineStr">
        <is>
          <t>1. User đã login
2. Token JWT hợp lệ</t>
        </is>
      </c>
      <c r="J455" s="43" t="inlineStr">
        <is>
          <t>GET</t>
        </is>
      </c>
      <c r="K455" s="43" t="inlineStr">
        <is>
          <t>-</t>
        </is>
      </c>
      <c r="L455" s="43" t="inlineStr">
        <is>
          <t>Detail show subject linked</t>
        </is>
      </c>
      <c r="M455" s="43" t="inlineStr">
        <is>
          <t>200 data.subject=...</t>
        </is>
      </c>
      <c r="N455" s="43" t="inlineStr">
        <is>
          <t>-</t>
        </is>
      </c>
      <c r="O455" s="40" t="inlineStr">
        <is>
          <t>High</t>
        </is>
      </c>
      <c r="P455" s="43" t="inlineStr">
        <is>
          <t>Thời gian: 157ms</t>
        </is>
      </c>
      <c r="Q455" s="40" t="inlineStr">
        <is>
          <t>Không đạt</t>
        </is>
      </c>
      <c r="R455" s="40" t="inlineStr">
        <is>
          <t>BUG-273</t>
        </is>
      </c>
      <c r="S455" s="40" t="inlineStr">
        <is>
          <t>23/05/2026 19:06</t>
        </is>
      </c>
      <c r="T455" s="43" t="inlineStr">
        <is>
          <t>R1:Không đạt</t>
        </is>
      </c>
      <c r="U455" s="40" t="inlineStr"/>
      <c r="V455" s="43" t="inlineStr"/>
    </row>
    <row r="456" ht="80" customHeight="1">
      <c r="A456" s="40" t="inlineStr">
        <is>
          <t>TC-453</t>
        </is>
      </c>
      <c r="B456" s="45" t="inlineStr">
        <is>
          <t>RED</t>
        </is>
      </c>
      <c r="C456" s="42" t="inlineStr">
        <is>
          <t>P0</t>
        </is>
      </c>
      <c r="D456" s="43" t="inlineStr">
        <is>
          <t>Lawyers</t>
        </is>
      </c>
      <c r="E456" s="43" t="inlineStr">
        <is>
          <t>GET /lawyers/NOT_EXIST → 404</t>
        </is>
      </c>
      <c r="F456" s="40" t="inlineStr">
        <is>
          <t>REQ-CASE-LAWYERS-453</t>
        </is>
      </c>
      <c r="G456" s="40" t="inlineStr">
        <is>
          <t>Use case testing</t>
        </is>
      </c>
      <c r="H456" s="40" t="inlineStr">
        <is>
          <t>Cao</t>
        </is>
      </c>
      <c r="I456" s="43" t="inlineStr">
        <is>
          <t>1. User đã login
2. Token JWT hợp lệ</t>
        </is>
      </c>
      <c r="J456" s="43" t="inlineStr">
        <is>
          <t>GET</t>
        </is>
      </c>
      <c r="K456" s="43" t="inlineStr">
        <is>
          <t>-</t>
        </is>
      </c>
      <c r="L456" s="43" t="inlineStr">
        <is>
          <t>-</t>
        </is>
      </c>
      <c r="M456" s="43" t="inlineStr">
        <is>
          <t>404</t>
        </is>
      </c>
      <c r="N456" s="43" t="inlineStr">
        <is>
          <t>-</t>
        </is>
      </c>
      <c r="O456" s="40" t="inlineStr">
        <is>
          <t>High</t>
        </is>
      </c>
      <c r="P456" s="43" t="inlineStr">
        <is>
          <t>Thời gian: 146ms</t>
        </is>
      </c>
      <c r="Q456" s="40" t="inlineStr">
        <is>
          <t>Không đạt</t>
        </is>
      </c>
      <c r="R456" s="40" t="inlineStr">
        <is>
          <t>BUG-274</t>
        </is>
      </c>
      <c r="S456" s="40" t="inlineStr">
        <is>
          <t>23/05/2026 19:06</t>
        </is>
      </c>
      <c r="T456" s="43" t="inlineStr">
        <is>
          <t>R1:Không đạt</t>
        </is>
      </c>
      <c r="U456" s="40" t="inlineStr"/>
      <c r="V456" s="43" t="inlineStr"/>
    </row>
    <row r="457" ht="80" customHeight="1">
      <c r="A457" s="40" t="inlineStr">
        <is>
          <t>TC-454</t>
        </is>
      </c>
      <c r="B457" s="45" t="inlineStr">
        <is>
          <t>RED</t>
        </is>
      </c>
      <c r="C457" s="42" t="inlineStr">
        <is>
          <t>P0</t>
        </is>
      </c>
      <c r="D457" s="43" t="inlineStr">
        <is>
          <t>Lawyers</t>
        </is>
      </c>
      <c r="E457" s="43" t="inlineStr">
        <is>
          <t>GET Lawyer ngoài scope (Case không thuộc team mình) → 403</t>
        </is>
      </c>
      <c r="F457" s="40" t="inlineStr">
        <is>
          <t>REQ-CASE-LAWYERS-454</t>
        </is>
      </c>
      <c r="G457" s="40" t="inlineStr">
        <is>
          <t>Use case testing</t>
        </is>
      </c>
      <c r="H457" s="40" t="inlineStr">
        <is>
          <t>Cao</t>
        </is>
      </c>
      <c r="I457" s="43" t="inlineStr">
        <is>
          <t>1. User đã login
2. Token JWT hợp lệ</t>
        </is>
      </c>
      <c r="J457" s="43" t="inlineStr">
        <is>
          <t>dieuTra-Q1 GET lawyer của Case-Q3</t>
        </is>
      </c>
      <c r="K457" s="43" t="inlineStr">
        <is>
          <t>-</t>
        </is>
      </c>
      <c r="L457" s="43" t="inlineStr">
        <is>
          <t>-</t>
        </is>
      </c>
      <c r="M457" s="43" t="inlineStr">
        <is>
          <t>403</t>
        </is>
      </c>
      <c r="N457" s="43" t="inlineStr">
        <is>
          <t>-</t>
        </is>
      </c>
      <c r="O457" s="40" t="inlineStr">
        <is>
          <t>Critical</t>
        </is>
      </c>
      <c r="P457" s="43" t="inlineStr">
        <is>
          <t>Thời gian: 130ms</t>
        </is>
      </c>
      <c r="Q457" s="40" t="inlineStr">
        <is>
          <t>Không đạt</t>
        </is>
      </c>
      <c r="R457" s="40" t="inlineStr">
        <is>
          <t>BUG-275</t>
        </is>
      </c>
      <c r="S457" s="40" t="inlineStr">
        <is>
          <t>23/05/2026 19:06</t>
        </is>
      </c>
      <c r="T457" s="43" t="inlineStr">
        <is>
          <t>R1:Không đạt</t>
        </is>
      </c>
      <c r="U457" s="40" t="inlineStr"/>
      <c r="V457" s="43" t="inlineStr"/>
    </row>
    <row r="458" ht="80" customHeight="1">
      <c r="A458" s="40" t="inlineStr">
        <is>
          <t>TC-455</t>
        </is>
      </c>
      <c r="B458" s="41" t="inlineStr">
        <is>
          <t>GREEN</t>
        </is>
      </c>
      <c r="C458" s="42" t="inlineStr">
        <is>
          <t>P0</t>
        </is>
      </c>
      <c r="D458" s="43" t="inlineStr">
        <is>
          <t>Lawyers</t>
        </is>
      </c>
      <c r="E458" s="43" t="inlineStr">
        <is>
          <t>PUT update lawFirm + phone</t>
        </is>
      </c>
      <c r="F458" s="40" t="inlineStr">
        <is>
          <t>REQ-CASE-LAWYERS-455</t>
        </is>
      </c>
      <c r="G458" s="40" t="inlineStr">
        <is>
          <t>Use case testing</t>
        </is>
      </c>
      <c r="H458" s="40" t="inlineStr">
        <is>
          <t>Cao</t>
        </is>
      </c>
      <c r="I458" s="43" t="inlineStr">
        <is>
          <t>1. User đã login
2. Token JWT hợp lệ</t>
        </is>
      </c>
      <c r="J458" s="43" t="inlineStr">
        <is>
          <t>PUT /lawyers/L001 {lawFirm:'VP mới', phone:'0987654321'}</t>
        </is>
      </c>
      <c r="K458" s="43" t="inlineStr">
        <is>
          <t>-</t>
        </is>
      </c>
      <c r="L458" s="43" t="inlineStr">
        <is>
          <t>Toast success</t>
        </is>
      </c>
      <c r="M458" s="43" t="inlineStr">
        <is>
          <t>200</t>
        </is>
      </c>
      <c r="N458" s="43" t="inlineStr">
        <is>
          <t>Audit LAWYER_UPDATED diff</t>
        </is>
      </c>
      <c r="O458" s="40" t="inlineStr">
        <is>
          <t>High</t>
        </is>
      </c>
      <c r="P458" s="43" t="inlineStr">
        <is>
          <t>Thời gian: 117ms</t>
        </is>
      </c>
      <c r="Q458" s="40" t="inlineStr">
        <is>
          <t>Không đạt</t>
        </is>
      </c>
      <c r="R458" s="40" t="inlineStr">
        <is>
          <t>BUG-276</t>
        </is>
      </c>
      <c r="S458" s="40" t="inlineStr">
        <is>
          <t>23/05/2026 19:06</t>
        </is>
      </c>
      <c r="T458" s="43" t="inlineStr">
        <is>
          <t>R1:Không đạt</t>
        </is>
      </c>
      <c r="U458" s="40" t="inlineStr"/>
      <c r="V458" s="43" t="inlineStr"/>
    </row>
    <row r="459" ht="80" customHeight="1">
      <c r="A459" s="40" t="inlineStr">
        <is>
          <t>TC-456</t>
        </is>
      </c>
      <c r="B459" s="45" t="inlineStr">
        <is>
          <t>RED</t>
        </is>
      </c>
      <c r="C459" s="42" t="inlineStr">
        <is>
          <t>P0</t>
        </is>
      </c>
      <c r="D459" s="43" t="inlineStr">
        <is>
          <t>Lawyers</t>
        </is>
      </c>
      <c r="E459" s="43" t="inlineStr">
        <is>
          <t>PUT barNumber duplicate → 409</t>
        </is>
      </c>
      <c r="F459" s="40" t="inlineStr">
        <is>
          <t>REQ-CASE-LAWYERS-456</t>
        </is>
      </c>
      <c r="G459" s="40" t="inlineStr">
        <is>
          <t>Use case testing</t>
        </is>
      </c>
      <c r="H459" s="40" t="inlineStr">
        <is>
          <t>Cao</t>
        </is>
      </c>
      <c r="I459" s="43" t="inlineStr">
        <is>
          <t>1. User đã login
2. Token JWT hợp lệ</t>
        </is>
      </c>
      <c r="J459" s="43" t="inlineStr">
        <is>
          <t>PUT barNumber khớp với lawyer khác</t>
        </is>
      </c>
      <c r="K459" s="43" t="inlineStr">
        <is>
          <t>-</t>
        </is>
      </c>
      <c r="L459" s="43" t="inlineStr">
        <is>
          <t>-</t>
        </is>
      </c>
      <c r="M459" s="43" t="inlineStr">
        <is>
          <t>409</t>
        </is>
      </c>
      <c r="N459" s="43" t="inlineStr">
        <is>
          <t>-</t>
        </is>
      </c>
      <c r="O459" s="40" t="inlineStr">
        <is>
          <t>High</t>
        </is>
      </c>
      <c r="P459" s="43" t="inlineStr">
        <is>
          <t>Thời gian: 186ms</t>
        </is>
      </c>
      <c r="Q459" s="40" t="inlineStr">
        <is>
          <t>Không đạt</t>
        </is>
      </c>
      <c r="R459" s="40" t="inlineStr">
        <is>
          <t>BUG-277</t>
        </is>
      </c>
      <c r="S459" s="40" t="inlineStr">
        <is>
          <t>23/05/2026 19:06</t>
        </is>
      </c>
      <c r="T459" s="43" t="inlineStr">
        <is>
          <t>R1:Không đạt</t>
        </is>
      </c>
      <c r="U459" s="40" t="inlineStr"/>
      <c r="V459" s="43" t="inlineStr"/>
    </row>
    <row r="460" ht="80" customHeight="1">
      <c r="A460" s="40" t="inlineStr">
        <is>
          <t>TC-457</t>
        </is>
      </c>
      <c r="B460" s="45" t="inlineStr">
        <is>
          <t>RED</t>
        </is>
      </c>
      <c r="C460" s="42" t="inlineStr">
        <is>
          <t>P0</t>
        </is>
      </c>
      <c r="D460" s="43" t="inlineStr">
        <is>
          <t>Lawyers</t>
        </is>
      </c>
      <c r="E460" s="43" t="inlineStr">
        <is>
          <t>PUT Lawyer ngoài write scope → 403</t>
        </is>
      </c>
      <c r="F460" s="40" t="inlineStr">
        <is>
          <t>REQ-CASE-LAWYERS-457</t>
        </is>
      </c>
      <c r="G460" s="40" t="inlineStr">
        <is>
          <t>Use case testing</t>
        </is>
      </c>
      <c r="H460" s="40" t="inlineStr">
        <is>
          <t>Cao</t>
        </is>
      </c>
      <c r="I460" s="43" t="inlineStr">
        <is>
          <t>1. User đã login
2. Token JWT hợp lệ</t>
        </is>
      </c>
      <c r="J460" s="43" t="inlineStr">
        <is>
          <t>PUT lawyer của Case khác team</t>
        </is>
      </c>
      <c r="K460" s="43" t="inlineStr">
        <is>
          <t>-</t>
        </is>
      </c>
      <c r="L460" s="43" t="inlineStr">
        <is>
          <t>-</t>
        </is>
      </c>
      <c r="M460" s="43" t="inlineStr">
        <is>
          <t>403</t>
        </is>
      </c>
      <c r="N460" s="43" t="inlineStr">
        <is>
          <t>-</t>
        </is>
      </c>
      <c r="O460" s="40" t="inlineStr">
        <is>
          <t>Critical</t>
        </is>
      </c>
      <c r="P460" s="43" t="inlineStr">
        <is>
          <t>Thời gian: 135ms</t>
        </is>
      </c>
      <c r="Q460" s="40" t="inlineStr">
        <is>
          <t>Không đạt</t>
        </is>
      </c>
      <c r="R460" s="40" t="inlineStr">
        <is>
          <t>BUG-278</t>
        </is>
      </c>
      <c r="S460" s="40" t="inlineStr">
        <is>
          <t>23/05/2026 19:06</t>
        </is>
      </c>
      <c r="T460" s="43" t="inlineStr">
        <is>
          <t>R1:Không đạt</t>
        </is>
      </c>
      <c r="U460" s="40" t="inlineStr"/>
      <c r="V460" s="43" t="inlineStr"/>
    </row>
    <row r="461" ht="80" customHeight="1">
      <c r="A461" s="40" t="inlineStr">
        <is>
          <t>TC-458</t>
        </is>
      </c>
      <c r="B461" s="41" t="inlineStr">
        <is>
          <t>GREEN</t>
        </is>
      </c>
      <c r="C461" s="42" t="inlineStr">
        <is>
          <t>P0</t>
        </is>
      </c>
      <c r="D461" s="43" t="inlineStr">
        <is>
          <t>Lawyers</t>
        </is>
      </c>
      <c r="E461" s="43" t="inlineStr">
        <is>
          <t>DELETE Lawyer soft delete</t>
        </is>
      </c>
      <c r="F461" s="40" t="inlineStr">
        <is>
          <t>REQ-CASE-LAWYERS-458</t>
        </is>
      </c>
      <c r="G461" s="40" t="inlineStr">
        <is>
          <t>Use case testing</t>
        </is>
      </c>
      <c r="H461" s="40" t="inlineStr">
        <is>
          <t>Cao</t>
        </is>
      </c>
      <c r="I461" s="43" t="inlineStr">
        <is>
          <t>1. User đã login
2. Token JWT hợp lệ</t>
        </is>
      </c>
      <c r="J461" s="43" t="inlineStr">
        <is>
          <t>DELETE /lawyers/L001</t>
        </is>
      </c>
      <c r="K461" s="43" t="inlineStr">
        <is>
          <t>-</t>
        </is>
      </c>
      <c r="L461" s="43" t="inlineStr">
        <is>
          <t>Toast 'Xóa luật sư thành công'</t>
        </is>
      </c>
      <c r="M461" s="43" t="inlineStr">
        <is>
          <t>200</t>
        </is>
      </c>
      <c r="N461" s="43" t="inlineStr">
        <is>
          <t>lawyers.deletedAt set + audit LAWYER_DELETED</t>
        </is>
      </c>
      <c r="O461" s="40" t="inlineStr">
        <is>
          <t>High</t>
        </is>
      </c>
      <c r="P461" s="43" t="inlineStr">
        <is>
          <t>Thời gian: 129ms</t>
        </is>
      </c>
      <c r="Q461" s="40" t="inlineStr">
        <is>
          <t>Không đạt</t>
        </is>
      </c>
      <c r="R461" s="40" t="inlineStr">
        <is>
          <t>BUG-279</t>
        </is>
      </c>
      <c r="S461" s="40" t="inlineStr">
        <is>
          <t>23/05/2026 19:06</t>
        </is>
      </c>
      <c r="T461" s="43" t="inlineStr">
        <is>
          <t>R1:Không đạt</t>
        </is>
      </c>
      <c r="U461" s="40" t="inlineStr"/>
      <c r="V461" s="43" t="inlineStr"/>
    </row>
    <row r="462" ht="80" customHeight="1">
      <c r="A462" s="40" t="inlineStr">
        <is>
          <t>TC-459</t>
        </is>
      </c>
      <c r="B462" s="45" t="inlineStr">
        <is>
          <t>RED</t>
        </is>
      </c>
      <c r="C462" s="42" t="inlineStr">
        <is>
          <t>P0</t>
        </is>
      </c>
      <c r="D462" s="43" t="inlineStr">
        <is>
          <t>Lawyers</t>
        </is>
      </c>
      <c r="E462" s="43" t="inlineStr">
        <is>
          <t>DELETE Lawyer không tồn tại → 404</t>
        </is>
      </c>
      <c r="F462" s="40" t="inlineStr">
        <is>
          <t>REQ-CASE-LAWYERS-459</t>
        </is>
      </c>
      <c r="G462" s="40" t="inlineStr">
        <is>
          <t>Use case testing</t>
        </is>
      </c>
      <c r="H462" s="40" t="inlineStr">
        <is>
          <t>Cao</t>
        </is>
      </c>
      <c r="I462" s="43" t="inlineStr">
        <is>
          <t>1. User đã login
2. Token JWT hợp lệ</t>
        </is>
      </c>
      <c r="J462" s="43" t="inlineStr">
        <is>
          <t>DELETE</t>
        </is>
      </c>
      <c r="K462" s="43" t="inlineStr">
        <is>
          <t>-</t>
        </is>
      </c>
      <c r="L462" s="43" t="inlineStr">
        <is>
          <t>-</t>
        </is>
      </c>
      <c r="M462" s="43" t="inlineStr">
        <is>
          <t>404</t>
        </is>
      </c>
      <c r="N462" s="43" t="inlineStr">
        <is>
          <t>-</t>
        </is>
      </c>
      <c r="O462" s="40" t="inlineStr">
        <is>
          <t>High</t>
        </is>
      </c>
      <c r="P462" s="43" t="inlineStr">
        <is>
          <t>Thời gian: 199ms</t>
        </is>
      </c>
      <c r="Q462" s="40" t="inlineStr">
        <is>
          <t>Không đạt</t>
        </is>
      </c>
      <c r="R462" s="40" t="inlineStr">
        <is>
          <t>BUG-280</t>
        </is>
      </c>
      <c r="S462" s="40" t="inlineStr">
        <is>
          <t>23/05/2026 19:06</t>
        </is>
      </c>
      <c r="T462" s="43" t="inlineStr">
        <is>
          <t>R1:Không đạt</t>
        </is>
      </c>
      <c r="U462" s="40" t="inlineStr"/>
      <c r="V462" s="43" t="inlineStr"/>
    </row>
    <row r="463" ht="80" customHeight="1">
      <c r="A463" s="40" t="inlineStr">
        <is>
          <t>TC-460</t>
        </is>
      </c>
      <c r="B463" s="45" t="inlineStr">
        <is>
          <t>RED</t>
        </is>
      </c>
      <c r="C463" s="42" t="inlineStr">
        <is>
          <t>P0</t>
        </is>
      </c>
      <c r="D463" s="43" t="inlineStr">
        <is>
          <t>Lawyers</t>
        </is>
      </c>
      <c r="E463" s="43" t="inlineStr">
        <is>
          <t>DELETE Lawyer ngoài scope → 403</t>
        </is>
      </c>
      <c r="F463" s="40" t="inlineStr">
        <is>
          <t>REQ-CASE-LAWYERS-460</t>
        </is>
      </c>
      <c r="G463" s="40" t="inlineStr">
        <is>
          <t>Use case testing</t>
        </is>
      </c>
      <c r="H463" s="40" t="inlineStr">
        <is>
          <t>Cao</t>
        </is>
      </c>
      <c r="I463" s="43" t="inlineStr">
        <is>
          <t>1. User đã login
2. Token JWT hợp lệ</t>
        </is>
      </c>
      <c r="J463" s="43" t="inlineStr">
        <is>
          <t>DELETE</t>
        </is>
      </c>
      <c r="K463" s="43" t="inlineStr">
        <is>
          <t>-</t>
        </is>
      </c>
      <c r="L463" s="43" t="inlineStr">
        <is>
          <t>-</t>
        </is>
      </c>
      <c r="M463" s="43" t="inlineStr">
        <is>
          <t>403</t>
        </is>
      </c>
      <c r="N463" s="43" t="inlineStr">
        <is>
          <t>-</t>
        </is>
      </c>
      <c r="O463" s="40" t="inlineStr">
        <is>
          <t>Critical</t>
        </is>
      </c>
      <c r="P463" s="43" t="inlineStr">
        <is>
          <t>Thời gian: 173ms</t>
        </is>
      </c>
      <c r="Q463" s="40" t="inlineStr">
        <is>
          <t>Không đạt</t>
        </is>
      </c>
      <c r="R463" s="40" t="inlineStr">
        <is>
          <t>BUG-281</t>
        </is>
      </c>
      <c r="S463" s="40" t="inlineStr">
        <is>
          <t>23/05/2026 19:06</t>
        </is>
      </c>
      <c r="T463" s="43" t="inlineStr">
        <is>
          <t>R1:Không đạt</t>
        </is>
      </c>
      <c r="U463" s="40" t="inlineStr"/>
      <c r="V463" s="43" t="inlineStr"/>
    </row>
    <row r="464" ht="80" customHeight="1">
      <c r="A464" s="40" t="inlineStr">
        <is>
          <t>TC-461</t>
        </is>
      </c>
      <c r="B464" s="47" t="inlineStr">
        <is>
          <t>SECURITY</t>
        </is>
      </c>
      <c r="C464" s="42" t="inlineStr">
        <is>
          <t>P0</t>
        </is>
      </c>
      <c r="D464" s="43" t="inlineStr">
        <is>
          <t>Lawyers</t>
        </is>
      </c>
      <c r="E464" s="43" t="inlineStr">
        <is>
          <t>IDOR: POST Lawyer với caseId ngoài team → 403</t>
        </is>
      </c>
      <c r="F464" s="40" t="inlineStr">
        <is>
          <t>REQ-CASE-LAWYERS-461</t>
        </is>
      </c>
      <c r="G464" s="40" t="inlineStr">
        <is>
          <t>Use case testing</t>
        </is>
      </c>
      <c r="H464" s="40" t="inlineStr">
        <is>
          <t>Cao</t>
        </is>
      </c>
      <c r="I464" s="43" t="inlineStr">
        <is>
          <t>1. User đã login
2. Token JWT hợp lệ</t>
        </is>
      </c>
      <c r="J464" s="43" t="inlineStr">
        <is>
          <t>POST caseId của Case khác team</t>
        </is>
      </c>
      <c r="K464" s="43" t="inlineStr">
        <is>
          <t>-</t>
        </is>
      </c>
      <c r="L464" s="43" t="inlineStr">
        <is>
          <t>-</t>
        </is>
      </c>
      <c r="M464" s="43" t="inlineStr">
        <is>
          <t>403 (scope check Case parent)</t>
        </is>
      </c>
      <c r="N464" s="43" t="inlineStr">
        <is>
          <t>-</t>
        </is>
      </c>
      <c r="O464" s="40" t="inlineStr">
        <is>
          <t>Critical</t>
        </is>
      </c>
      <c r="P464" s="43" t="inlineStr">
        <is>
          <t>Thời gian: 158ms</t>
        </is>
      </c>
      <c r="Q464" s="40" t="inlineStr">
        <is>
          <t>Không đạt</t>
        </is>
      </c>
      <c r="R464" s="40" t="inlineStr">
        <is>
          <t>BUG-282</t>
        </is>
      </c>
      <c r="S464" s="40" t="inlineStr">
        <is>
          <t>23/05/2026 19:06</t>
        </is>
      </c>
      <c r="T464" s="43" t="inlineStr">
        <is>
          <t>R1:Không đạt</t>
        </is>
      </c>
      <c r="U464" s="40" t="inlineStr"/>
      <c r="V464" s="43" t="inlineStr"/>
    </row>
    <row r="465" ht="80" customHeight="1">
      <c r="A465" s="40" t="inlineStr">
        <is>
          <t>TC-462</t>
        </is>
      </c>
      <c r="B465" s="47" t="inlineStr">
        <is>
          <t>SECURITY</t>
        </is>
      </c>
      <c r="C465" s="42" t="inlineStr">
        <is>
          <t>P0</t>
        </is>
      </c>
      <c r="D465" s="43" t="inlineStr">
        <is>
          <t>Lawyers</t>
        </is>
      </c>
      <c r="E465" s="43" t="inlineStr">
        <is>
          <t>XSS qua fullName='&lt;svg onload=alert(1)&gt;'</t>
        </is>
      </c>
      <c r="F465" s="40" t="inlineStr">
        <is>
          <t>REQ-CASE-LAWYERS-462</t>
        </is>
      </c>
      <c r="G465" s="40" t="inlineStr">
        <is>
          <t>Use case testing</t>
        </is>
      </c>
      <c r="H465" s="40" t="inlineStr">
        <is>
          <t>Cao</t>
        </is>
      </c>
      <c r="I465" s="43" t="inlineStr">
        <is>
          <t>1. User đã login
2. Token JWT hợp lệ</t>
        </is>
      </c>
      <c r="J465" s="43" t="inlineStr">
        <is>
          <t>POST fullName='&lt;svg onload=alert(1)&gt;'</t>
        </is>
      </c>
      <c r="K465" s="43" t="inlineStr">
        <is>
          <t>-</t>
        </is>
      </c>
      <c r="L465" s="43" t="inlineStr">
        <is>
          <t>Literal text</t>
        </is>
      </c>
      <c r="M465" s="43" t="inlineStr">
        <is>
          <t>201</t>
        </is>
      </c>
      <c r="N465" s="43" t="inlineStr">
        <is>
          <t>-</t>
        </is>
      </c>
      <c r="O465" s="40" t="inlineStr">
        <is>
          <t>Critical</t>
        </is>
      </c>
      <c r="P465" s="43" t="inlineStr">
        <is>
          <t>Thời gian: 301ms</t>
        </is>
      </c>
      <c r="Q465" s="40" t="inlineStr">
        <is>
          <t>Không đạt</t>
        </is>
      </c>
      <c r="R465" s="40" t="inlineStr">
        <is>
          <t>BUG-283</t>
        </is>
      </c>
      <c r="S465" s="40" t="inlineStr">
        <is>
          <t>23/05/2026 19:06</t>
        </is>
      </c>
      <c r="T465" s="43" t="inlineStr">
        <is>
          <t>R1:Không đạt</t>
        </is>
      </c>
      <c r="U465" s="40" t="inlineStr"/>
      <c r="V465" s="43" t="inlineStr"/>
    </row>
    <row r="466" ht="80" customHeight="1">
      <c r="A466" s="40" t="inlineStr">
        <is>
          <t>TC-463</t>
        </is>
      </c>
      <c r="B466" s="47" t="inlineStr">
        <is>
          <t>SECURITY</t>
        </is>
      </c>
      <c r="C466" s="42" t="inlineStr">
        <is>
          <t>P0</t>
        </is>
      </c>
      <c r="D466" s="43" t="inlineStr">
        <is>
          <t>Lawyers</t>
        </is>
      </c>
      <c r="E466" s="43" t="inlineStr">
        <is>
          <t>SQL injection qua barNumber</t>
        </is>
      </c>
      <c r="F466" s="40" t="inlineStr">
        <is>
          <t>REQ-CASE-LAWYERS-463</t>
        </is>
      </c>
      <c r="G466" s="40" t="inlineStr">
        <is>
          <t>Use case testing</t>
        </is>
      </c>
      <c r="H466" s="40" t="inlineStr">
        <is>
          <t>Cao</t>
        </is>
      </c>
      <c r="I466" s="43" t="inlineStr">
        <is>
          <t>1. User đã login
2. Token JWT hợp lệ</t>
        </is>
      </c>
      <c r="J466" s="43" t="inlineStr">
        <is>
          <t>POST barNumber="' OR 1=1--"</t>
        </is>
      </c>
      <c r="K466" s="43" t="inlineStr">
        <is>
          <t>-</t>
        </is>
      </c>
      <c r="L466" s="43" t="inlineStr">
        <is>
          <t>-</t>
        </is>
      </c>
      <c r="M466" s="43" t="inlineStr">
        <is>
          <t>201 lưu literal (Prisma param) hoặc 409 nếu collision</t>
        </is>
      </c>
      <c r="N466" s="43" t="inlineStr">
        <is>
          <t>No DB injection</t>
        </is>
      </c>
      <c r="O466" s="40" t="inlineStr">
        <is>
          <t>High</t>
        </is>
      </c>
      <c r="P466" s="43" t="inlineStr">
        <is>
          <t>Thời gian: 128ms</t>
        </is>
      </c>
      <c r="Q466" s="40" t="inlineStr">
        <is>
          <t>Không đạt</t>
        </is>
      </c>
      <c r="R466" s="40" t="inlineStr">
        <is>
          <t>BUG-284</t>
        </is>
      </c>
      <c r="S466" s="40" t="inlineStr">
        <is>
          <t>23/05/2026 19:06</t>
        </is>
      </c>
      <c r="T466" s="43" t="inlineStr">
        <is>
          <t>R1:Không đạt</t>
        </is>
      </c>
      <c r="U466" s="40" t="inlineStr"/>
      <c r="V466" s="43" t="inlineStr"/>
    </row>
    <row r="467" ht="80" customHeight="1">
      <c r="A467" s="40" t="inlineStr">
        <is>
          <t>TC-464</t>
        </is>
      </c>
      <c r="B467" s="52" t="inlineStr">
        <is>
          <t>DATA</t>
        </is>
      </c>
      <c r="C467" s="44" t="inlineStr">
        <is>
          <t>P1</t>
        </is>
      </c>
      <c r="D467" s="43" t="inlineStr">
        <is>
          <t>Lawyers</t>
        </is>
      </c>
      <c r="E467" s="43" t="inlineStr">
        <is>
          <t>fullName tiếng Việt 'Luật sư Đỗ Thị Thanh Mai'</t>
        </is>
      </c>
      <c r="F467" s="40" t="inlineStr">
        <is>
          <t>REQ-CASE-LAWYERS-464</t>
        </is>
      </c>
      <c r="G467" s="40" t="inlineStr">
        <is>
          <t>Use case testing</t>
        </is>
      </c>
      <c r="H467" s="40" t="inlineStr">
        <is>
          <t>TB</t>
        </is>
      </c>
      <c r="I467" s="43" t="inlineStr">
        <is>
          <t>1. User đã login
2. Token JWT hợp lệ</t>
        </is>
      </c>
      <c r="J467" s="43" t="inlineStr">
        <is>
          <t>POST</t>
        </is>
      </c>
      <c r="K467" s="43" t="inlineStr">
        <is>
          <t>-</t>
        </is>
      </c>
      <c r="L467" s="43" t="inlineStr">
        <is>
          <t>Hiển thị dấu đúng</t>
        </is>
      </c>
      <c r="M467" s="43" t="inlineStr">
        <is>
          <t>201</t>
        </is>
      </c>
      <c r="N467" s="43" t="inlineStr">
        <is>
          <t>-</t>
        </is>
      </c>
      <c r="O467" s="40" t="inlineStr">
        <is>
          <t>Medium</t>
        </is>
      </c>
      <c r="P467" s="43" t="inlineStr">
        <is>
          <t>Thời gian: 874ms</t>
        </is>
      </c>
      <c r="Q467" s="40" t="inlineStr">
        <is>
          <t>Không đạt</t>
        </is>
      </c>
      <c r="R467" s="40" t="inlineStr">
        <is>
          <t>BUG-285</t>
        </is>
      </c>
      <c r="S467" s="40" t="inlineStr">
        <is>
          <t>23/05/2026 19:06</t>
        </is>
      </c>
      <c r="T467" s="43" t="inlineStr">
        <is>
          <t>R1:Không đạt</t>
        </is>
      </c>
      <c r="U467" s="40" t="inlineStr"/>
      <c r="V467" s="43" t="inlineStr"/>
    </row>
    <row r="468" ht="80" customHeight="1">
      <c r="A468" s="40" t="inlineStr">
        <is>
          <t>TC-465</t>
        </is>
      </c>
      <c r="B468" s="52" t="inlineStr">
        <is>
          <t>DATA</t>
        </is>
      </c>
      <c r="C468" s="44" t="inlineStr">
        <is>
          <t>P1</t>
        </is>
      </c>
      <c r="D468" s="43" t="inlineStr">
        <is>
          <t>Lawyers</t>
        </is>
      </c>
      <c r="E468" s="43" t="inlineStr">
        <is>
          <t>lawFirm Unicode 'Văn phòng Luật sư Hà Nội &amp; Cộng sự'</t>
        </is>
      </c>
      <c r="F468" s="40" t="inlineStr">
        <is>
          <t>REQ-CASE-LAWYERS-465</t>
        </is>
      </c>
      <c r="G468" s="40" t="inlineStr">
        <is>
          <t>Use case testing</t>
        </is>
      </c>
      <c r="H468" s="40" t="inlineStr">
        <is>
          <t>TB</t>
        </is>
      </c>
      <c r="I468" s="43" t="inlineStr">
        <is>
          <t>1. User đã login
2. Token JWT hợp lệ</t>
        </is>
      </c>
      <c r="J468" s="43" t="inlineStr">
        <is>
          <t>POST</t>
        </is>
      </c>
      <c r="K468" s="43" t="inlineStr">
        <is>
          <t>-</t>
        </is>
      </c>
      <c r="L468" s="43" t="inlineStr">
        <is>
          <t>-</t>
        </is>
      </c>
      <c r="M468" s="43" t="inlineStr">
        <is>
          <t>201</t>
        </is>
      </c>
      <c r="N468" s="43" t="inlineStr">
        <is>
          <t>-</t>
        </is>
      </c>
      <c r="O468" s="40" t="inlineStr">
        <is>
          <t>Low</t>
        </is>
      </c>
      <c r="P468" s="43" t="inlineStr">
        <is>
          <t>Thời gian: 865ms</t>
        </is>
      </c>
      <c r="Q468" s="40" t="inlineStr">
        <is>
          <t>Không đạt</t>
        </is>
      </c>
      <c r="R468" s="40" t="inlineStr">
        <is>
          <t>BUG-286</t>
        </is>
      </c>
      <c r="S468" s="40" t="inlineStr">
        <is>
          <t>23/05/2026 19:06</t>
        </is>
      </c>
      <c r="T468" s="43" t="inlineStr">
        <is>
          <t>R1:Không đạt</t>
        </is>
      </c>
      <c r="U468" s="40" t="inlineStr"/>
      <c r="V468" s="43" t="inlineStr"/>
    </row>
    <row r="469" ht="80" customHeight="1">
      <c r="A469" s="40" t="inlineStr">
        <is>
          <t>TC-466</t>
        </is>
      </c>
      <c r="B469" s="52" t="inlineStr">
        <is>
          <t>DATA</t>
        </is>
      </c>
      <c r="C469" s="44" t="inlineStr">
        <is>
          <t>P1</t>
        </is>
      </c>
      <c r="D469" s="43" t="inlineStr">
        <is>
          <t>Lawyers</t>
        </is>
      </c>
      <c r="E469" s="43" t="inlineStr">
        <is>
          <t>phone số Quốc tế '+84 901 234 567'</t>
        </is>
      </c>
      <c r="F469" s="40" t="inlineStr">
        <is>
          <t>REQ-CASE-LAWYERS-466</t>
        </is>
      </c>
      <c r="G469" s="40" t="inlineStr">
        <is>
          <t>Use case testing</t>
        </is>
      </c>
      <c r="H469" s="40" t="inlineStr">
        <is>
          <t>TB</t>
        </is>
      </c>
      <c r="I469" s="43" t="inlineStr">
        <is>
          <t>1. User đã login
2. Token JWT hợp lệ</t>
        </is>
      </c>
      <c r="J469" s="43" t="inlineStr">
        <is>
          <t>POST phone='+84 901 234 567'</t>
        </is>
      </c>
      <c r="K469" s="43" t="inlineStr">
        <is>
          <t>-</t>
        </is>
      </c>
      <c r="L469" s="43" t="inlineStr">
        <is>
          <t>-</t>
        </is>
      </c>
      <c r="M469" s="43" t="inlineStr">
        <is>
          <t>201</t>
        </is>
      </c>
      <c r="N469" s="43" t="inlineStr">
        <is>
          <t>-</t>
        </is>
      </c>
      <c r="O469" s="40" t="inlineStr">
        <is>
          <t>Low</t>
        </is>
      </c>
      <c r="P469" s="43" t="inlineStr">
        <is>
          <t>Thời gian: 831ms</t>
        </is>
      </c>
      <c r="Q469" s="40" t="inlineStr">
        <is>
          <t>Không đạt</t>
        </is>
      </c>
      <c r="R469" s="40" t="inlineStr">
        <is>
          <t>BUG-287</t>
        </is>
      </c>
      <c r="S469" s="40" t="inlineStr">
        <is>
          <t>23/05/2026 19:06</t>
        </is>
      </c>
      <c r="T469" s="43" t="inlineStr">
        <is>
          <t>R1:Không đạt</t>
        </is>
      </c>
      <c r="U469" s="40" t="inlineStr"/>
      <c r="V469" s="43" t="inlineStr"/>
    </row>
    <row r="470" ht="80" customHeight="1">
      <c r="A470" s="40" t="inlineStr">
        <is>
          <t>TC-467</t>
        </is>
      </c>
      <c r="B470" s="45" t="inlineStr">
        <is>
          <t>RED</t>
        </is>
      </c>
      <c r="C470" s="44" t="inlineStr">
        <is>
          <t>P1</t>
        </is>
      </c>
      <c r="D470" s="43" t="inlineStr">
        <is>
          <t>Lawyers</t>
        </is>
      </c>
      <c r="E470" s="43" t="inlineStr">
        <is>
          <t>barNumber chứa whitespace 'LS 2026 12345' → save raw (gap)</t>
        </is>
      </c>
      <c r="F470" s="40" t="inlineStr">
        <is>
          <t>REQ-CASE-LAWYERS-467</t>
        </is>
      </c>
      <c r="G470" s="40" t="inlineStr">
        <is>
          <t>Use case testing</t>
        </is>
      </c>
      <c r="H470" s="40" t="inlineStr">
        <is>
          <t>TB</t>
        </is>
      </c>
      <c r="I470" s="43" t="inlineStr">
        <is>
          <t>1. User đã login
2. Token JWT hợp lệ</t>
        </is>
      </c>
      <c r="J470" s="43" t="inlineStr">
        <is>
          <t>POST</t>
        </is>
      </c>
      <c r="K470" s="43" t="inlineStr">
        <is>
          <t>-</t>
        </is>
      </c>
      <c r="L470" s="43" t="inlineStr">
        <is>
          <t>-</t>
        </is>
      </c>
      <c r="M470" s="43" t="inlineStr">
        <is>
          <t>201 raw</t>
        </is>
      </c>
      <c r="N470" s="43" t="inlineStr">
        <is>
          <t>-</t>
        </is>
      </c>
      <c r="O470" s="40" t="inlineStr">
        <is>
          <t>Low</t>
        </is>
      </c>
      <c r="P470" s="43" t="inlineStr">
        <is>
          <t>Thời gian: 821ms</t>
        </is>
      </c>
      <c r="Q470" s="40" t="inlineStr">
        <is>
          <t>Không đạt</t>
        </is>
      </c>
      <c r="R470" s="40" t="inlineStr">
        <is>
          <t>BUG-288</t>
        </is>
      </c>
      <c r="S470" s="40" t="inlineStr">
        <is>
          <t>23/05/2026 19:06</t>
        </is>
      </c>
      <c r="T470" s="43" t="inlineStr">
        <is>
          <t>R1:Không đạt</t>
        </is>
      </c>
      <c r="U470" s="40" t="inlineStr"/>
      <c r="V470" s="43" t="inlineStr">
        <is>
          <t>Gap: nên normalize barNumber (strip spaces)</t>
        </is>
      </c>
    </row>
    <row r="471" ht="80" customHeight="1">
      <c r="A471" s="40" t="inlineStr">
        <is>
          <t>TC-468</t>
        </is>
      </c>
      <c r="B471" s="46" t="inlineStr">
        <is>
          <t>STATE</t>
        </is>
      </c>
      <c r="C471" s="44" t="inlineStr">
        <is>
          <t>P1</t>
        </is>
      </c>
      <c r="D471" s="43" t="inlineStr">
        <is>
          <t>Lawyers</t>
        </is>
      </c>
      <c r="E471" s="43" t="inlineStr">
        <is>
          <t>Lawyer được assign sang Subject khác (re-assign)</t>
        </is>
      </c>
      <c r="F471" s="40" t="inlineStr">
        <is>
          <t>REQ-CASE-LAWYERS-468</t>
        </is>
      </c>
      <c r="G471" s="40" t="inlineStr">
        <is>
          <t>Use case testing</t>
        </is>
      </c>
      <c r="H471" s="40" t="inlineStr">
        <is>
          <t>TB</t>
        </is>
      </c>
      <c r="I471" s="43" t="inlineStr">
        <is>
          <t>1. User đã login
2. Token JWT hợp lệ</t>
        </is>
      </c>
      <c r="J471" s="43" t="inlineStr">
        <is>
          <t>PUT subjectId='S002'</t>
        </is>
      </c>
      <c r="K471" s="43" t="inlineStr">
        <is>
          <t>-</t>
        </is>
      </c>
      <c r="L471" s="43" t="inlineStr">
        <is>
          <t>-</t>
        </is>
      </c>
      <c r="M471" s="43" t="inlineStr">
        <is>
          <t>200</t>
        </is>
      </c>
      <c r="N471" s="43" t="inlineStr">
        <is>
          <t>-</t>
        </is>
      </c>
      <c r="O471" s="40" t="inlineStr">
        <is>
          <t>Medium</t>
        </is>
      </c>
      <c r="P471" s="43" t="inlineStr">
        <is>
          <t>Thời gian: 186ms</t>
        </is>
      </c>
      <c r="Q471" s="40" t="inlineStr">
        <is>
          <t>Không đạt</t>
        </is>
      </c>
      <c r="R471" s="40" t="inlineStr">
        <is>
          <t>BUG-289</t>
        </is>
      </c>
      <c r="S471" s="40" t="inlineStr">
        <is>
          <t>23/05/2026 19:06</t>
        </is>
      </c>
      <c r="T471" s="43" t="inlineStr">
        <is>
          <t>R1:Không đạt</t>
        </is>
      </c>
      <c r="U471" s="40" t="inlineStr"/>
      <c r="V471" s="43" t="inlineStr"/>
    </row>
    <row r="472" ht="80" customHeight="1">
      <c r="A472" s="40" t="inlineStr">
        <is>
          <t>TC-469</t>
        </is>
      </c>
      <c r="B472" s="46" t="inlineStr">
        <is>
          <t>STATE</t>
        </is>
      </c>
      <c r="C472" s="44" t="inlineStr">
        <is>
          <t>P1</t>
        </is>
      </c>
      <c r="D472" s="43" t="inlineStr">
        <is>
          <t>Lawyers</t>
        </is>
      </c>
      <c r="E472" s="43" t="inlineStr">
        <is>
          <t>Unassign Lawyer khỏi Subject (subjectId=null)</t>
        </is>
      </c>
      <c r="F472" s="40" t="inlineStr">
        <is>
          <t>REQ-CASE-LAWYERS-469</t>
        </is>
      </c>
      <c r="G472" s="40" t="inlineStr">
        <is>
          <t>Use case testing</t>
        </is>
      </c>
      <c r="H472" s="40" t="inlineStr">
        <is>
          <t>TB</t>
        </is>
      </c>
      <c r="I472" s="43" t="inlineStr">
        <is>
          <t>1. User đã login
2. Token JWT hợp lệ</t>
        </is>
      </c>
      <c r="J472" s="43" t="inlineStr">
        <is>
          <t>PUT subjectId=null</t>
        </is>
      </c>
      <c r="K472" s="43" t="inlineStr">
        <is>
          <t>-</t>
        </is>
      </c>
      <c r="L472" s="43" t="inlineStr">
        <is>
          <t>-</t>
        </is>
      </c>
      <c r="M472" s="43" t="inlineStr">
        <is>
          <t>200</t>
        </is>
      </c>
      <c r="N472" s="43" t="inlineStr">
        <is>
          <t>-</t>
        </is>
      </c>
      <c r="O472" s="40" t="inlineStr">
        <is>
          <t>Medium</t>
        </is>
      </c>
      <c r="P472" s="43" t="inlineStr">
        <is>
          <t>Thời gian: 211ms</t>
        </is>
      </c>
      <c r="Q472" s="40" t="inlineStr">
        <is>
          <t>Không đạt</t>
        </is>
      </c>
      <c r="R472" s="40" t="inlineStr">
        <is>
          <t>BUG-290</t>
        </is>
      </c>
      <c r="S472" s="40" t="inlineStr">
        <is>
          <t>23/05/2026 19:06</t>
        </is>
      </c>
      <c r="T472" s="43" t="inlineStr">
        <is>
          <t>R1:Không đạt</t>
        </is>
      </c>
      <c r="U472" s="40" t="inlineStr"/>
      <c r="V472" s="43" t="inlineStr"/>
    </row>
    <row r="473" ht="80" customHeight="1">
      <c r="A473" s="40" t="inlineStr">
        <is>
          <t>TC-470</t>
        </is>
      </c>
      <c r="B473" s="56" t="inlineStr">
        <is>
          <t>INTEGRATION</t>
        </is>
      </c>
      <c r="C473" s="44" t="inlineStr">
        <is>
          <t>P1</t>
        </is>
      </c>
      <c r="D473" s="43" t="inlineStr">
        <is>
          <t>Lawyers</t>
        </is>
      </c>
      <c r="E473" s="43" t="inlineStr">
        <is>
          <t>Soft-delete Subject → Lawyer.subjectId auto null (onDelete SetNull)</t>
        </is>
      </c>
      <c r="F473" s="40" t="inlineStr">
        <is>
          <t>REQ-CASE-LAWYERS-470</t>
        </is>
      </c>
      <c r="G473" s="40" t="inlineStr">
        <is>
          <t>Use case testing</t>
        </is>
      </c>
      <c r="H473" s="40" t="inlineStr">
        <is>
          <t>TB</t>
        </is>
      </c>
      <c r="I473" s="43" t="inlineStr">
        <is>
          <t>1. User đã login
2. Token JWT hợp lệ</t>
        </is>
      </c>
      <c r="J473" s="43" t="inlineStr">
        <is>
          <t>DELETE Subject có Lawyer link</t>
        </is>
      </c>
      <c r="K473" s="43" t="inlineStr">
        <is>
          <t>-</t>
        </is>
      </c>
      <c r="L473" s="43" t="inlineStr">
        <is>
          <t>-</t>
        </is>
      </c>
      <c r="M473" s="43" t="inlineStr">
        <is>
          <t>-</t>
        </is>
      </c>
      <c r="N473" s="43" t="inlineStr">
        <is>
          <t>Lawyer.subjectId=null</t>
        </is>
      </c>
      <c r="O473" s="40" t="inlineStr">
        <is>
          <t>High</t>
        </is>
      </c>
      <c r="P473" s="43" t="inlineStr">
        <is>
          <t>Thời gian: 206ms</t>
        </is>
      </c>
      <c r="Q473" s="40" t="inlineStr">
        <is>
          <t>Không đạt</t>
        </is>
      </c>
      <c r="R473" s="40" t="inlineStr">
        <is>
          <t>BUG-291</t>
        </is>
      </c>
      <c r="S473" s="40" t="inlineStr">
        <is>
          <t>23/05/2026 19:06</t>
        </is>
      </c>
      <c r="T473" s="43" t="inlineStr">
        <is>
          <t>R1:Không đạt</t>
        </is>
      </c>
      <c r="U473" s="40" t="inlineStr"/>
      <c r="V473" s="43" t="inlineStr"/>
    </row>
    <row r="474" ht="80" customHeight="1">
      <c r="A474" s="40" t="inlineStr">
        <is>
          <t>TC-471</t>
        </is>
      </c>
      <c r="B474" s="48" t="inlineStr">
        <is>
          <t>A11Y</t>
        </is>
      </c>
      <c r="C474" s="44" t="inlineStr">
        <is>
          <t>P1</t>
        </is>
      </c>
      <c r="D474" s="43" t="inlineStr">
        <is>
          <t>Lawyers</t>
        </is>
      </c>
      <c r="E474" s="43" t="inlineStr">
        <is>
          <t>Form barNumber có pattern hint</t>
        </is>
      </c>
      <c r="F474" s="40" t="inlineStr">
        <is>
          <t>REQ-CASE-LAWYERS-471</t>
        </is>
      </c>
      <c r="G474" s="40" t="inlineStr">
        <is>
          <t>Use case testing</t>
        </is>
      </c>
      <c r="H474" s="40" t="inlineStr">
        <is>
          <t>TB</t>
        </is>
      </c>
      <c r="I474" s="43" t="inlineStr">
        <is>
          <t>1. User đã login
2. Token JWT hợp lệ</t>
        </is>
      </c>
      <c r="J474" s="43" t="inlineStr">
        <is>
          <t>Inspect form</t>
        </is>
      </c>
      <c r="K474" s="43" t="inlineStr">
        <is>
          <t>-</t>
        </is>
      </c>
      <c r="L474" s="43" t="inlineStr">
        <is>
          <t>placeholder='LS-YYYY-XXXXX'</t>
        </is>
      </c>
      <c r="M474" s="43" t="inlineStr">
        <is>
          <t>-</t>
        </is>
      </c>
      <c r="N474" s="43" t="inlineStr">
        <is>
          <t>-</t>
        </is>
      </c>
      <c r="O474" s="40" t="inlineStr">
        <is>
          <t>Low</t>
        </is>
      </c>
      <c r="P474" s="43" t="inlineStr">
        <is>
          <t>Thời gian: 143ms</t>
        </is>
      </c>
      <c r="Q474" s="40" t="inlineStr">
        <is>
          <t>Không đạt</t>
        </is>
      </c>
      <c r="R474" s="40" t="inlineStr">
        <is>
          <t>BUG-292</t>
        </is>
      </c>
      <c r="S474" s="40" t="inlineStr">
        <is>
          <t>23/05/2026 19:06</t>
        </is>
      </c>
      <c r="T474" s="43" t="inlineStr">
        <is>
          <t>R1:Không đạt</t>
        </is>
      </c>
      <c r="U474" s="40" t="inlineStr"/>
      <c r="V474" s="43" t="inlineStr"/>
    </row>
    <row r="475" ht="80" customHeight="1">
      <c r="A475" s="40" t="inlineStr">
        <is>
          <t>TC-472</t>
        </is>
      </c>
      <c r="B475" s="51" t="inlineStr">
        <is>
          <t>PERFORMANCE</t>
        </is>
      </c>
      <c r="C475" s="44" t="inlineStr">
        <is>
          <t>P1</t>
        </is>
      </c>
      <c r="D475" s="43" t="inlineStr">
        <is>
          <t>Lawyers</t>
        </is>
      </c>
      <c r="E475" s="43" t="inlineStr">
        <is>
          <t>GET /lawyers với 100 lawyer DB &lt; 500ms</t>
        </is>
      </c>
      <c r="F475" s="40" t="inlineStr">
        <is>
          <t>REQ-CASE-LAWYERS-472</t>
        </is>
      </c>
      <c r="G475" s="40" t="inlineStr">
        <is>
          <t>Use case testing</t>
        </is>
      </c>
      <c r="H475" s="40" t="inlineStr">
        <is>
          <t>TB</t>
        </is>
      </c>
      <c r="I475" s="43" t="inlineStr">
        <is>
          <t>1. User đã login
2. Token JWT hợp lệ</t>
        </is>
      </c>
      <c r="J475" s="43" t="inlineStr">
        <is>
          <t>GET</t>
        </is>
      </c>
      <c r="K475" s="43" t="inlineStr">
        <is>
          <t>-</t>
        </is>
      </c>
      <c r="L475" s="43" t="inlineStr">
        <is>
          <t>-</t>
        </is>
      </c>
      <c r="M475" s="43" t="inlineStr">
        <is>
          <t>&lt;500ms</t>
        </is>
      </c>
      <c r="N475" s="43" t="inlineStr">
        <is>
          <t>-</t>
        </is>
      </c>
      <c r="O475" s="40" t="inlineStr">
        <is>
          <t>Medium</t>
        </is>
      </c>
      <c r="P475" s="43" t="inlineStr">
        <is>
          <t>Thời gian: 164ms</t>
        </is>
      </c>
      <c r="Q475" s="40" t="inlineStr">
        <is>
          <t>Không đạt</t>
        </is>
      </c>
      <c r="R475" s="40" t="inlineStr">
        <is>
          <t>BUG-293</t>
        </is>
      </c>
      <c r="S475" s="40" t="inlineStr">
        <is>
          <t>23/05/2026 19:06</t>
        </is>
      </c>
      <c r="T475" s="43" t="inlineStr">
        <is>
          <t>R1:Không đạt</t>
        </is>
      </c>
      <c r="U475" s="40" t="inlineStr"/>
      <c r="V475" s="43" t="inlineStr"/>
    </row>
    <row r="476" ht="80" customHeight="1">
      <c r="A476" s="40" t="inlineStr">
        <is>
          <t>TC-473</t>
        </is>
      </c>
      <c r="B476" s="45" t="inlineStr">
        <is>
          <t>RED</t>
        </is>
      </c>
      <c r="C476" s="42" t="inlineStr">
        <is>
          <t>P0</t>
        </is>
      </c>
      <c r="D476" s="43" t="inlineStr">
        <is>
          <t>Lawyers</t>
        </is>
      </c>
      <c r="E476" s="43" t="inlineStr">
        <is>
          <t>User VIEWER POST → 403</t>
        </is>
      </c>
      <c r="F476" s="40" t="inlineStr">
        <is>
          <t>REQ-CASE-LAWYERS-473</t>
        </is>
      </c>
      <c r="G476" s="40" t="inlineStr">
        <is>
          <t>Use case testing</t>
        </is>
      </c>
      <c r="H476" s="40" t="inlineStr">
        <is>
          <t>Cao</t>
        </is>
      </c>
      <c r="I476" s="43" t="inlineStr">
        <is>
          <t>viewer</t>
        </is>
      </c>
      <c r="J476" s="43" t="inlineStr">
        <is>
          <t>POST</t>
        </is>
      </c>
      <c r="K476" s="43" t="inlineStr">
        <is>
          <t>-</t>
        </is>
      </c>
      <c r="L476" s="43" t="inlineStr">
        <is>
          <t>-</t>
        </is>
      </c>
      <c r="M476" s="43" t="inlineStr">
        <is>
          <t>403</t>
        </is>
      </c>
      <c r="N476" s="43" t="inlineStr">
        <is>
          <t>-</t>
        </is>
      </c>
      <c r="O476" s="40" t="inlineStr">
        <is>
          <t>Critical</t>
        </is>
      </c>
      <c r="P476" s="43" t="inlineStr">
        <is>
          <t>Đạt như expected. Thời gian: 150ms</t>
        </is>
      </c>
      <c r="Q476" s="40" t="inlineStr">
        <is>
          <t>Đạt</t>
        </is>
      </c>
      <c r="R476" s="40" t="inlineStr"/>
      <c r="S476" s="40" t="inlineStr">
        <is>
          <t>23/05/2026 19:06</t>
        </is>
      </c>
      <c r="T476" s="43" t="inlineStr">
        <is>
          <t>R1:Đạt</t>
        </is>
      </c>
      <c r="U476" s="40" t="inlineStr"/>
      <c r="V476" s="43" t="inlineStr"/>
    </row>
    <row r="477" ht="80" customHeight="1">
      <c r="A477" s="40" t="inlineStr">
        <is>
          <t>TC-474</t>
        </is>
      </c>
      <c r="B477" s="45" t="inlineStr">
        <is>
          <t>RED</t>
        </is>
      </c>
      <c r="C477" s="42" t="inlineStr">
        <is>
          <t>P0</t>
        </is>
      </c>
      <c r="D477" s="43" t="inlineStr">
        <is>
          <t>Lawyers</t>
        </is>
      </c>
      <c r="E477" s="43" t="inlineStr">
        <is>
          <t>JWT thiếu → 401</t>
        </is>
      </c>
      <c r="F477" s="40" t="inlineStr">
        <is>
          <t>REQ-CASE-LAWYERS-474</t>
        </is>
      </c>
      <c r="G477" s="40" t="inlineStr">
        <is>
          <t>Use case testing</t>
        </is>
      </c>
      <c r="H477" s="40" t="inlineStr">
        <is>
          <t>Cao</t>
        </is>
      </c>
      <c r="I477" s="43" t="inlineStr">
        <is>
          <t>1. User đã login
2. Token JWT hợp lệ</t>
        </is>
      </c>
      <c r="J477" s="43" t="inlineStr">
        <is>
          <t>POST không token</t>
        </is>
      </c>
      <c r="K477" s="43" t="inlineStr">
        <is>
          <t>-</t>
        </is>
      </c>
      <c r="L477" s="43" t="inlineStr">
        <is>
          <t>-</t>
        </is>
      </c>
      <c r="M477" s="43" t="inlineStr">
        <is>
          <t>401</t>
        </is>
      </c>
      <c r="N477" s="43" t="inlineStr">
        <is>
          <t>-</t>
        </is>
      </c>
      <c r="O477" s="40" t="inlineStr">
        <is>
          <t>Critical</t>
        </is>
      </c>
      <c r="P477" s="43" t="inlineStr">
        <is>
          <t>Đạt như expected. Thời gian: 62ms</t>
        </is>
      </c>
      <c r="Q477" s="40" t="inlineStr">
        <is>
          <t>Đạt</t>
        </is>
      </c>
      <c r="R477" s="40" t="inlineStr"/>
      <c r="S477" s="40" t="inlineStr">
        <is>
          <t>23/05/2026 19:06</t>
        </is>
      </c>
      <c r="T477" s="43" t="inlineStr">
        <is>
          <t>R1:Đạt</t>
        </is>
      </c>
      <c r="U477" s="40" t="inlineStr"/>
      <c r="V477" s="43" t="inlineStr"/>
    </row>
    <row r="478" ht="80" customHeight="1">
      <c r="A478" s="40" t="inlineStr">
        <is>
          <t>TC-475</t>
        </is>
      </c>
      <c r="B478" s="58" t="inlineStr">
        <is>
          <t>AUDIT</t>
        </is>
      </c>
      <c r="C478" s="42" t="inlineStr">
        <is>
          <t>P0</t>
        </is>
      </c>
      <c r="D478" s="43" t="inlineStr">
        <is>
          <t>Lawyers</t>
        </is>
      </c>
      <c r="E478" s="43" t="inlineStr">
        <is>
          <t>LAWYER_CREATED log có barNumber + caseId</t>
        </is>
      </c>
      <c r="F478" s="40" t="inlineStr">
        <is>
          <t>REQ-CASE-LAWYERS-475</t>
        </is>
      </c>
      <c r="G478" s="40" t="inlineStr">
        <is>
          <t>Use case testing</t>
        </is>
      </c>
      <c r="H478" s="40" t="inlineStr">
        <is>
          <t>Cao</t>
        </is>
      </c>
      <c r="I478" s="43" t="inlineStr">
        <is>
          <t>1. User đã login
2. Token JWT hợp lệ</t>
        </is>
      </c>
      <c r="J478" s="43" t="inlineStr">
        <is>
          <t>POST</t>
        </is>
      </c>
      <c r="K478" s="43" t="inlineStr">
        <is>
          <t>-</t>
        </is>
      </c>
      <c r="L478" s="43" t="inlineStr">
        <is>
          <t>-</t>
        </is>
      </c>
      <c r="M478" s="43" t="inlineStr">
        <is>
          <t>-</t>
        </is>
      </c>
      <c r="N478" s="43" t="inlineStr">
        <is>
          <t>metadata đầy đủ</t>
        </is>
      </c>
      <c r="O478" s="40" t="inlineStr">
        <is>
          <t>High</t>
        </is>
      </c>
      <c r="P478" s="43" t="inlineStr">
        <is>
          <t>Thời gian: 109ms</t>
        </is>
      </c>
      <c r="Q478" s="40" t="inlineStr">
        <is>
          <t>Không đạt</t>
        </is>
      </c>
      <c r="R478" s="40" t="inlineStr">
        <is>
          <t>BUG-294</t>
        </is>
      </c>
      <c r="S478" s="40" t="inlineStr">
        <is>
          <t>23/05/2026 19:06</t>
        </is>
      </c>
      <c r="T478" s="43" t="inlineStr">
        <is>
          <t>R1:Không đạt</t>
        </is>
      </c>
      <c r="U478" s="40" t="inlineStr"/>
      <c r="V478" s="43" t="inlineStr"/>
    </row>
    <row r="479" ht="80" customHeight="1">
      <c r="A479" s="40" t="inlineStr">
        <is>
          <t>TC-476</t>
        </is>
      </c>
      <c r="B479" s="53" t="inlineStr">
        <is>
          <t>BOUNDARY</t>
        </is>
      </c>
      <c r="C479" s="44" t="inlineStr">
        <is>
          <t>P1</t>
        </is>
      </c>
      <c r="D479" s="43" t="inlineStr">
        <is>
          <t>Lawyers</t>
        </is>
      </c>
      <c r="E479" s="43" t="inlineStr">
        <is>
          <t>fullName 1 ký tự</t>
        </is>
      </c>
      <c r="F479" s="40" t="inlineStr">
        <is>
          <t>REQ-CASE-LAWYERS-476</t>
        </is>
      </c>
      <c r="G479" s="40" t="inlineStr">
        <is>
          <t>Use case testing</t>
        </is>
      </c>
      <c r="H479" s="40" t="inlineStr">
        <is>
          <t>TB</t>
        </is>
      </c>
      <c r="I479" s="43" t="inlineStr">
        <is>
          <t>1. User đã login
2. Token JWT hợp lệ</t>
        </is>
      </c>
      <c r="J479" s="43" t="inlineStr">
        <is>
          <t>POST fullName='A'</t>
        </is>
      </c>
      <c r="K479" s="43" t="inlineStr">
        <is>
          <t>-</t>
        </is>
      </c>
      <c r="L479" s="43" t="inlineStr">
        <is>
          <t>-</t>
        </is>
      </c>
      <c r="M479" s="43" t="inlineStr">
        <is>
          <t>201</t>
        </is>
      </c>
      <c r="N479" s="43" t="inlineStr">
        <is>
          <t>-</t>
        </is>
      </c>
      <c r="O479" s="40" t="inlineStr">
        <is>
          <t>Low</t>
        </is>
      </c>
      <c r="P479" s="43" t="inlineStr">
        <is>
          <t>Thời gian: 116ms</t>
        </is>
      </c>
      <c r="Q479" s="40" t="inlineStr">
        <is>
          <t>Không đạt</t>
        </is>
      </c>
      <c r="R479" s="40" t="inlineStr">
        <is>
          <t>BUG-295</t>
        </is>
      </c>
      <c r="S479" s="40" t="inlineStr">
        <is>
          <t>23/05/2026 19:06</t>
        </is>
      </c>
      <c r="T479" s="43" t="inlineStr">
        <is>
          <t>R1:Không đạt</t>
        </is>
      </c>
      <c r="U479" s="40" t="inlineStr"/>
      <c r="V479" s="43" t="inlineStr"/>
    </row>
    <row r="480" ht="80" customHeight="1">
      <c r="A480" s="40" t="inlineStr">
        <is>
          <t>TC-477</t>
        </is>
      </c>
      <c r="B480" s="53" t="inlineStr">
        <is>
          <t>BOUNDARY</t>
        </is>
      </c>
      <c r="C480" s="44" t="inlineStr">
        <is>
          <t>P1</t>
        </is>
      </c>
      <c r="D480" s="43" t="inlineStr">
        <is>
          <t>Lawyers</t>
        </is>
      </c>
      <c r="E480" s="43" t="inlineStr">
        <is>
          <t>barNumber 1 ký tự</t>
        </is>
      </c>
      <c r="F480" s="40" t="inlineStr">
        <is>
          <t>REQ-CASE-LAWYERS-477</t>
        </is>
      </c>
      <c r="G480" s="40" t="inlineStr">
        <is>
          <t>Use case testing</t>
        </is>
      </c>
      <c r="H480" s="40" t="inlineStr">
        <is>
          <t>TB</t>
        </is>
      </c>
      <c r="I480" s="43" t="inlineStr">
        <is>
          <t>1. User đã login
2. Token JWT hợp lệ</t>
        </is>
      </c>
      <c r="J480" s="43" t="inlineStr">
        <is>
          <t>POST barNumber='X'</t>
        </is>
      </c>
      <c r="K480" s="43" t="inlineStr">
        <is>
          <t>-</t>
        </is>
      </c>
      <c r="L480" s="43" t="inlineStr">
        <is>
          <t>-</t>
        </is>
      </c>
      <c r="M480" s="43" t="inlineStr">
        <is>
          <t>201 (no min length — gap)</t>
        </is>
      </c>
      <c r="N480" s="43" t="inlineStr">
        <is>
          <t>-</t>
        </is>
      </c>
      <c r="O480" s="40" t="inlineStr">
        <is>
          <t>Low</t>
        </is>
      </c>
      <c r="P480" s="43" t="inlineStr">
        <is>
          <t>Thời gian: 182ms</t>
        </is>
      </c>
      <c r="Q480" s="40" t="inlineStr">
        <is>
          <t>Không đạt</t>
        </is>
      </c>
      <c r="R480" s="40" t="inlineStr">
        <is>
          <t>BUG-296</t>
        </is>
      </c>
      <c r="S480" s="40" t="inlineStr">
        <is>
          <t>23/05/2026 19:06</t>
        </is>
      </c>
      <c r="T480" s="43" t="inlineStr">
        <is>
          <t>R1:Không đạt</t>
        </is>
      </c>
      <c r="U480" s="40" t="inlineStr"/>
      <c r="V480" s="43" t="inlineStr"/>
    </row>
    <row r="481" ht="80" customHeight="1">
      <c r="A481" s="40" t="inlineStr">
        <is>
          <t>TC-478</t>
        </is>
      </c>
      <c r="B481" s="53" t="inlineStr">
        <is>
          <t>BOUNDARY</t>
        </is>
      </c>
      <c r="C481" s="44" t="inlineStr">
        <is>
          <t>P1</t>
        </is>
      </c>
      <c r="D481" s="43" t="inlineStr">
        <is>
          <t>Lawyers</t>
        </is>
      </c>
      <c r="E481" s="43" t="inlineStr">
        <is>
          <t>fullName 500 ký tự</t>
        </is>
      </c>
      <c r="F481" s="40" t="inlineStr">
        <is>
          <t>REQ-CASE-LAWYERS-478</t>
        </is>
      </c>
      <c r="G481" s="40" t="inlineStr">
        <is>
          <t>Use case testing</t>
        </is>
      </c>
      <c r="H481" s="40" t="inlineStr">
        <is>
          <t>TB</t>
        </is>
      </c>
      <c r="I481" s="43" t="inlineStr">
        <is>
          <t>1. User đã login
2. Token JWT hợp lệ</t>
        </is>
      </c>
      <c r="J481" s="43" t="inlineStr">
        <is>
          <t>POST</t>
        </is>
      </c>
      <c r="K481" s="43" t="inlineStr">
        <is>
          <t>-</t>
        </is>
      </c>
      <c r="L481" s="43" t="inlineStr">
        <is>
          <t>-</t>
        </is>
      </c>
      <c r="M481" s="43" t="inlineStr">
        <is>
          <t>201 (no max)</t>
        </is>
      </c>
      <c r="N481" s="43" t="inlineStr">
        <is>
          <t>-</t>
        </is>
      </c>
      <c r="O481" s="40" t="inlineStr">
        <is>
          <t>Low</t>
        </is>
      </c>
      <c r="P481" s="43" t="inlineStr">
        <is>
          <t>Thời gian: 187ms</t>
        </is>
      </c>
      <c r="Q481" s="40" t="inlineStr">
        <is>
          <t>Không đạt</t>
        </is>
      </c>
      <c r="R481" s="40" t="inlineStr">
        <is>
          <t>BUG-297</t>
        </is>
      </c>
      <c r="S481" s="40" t="inlineStr">
        <is>
          <t>23/05/2026 19:06</t>
        </is>
      </c>
      <c r="T481" s="43" t="inlineStr">
        <is>
          <t>R1:Không đạt</t>
        </is>
      </c>
      <c r="U481" s="40" t="inlineStr"/>
      <c r="V481" s="43" t="inlineStr"/>
    </row>
    <row r="482" ht="80" customHeight="1">
      <c r="A482" s="40" t="inlineStr">
        <is>
          <t>TC-479</t>
        </is>
      </c>
      <c r="B482" s="45" t="inlineStr">
        <is>
          <t>RED</t>
        </is>
      </c>
      <c r="C482" s="44" t="inlineStr">
        <is>
          <t>P1</t>
        </is>
      </c>
      <c r="D482" s="43" t="inlineStr">
        <is>
          <t>Lawyers</t>
        </is>
      </c>
      <c r="E482" s="43" t="inlineStr">
        <is>
          <t>POST với forbidNonWhitelisted field 'evil':'x' → 400</t>
        </is>
      </c>
      <c r="F482" s="40" t="inlineStr">
        <is>
          <t>REQ-CASE-LAWYERS-479</t>
        </is>
      </c>
      <c r="G482" s="40" t="inlineStr">
        <is>
          <t>Use case testing</t>
        </is>
      </c>
      <c r="H482" s="40" t="inlineStr">
        <is>
          <t>TB</t>
        </is>
      </c>
      <c r="I482" s="43" t="inlineStr">
        <is>
          <t>1. User đã login
2. Token JWT hợp lệ</t>
        </is>
      </c>
      <c r="J482" s="43" t="inlineStr">
        <is>
          <t>POST {evil:'x',...}</t>
        </is>
      </c>
      <c r="K482" s="43" t="inlineStr">
        <is>
          <t>-</t>
        </is>
      </c>
      <c r="L482" s="43" t="inlineStr">
        <is>
          <t>-</t>
        </is>
      </c>
      <c r="M482" s="43" t="inlineStr">
        <is>
          <t>400</t>
        </is>
      </c>
      <c r="N482" s="43" t="inlineStr">
        <is>
          <t>-</t>
        </is>
      </c>
      <c r="O482" s="40" t="inlineStr">
        <is>
          <t>Medium</t>
        </is>
      </c>
      <c r="P482" s="43" t="inlineStr">
        <is>
          <t>Thời gian: 128ms</t>
        </is>
      </c>
      <c r="Q482" s="40" t="inlineStr">
        <is>
          <t>Không đạt</t>
        </is>
      </c>
      <c r="R482" s="40" t="inlineStr">
        <is>
          <t>BUG-298</t>
        </is>
      </c>
      <c r="S482" s="40" t="inlineStr">
        <is>
          <t>23/05/2026 19:06</t>
        </is>
      </c>
      <c r="T482" s="43" t="inlineStr">
        <is>
          <t>R1:Không đạt</t>
        </is>
      </c>
      <c r="U482" s="40" t="inlineStr"/>
      <c r="V482" s="43" t="inlineStr"/>
    </row>
    <row r="483" ht="80" customHeight="1">
      <c r="A483" s="40" t="inlineStr">
        <is>
          <t>TC-480</t>
        </is>
      </c>
      <c r="B483" s="45" t="inlineStr">
        <is>
          <t>RED</t>
        </is>
      </c>
      <c r="C483" s="44" t="inlineStr">
        <is>
          <t>P1</t>
        </is>
      </c>
      <c r="D483" s="43" t="inlineStr">
        <is>
          <t>Lawyers</t>
        </is>
      </c>
      <c r="E483" s="43" t="inlineStr">
        <is>
          <t>phone format không validate (gap)</t>
        </is>
      </c>
      <c r="F483" s="40" t="inlineStr">
        <is>
          <t>REQ-CASE-LAWYERS-480</t>
        </is>
      </c>
      <c r="G483" s="40" t="inlineStr">
        <is>
          <t>Use case testing</t>
        </is>
      </c>
      <c r="H483" s="40" t="inlineStr">
        <is>
          <t>TB</t>
        </is>
      </c>
      <c r="I483" s="43" t="inlineStr">
        <is>
          <t>1. User đã login
2. Token JWT hợp lệ</t>
        </is>
      </c>
      <c r="J483" s="43" t="inlineStr">
        <is>
          <t>POST phone='ABCDEF'</t>
        </is>
      </c>
      <c r="K483" s="43" t="inlineStr">
        <is>
          <t>-</t>
        </is>
      </c>
      <c r="L483" s="43" t="inlineStr">
        <is>
          <t>-</t>
        </is>
      </c>
      <c r="M483" s="43" t="inlineStr">
        <is>
          <t>201 (no IsPhoneNumber validation)</t>
        </is>
      </c>
      <c r="N483" s="43" t="inlineStr">
        <is>
          <t>-</t>
        </is>
      </c>
      <c r="O483" s="40" t="inlineStr">
        <is>
          <t>Low</t>
        </is>
      </c>
      <c r="P483" s="43" t="inlineStr">
        <is>
          <t>Thời gian: 119ms</t>
        </is>
      </c>
      <c r="Q483" s="40" t="inlineStr">
        <is>
          <t>Không đạt</t>
        </is>
      </c>
      <c r="R483" s="40" t="inlineStr">
        <is>
          <t>BUG-299</t>
        </is>
      </c>
      <c r="S483" s="40" t="inlineStr">
        <is>
          <t>23/05/2026 19:06</t>
        </is>
      </c>
      <c r="T483" s="43" t="inlineStr">
        <is>
          <t>R1:Không đạt</t>
        </is>
      </c>
      <c r="U483" s="40" t="inlineStr"/>
      <c r="V483" s="43" t="inlineStr">
        <is>
          <t>Gap: nên validate format</t>
        </is>
      </c>
    </row>
    <row r="484" ht="80" customHeight="1">
      <c r="A484" s="40" t="inlineStr">
        <is>
          <t>TC-481</t>
        </is>
      </c>
      <c r="B484" s="41" t="inlineStr">
        <is>
          <t>GREEN</t>
        </is>
      </c>
      <c r="C484" s="44" t="inlineStr">
        <is>
          <t>P1</t>
        </is>
      </c>
      <c r="D484" s="43" t="inlineStr">
        <is>
          <t>Lawyers</t>
        </is>
      </c>
      <c r="E484" s="43" t="inlineStr">
        <is>
          <t>Filter search by fullName</t>
        </is>
      </c>
      <c r="F484" s="40" t="inlineStr">
        <is>
          <t>REQ-CASE-LAWYERS-481</t>
        </is>
      </c>
      <c r="G484" s="40" t="inlineStr">
        <is>
          <t>Use case testing</t>
        </is>
      </c>
      <c r="H484" s="40" t="inlineStr">
        <is>
          <t>TB</t>
        </is>
      </c>
      <c r="I484" s="43" t="inlineStr">
        <is>
          <t>1. User đã login
2. Token JWT hợp lệ</t>
        </is>
      </c>
      <c r="J484" s="43" t="inlineStr">
        <is>
          <t>GET ?search='Trần'</t>
        </is>
      </c>
      <c r="K484" s="43" t="inlineStr">
        <is>
          <t>-</t>
        </is>
      </c>
      <c r="L484" s="43" t="inlineStr">
        <is>
          <t>-</t>
        </is>
      </c>
      <c r="M484" s="43" t="inlineStr">
        <is>
          <t>200 data có name LIKE 'Trần'</t>
        </is>
      </c>
      <c r="N484" s="43" t="inlineStr">
        <is>
          <t>-</t>
        </is>
      </c>
      <c r="O484" s="40" t="inlineStr">
        <is>
          <t>Medium</t>
        </is>
      </c>
      <c r="P484" s="43" t="inlineStr">
        <is>
          <t>Thời gian: 151ms</t>
        </is>
      </c>
      <c r="Q484" s="40" t="inlineStr">
        <is>
          <t>Không đạt</t>
        </is>
      </c>
      <c r="R484" s="40" t="inlineStr">
        <is>
          <t>BUG-300</t>
        </is>
      </c>
      <c r="S484" s="40" t="inlineStr">
        <is>
          <t>23/05/2026 19:06</t>
        </is>
      </c>
      <c r="T484" s="43" t="inlineStr">
        <is>
          <t>R1:Không đạt</t>
        </is>
      </c>
      <c r="U484" s="40" t="inlineStr"/>
      <c r="V484" s="43" t="inlineStr"/>
    </row>
    <row r="485" ht="80" customHeight="1">
      <c r="A485" s="40" t="inlineStr">
        <is>
          <t>TC-482</t>
        </is>
      </c>
      <c r="B485" s="41" t="inlineStr">
        <is>
          <t>GREEN</t>
        </is>
      </c>
      <c r="C485" s="44" t="inlineStr">
        <is>
          <t>P1</t>
        </is>
      </c>
      <c r="D485" s="43" t="inlineStr">
        <is>
          <t>Lawyers</t>
        </is>
      </c>
      <c r="E485" s="43" t="inlineStr">
        <is>
          <t>Pagination limit/offset</t>
        </is>
      </c>
      <c r="F485" s="40" t="inlineStr">
        <is>
          <t>REQ-CASE-LAWYERS-482</t>
        </is>
      </c>
      <c r="G485" s="40" t="inlineStr">
        <is>
          <t>Use case testing</t>
        </is>
      </c>
      <c r="H485" s="40" t="inlineStr">
        <is>
          <t>TB</t>
        </is>
      </c>
      <c r="I485" s="43" t="inlineStr">
        <is>
          <t>1. User đã login
2. Token JWT hợp lệ</t>
        </is>
      </c>
      <c r="J485" s="43" t="inlineStr">
        <is>
          <t>GET ?limit=10&amp;offset=20</t>
        </is>
      </c>
      <c r="K485" s="43" t="inlineStr">
        <is>
          <t>-</t>
        </is>
      </c>
      <c r="L485" s="43" t="inlineStr">
        <is>
          <t>-</t>
        </is>
      </c>
      <c r="M485" s="43" t="inlineStr">
        <is>
          <t>200</t>
        </is>
      </c>
      <c r="N485" s="43" t="inlineStr">
        <is>
          <t>-</t>
        </is>
      </c>
      <c r="O485" s="40" t="inlineStr">
        <is>
          <t>Medium</t>
        </is>
      </c>
      <c r="P485" s="43" t="inlineStr">
        <is>
          <t>Thời gian: 124ms</t>
        </is>
      </c>
      <c r="Q485" s="40" t="inlineStr">
        <is>
          <t>Không đạt</t>
        </is>
      </c>
      <c r="R485" s="40" t="inlineStr">
        <is>
          <t>BUG-301</t>
        </is>
      </c>
      <c r="S485" s="40" t="inlineStr">
        <is>
          <t>23/05/2026 19:06</t>
        </is>
      </c>
      <c r="T485" s="43" t="inlineStr">
        <is>
          <t>R1:Không đạt</t>
        </is>
      </c>
      <c r="U485" s="40" t="inlineStr"/>
      <c r="V485" s="43" t="inlineStr"/>
    </row>
    <row r="486" ht="80" customHeight="1">
      <c r="A486" s="40" t="inlineStr">
        <is>
          <t>TC-483</t>
        </is>
      </c>
      <c r="B486" s="45" t="inlineStr">
        <is>
          <t>RED</t>
        </is>
      </c>
      <c r="C486" s="44" t="inlineStr">
        <is>
          <t>P1</t>
        </is>
      </c>
      <c r="D486" s="43" t="inlineStr">
        <is>
          <t>Lawyers</t>
        </is>
      </c>
      <c r="E486" s="43" t="inlineStr">
        <is>
          <t>limit=200 → ? (max validation cần check)</t>
        </is>
      </c>
      <c r="F486" s="40" t="inlineStr">
        <is>
          <t>REQ-CASE-LAWYERS-483</t>
        </is>
      </c>
      <c r="G486" s="40" t="inlineStr">
        <is>
          <t>Use case testing</t>
        </is>
      </c>
      <c r="H486" s="40" t="inlineStr">
        <is>
          <t>TB</t>
        </is>
      </c>
      <c r="I486" s="43" t="inlineStr">
        <is>
          <t>1. User đã login
2. Token JWT hợp lệ</t>
        </is>
      </c>
      <c r="J486" s="43" t="inlineStr">
        <is>
          <t>GET ?limit=200</t>
        </is>
      </c>
      <c r="K486" s="43" t="inlineStr">
        <is>
          <t>-</t>
        </is>
      </c>
      <c r="L486" s="43" t="inlineStr">
        <is>
          <t>-</t>
        </is>
      </c>
      <c r="M486" s="43" t="inlineStr">
        <is>
          <t>Verify DTO @Max</t>
        </is>
      </c>
      <c r="N486" s="43" t="inlineStr">
        <is>
          <t>-</t>
        </is>
      </c>
      <c r="O486" s="40" t="inlineStr">
        <is>
          <t>Low</t>
        </is>
      </c>
      <c r="P486" s="43" t="inlineStr">
        <is>
          <t>Thời gian: 157ms</t>
        </is>
      </c>
      <c r="Q486" s="40" t="inlineStr">
        <is>
          <t>Không đạt</t>
        </is>
      </c>
      <c r="R486" s="40" t="inlineStr">
        <is>
          <t>BUG-302</t>
        </is>
      </c>
      <c r="S486" s="40" t="inlineStr">
        <is>
          <t>23/05/2026 19:06</t>
        </is>
      </c>
      <c r="T486" s="43" t="inlineStr">
        <is>
          <t>R1:Không đạt</t>
        </is>
      </c>
      <c r="U486" s="40" t="inlineStr"/>
      <c r="V486" s="43" t="inlineStr"/>
    </row>
    <row r="487" ht="80" customHeight="1">
      <c r="A487" s="40" t="inlineStr">
        <is>
          <t>TC-484</t>
        </is>
      </c>
      <c r="B487" s="41" t="inlineStr">
        <is>
          <t>GREEN</t>
        </is>
      </c>
      <c r="C487" s="42" t="inlineStr">
        <is>
          <t>P0</t>
        </is>
      </c>
      <c r="D487" s="43" t="inlineStr">
        <is>
          <t>Conclusions</t>
        </is>
      </c>
      <c r="E487" s="43" t="inlineStr">
        <is>
          <t>Tạo Conclusion với type+content+caseId</t>
        </is>
      </c>
      <c r="F487" s="40" t="inlineStr">
        <is>
          <t>REQ-CASE-CONCLUSIONS-484</t>
        </is>
      </c>
      <c r="G487" s="40" t="inlineStr">
        <is>
          <t>Use case testing</t>
        </is>
      </c>
      <c r="H487" s="40" t="inlineStr">
        <is>
          <t>Cao</t>
        </is>
      </c>
      <c r="I487" s="43" t="inlineStr">
        <is>
          <t>1. User đã login
2. Token JWT hợp lệ</t>
        </is>
      </c>
      <c r="J487" s="43" t="inlineStr">
        <is>
          <t>POST /api/conclusions {caseId, type:'KET_LUAN_DE_NGHI_TRUY_TO', content:'Nội dung kết luận chi tiết...'}</t>
        </is>
      </c>
      <c r="K487" s="43" t="inlineStr">
        <is>
          <t>caseId='C001', type='KET_LUAN_DE_NGHI_TRUY_TO', content='Đề nghị truy tố theo Đ.173 BLHS'</t>
        </is>
      </c>
      <c r="L487" s="43" t="inlineStr">
        <is>
          <t>Toast 'Tạo kết luận thành công'</t>
        </is>
      </c>
      <c r="M487" s="43" t="inlineStr">
        <is>
          <t>201</t>
        </is>
      </c>
      <c r="N487" s="43" t="inlineStr">
        <is>
          <t>conclusions row + audit</t>
        </is>
      </c>
      <c r="O487" s="40" t="inlineStr">
        <is>
          <t>Critical</t>
        </is>
      </c>
      <c r="P487" s="43" t="inlineStr">
        <is>
          <t>Thời gian: 84ms</t>
        </is>
      </c>
      <c r="Q487" s="40" t="inlineStr">
        <is>
          <t>Không đạt</t>
        </is>
      </c>
      <c r="R487" s="40" t="inlineStr">
        <is>
          <t>BUG-016</t>
        </is>
      </c>
      <c r="S487" s="40" t="inlineStr">
        <is>
          <t>23/05/2026 19:06</t>
        </is>
      </c>
      <c r="T487" s="43" t="inlineStr">
        <is>
          <t>R1:Không đạt</t>
        </is>
      </c>
      <c r="U487" s="40" t="inlineStr"/>
      <c r="V487" s="43" t="inlineStr"/>
    </row>
    <row r="488" ht="80" customHeight="1">
      <c r="A488" s="40" t="inlineStr">
        <is>
          <t>TC-485</t>
        </is>
      </c>
      <c r="B488" s="45" t="inlineStr">
        <is>
          <t>RED</t>
        </is>
      </c>
      <c r="C488" s="42" t="inlineStr">
        <is>
          <t>P0</t>
        </is>
      </c>
      <c r="D488" s="43" t="inlineStr">
        <is>
          <t>Conclusions</t>
        </is>
      </c>
      <c r="E488" s="43" t="inlineStr">
        <is>
          <t>caseId thiếu → 400 IsString</t>
        </is>
      </c>
      <c r="F488" s="40" t="inlineStr">
        <is>
          <t>REQ-CASE-CONCLUSIONS-485</t>
        </is>
      </c>
      <c r="G488" s="40" t="inlineStr">
        <is>
          <t>Use case testing</t>
        </is>
      </c>
      <c r="H488" s="40" t="inlineStr">
        <is>
          <t>Cao</t>
        </is>
      </c>
      <c r="I488" s="43" t="inlineStr">
        <is>
          <t>1. User đã login
2. Token JWT hợp lệ</t>
        </is>
      </c>
      <c r="J488" s="43" t="inlineStr">
        <is>
          <t>POST không caseId</t>
        </is>
      </c>
      <c r="K488" s="43" t="inlineStr">
        <is>
          <t>-</t>
        </is>
      </c>
      <c r="L488" s="43" t="inlineStr">
        <is>
          <t>-</t>
        </is>
      </c>
      <c r="M488" s="43" t="inlineStr">
        <is>
          <t>400</t>
        </is>
      </c>
      <c r="N488" s="43" t="inlineStr">
        <is>
          <t>-</t>
        </is>
      </c>
      <c r="O488" s="40" t="inlineStr">
        <is>
          <t>High</t>
        </is>
      </c>
      <c r="P488" s="43" t="inlineStr">
        <is>
          <t>Thời gian: 726ms</t>
        </is>
      </c>
      <c r="Q488" s="40" t="inlineStr">
        <is>
          <t>Không đạt</t>
        </is>
      </c>
      <c r="R488" s="40" t="inlineStr">
        <is>
          <t>BUG-017</t>
        </is>
      </c>
      <c r="S488" s="40" t="inlineStr">
        <is>
          <t>23/05/2026 19:06</t>
        </is>
      </c>
      <c r="T488" s="43" t="inlineStr">
        <is>
          <t>R1:Không đạt</t>
        </is>
      </c>
      <c r="U488" s="40" t="inlineStr"/>
      <c r="V488" s="43" t="inlineStr"/>
    </row>
    <row r="489" ht="80" customHeight="1">
      <c r="A489" s="40" t="inlineStr">
        <is>
          <t>TC-486</t>
        </is>
      </c>
      <c r="B489" s="45" t="inlineStr">
        <is>
          <t>RED</t>
        </is>
      </c>
      <c r="C489" s="42" t="inlineStr">
        <is>
          <t>P0</t>
        </is>
      </c>
      <c r="D489" s="43" t="inlineStr">
        <is>
          <t>Conclusions</t>
        </is>
      </c>
      <c r="E489" s="43" t="inlineStr">
        <is>
          <t>caseId không tồn tại → 400 FK</t>
        </is>
      </c>
      <c r="F489" s="40" t="inlineStr">
        <is>
          <t>REQ-CASE-CONCLUSIONS-486</t>
        </is>
      </c>
      <c r="G489" s="40" t="inlineStr">
        <is>
          <t>Use case testing</t>
        </is>
      </c>
      <c r="H489" s="40" t="inlineStr">
        <is>
          <t>Cao</t>
        </is>
      </c>
      <c r="I489" s="43" t="inlineStr">
        <is>
          <t>1. User đã login
2. Token JWT hợp lệ</t>
        </is>
      </c>
      <c r="J489" s="43" t="inlineStr">
        <is>
          <t>POST</t>
        </is>
      </c>
      <c r="K489" s="43" t="inlineStr">
        <is>
          <t>-</t>
        </is>
      </c>
      <c r="L489" s="43" t="inlineStr">
        <is>
          <t>-</t>
        </is>
      </c>
      <c r="M489" s="43" t="inlineStr">
        <is>
          <t>400</t>
        </is>
      </c>
      <c r="N489" s="43" t="inlineStr">
        <is>
          <t>-</t>
        </is>
      </c>
      <c r="O489" s="40" t="inlineStr">
        <is>
          <t>High</t>
        </is>
      </c>
      <c r="P489" s="43" t="inlineStr">
        <is>
          <t>Thời gian: 132ms</t>
        </is>
      </c>
      <c r="Q489" s="40" t="inlineStr">
        <is>
          <t>Không đạt</t>
        </is>
      </c>
      <c r="R489" s="40" t="inlineStr">
        <is>
          <t>BUG-018</t>
        </is>
      </c>
      <c r="S489" s="40" t="inlineStr">
        <is>
          <t>23/05/2026 19:06</t>
        </is>
      </c>
      <c r="T489" s="43" t="inlineStr">
        <is>
          <t>R1:Không đạt</t>
        </is>
      </c>
      <c r="U489" s="40" t="inlineStr"/>
      <c r="V489" s="43" t="inlineStr"/>
    </row>
    <row r="490" ht="80" customHeight="1">
      <c r="A490" s="40" t="inlineStr">
        <is>
          <t>TC-487</t>
        </is>
      </c>
      <c r="B490" s="45" t="inlineStr">
        <is>
          <t>RED</t>
        </is>
      </c>
      <c r="C490" s="42" t="inlineStr">
        <is>
          <t>P0</t>
        </is>
      </c>
      <c r="D490" s="43" t="inlineStr">
        <is>
          <t>Conclusions</t>
        </is>
      </c>
      <c r="E490" s="43" t="inlineStr">
        <is>
          <t>type rỗng → 400</t>
        </is>
      </c>
      <c r="F490" s="40" t="inlineStr">
        <is>
          <t>REQ-CASE-CONCLUSIONS-487</t>
        </is>
      </c>
      <c r="G490" s="40" t="inlineStr">
        <is>
          <t>Use case testing</t>
        </is>
      </c>
      <c r="H490" s="40" t="inlineStr">
        <is>
          <t>Cao</t>
        </is>
      </c>
      <c r="I490" s="43" t="inlineStr">
        <is>
          <t>1. User đã login
2. Token JWT hợp lệ</t>
        </is>
      </c>
      <c r="J490" s="43" t="inlineStr">
        <is>
          <t>POST type=''</t>
        </is>
      </c>
      <c r="K490" s="43" t="inlineStr">
        <is>
          <t>-</t>
        </is>
      </c>
      <c r="L490" s="43" t="inlineStr">
        <is>
          <t>-</t>
        </is>
      </c>
      <c r="M490" s="43" t="inlineStr">
        <is>
          <t>400</t>
        </is>
      </c>
      <c r="N490" s="43" t="inlineStr">
        <is>
          <t>-</t>
        </is>
      </c>
      <c r="O490" s="40" t="inlineStr">
        <is>
          <t>High</t>
        </is>
      </c>
      <c r="P490" s="43" t="inlineStr">
        <is>
          <t>Thời gian: 128ms</t>
        </is>
      </c>
      <c r="Q490" s="40" t="inlineStr">
        <is>
          <t>Không đạt</t>
        </is>
      </c>
      <c r="R490" s="40" t="inlineStr">
        <is>
          <t>BUG-019</t>
        </is>
      </c>
      <c r="S490" s="40" t="inlineStr">
        <is>
          <t>23/05/2026 19:06</t>
        </is>
      </c>
      <c r="T490" s="43" t="inlineStr">
        <is>
          <t>R1:Không đạt</t>
        </is>
      </c>
      <c r="U490" s="40" t="inlineStr"/>
      <c r="V490" s="43" t="inlineStr"/>
    </row>
    <row r="491" ht="80" customHeight="1">
      <c r="A491" s="40" t="inlineStr">
        <is>
          <t>TC-488</t>
        </is>
      </c>
      <c r="B491" s="45" t="inlineStr">
        <is>
          <t>RED</t>
        </is>
      </c>
      <c r="C491" s="42" t="inlineStr">
        <is>
          <t>P0</t>
        </is>
      </c>
      <c r="D491" s="43" t="inlineStr">
        <is>
          <t>Conclusions</t>
        </is>
      </c>
      <c r="E491" s="43" t="inlineStr">
        <is>
          <t>content rỗng → 400</t>
        </is>
      </c>
      <c r="F491" s="40" t="inlineStr">
        <is>
          <t>REQ-CASE-CONCLUSIONS-488</t>
        </is>
      </c>
      <c r="G491" s="40" t="inlineStr">
        <is>
          <t>Use case testing</t>
        </is>
      </c>
      <c r="H491" s="40" t="inlineStr">
        <is>
          <t>Cao</t>
        </is>
      </c>
      <c r="I491" s="43" t="inlineStr">
        <is>
          <t>1. User đã login
2. Token JWT hợp lệ</t>
        </is>
      </c>
      <c r="J491" s="43" t="inlineStr">
        <is>
          <t>POST content=''</t>
        </is>
      </c>
      <c r="K491" s="43" t="inlineStr">
        <is>
          <t>-</t>
        </is>
      </c>
      <c r="L491" s="43" t="inlineStr">
        <is>
          <t>-</t>
        </is>
      </c>
      <c r="M491" s="43" t="inlineStr">
        <is>
          <t>400</t>
        </is>
      </c>
      <c r="N491" s="43" t="inlineStr">
        <is>
          <t>-</t>
        </is>
      </c>
      <c r="O491" s="40" t="inlineStr">
        <is>
          <t>High</t>
        </is>
      </c>
      <c r="P491" s="43" t="inlineStr">
        <is>
          <t>Thời gian: 132ms</t>
        </is>
      </c>
      <c r="Q491" s="40" t="inlineStr">
        <is>
          <t>Không đạt</t>
        </is>
      </c>
      <c r="R491" s="40" t="inlineStr">
        <is>
          <t>BUG-020</t>
        </is>
      </c>
      <c r="S491" s="40" t="inlineStr">
        <is>
          <t>23/05/2026 19:06</t>
        </is>
      </c>
      <c r="T491" s="43" t="inlineStr">
        <is>
          <t>R1:Không đạt</t>
        </is>
      </c>
      <c r="U491" s="40" t="inlineStr"/>
      <c r="V491" s="43" t="inlineStr"/>
    </row>
    <row r="492" ht="80" customHeight="1">
      <c r="A492" s="40" t="inlineStr">
        <is>
          <t>TC-489</t>
        </is>
      </c>
      <c r="B492" s="41" t="inlineStr">
        <is>
          <t>GREEN</t>
        </is>
      </c>
      <c r="C492" s="42" t="inlineStr">
        <is>
          <t>P0</t>
        </is>
      </c>
      <c r="D492" s="43" t="inlineStr">
        <is>
          <t>Conclusions</t>
        </is>
      </c>
      <c r="E492" s="43" t="inlineStr">
        <is>
          <t>Tạo Conclusion với approvedById</t>
        </is>
      </c>
      <c r="F492" s="40" t="inlineStr">
        <is>
          <t>REQ-CASE-CONCLUSIONS-489</t>
        </is>
      </c>
      <c r="G492" s="40" t="inlineStr">
        <is>
          <t>Use case testing</t>
        </is>
      </c>
      <c r="H492" s="40" t="inlineStr">
        <is>
          <t>Cao</t>
        </is>
      </c>
      <c r="I492" s="43" t="inlineStr">
        <is>
          <t>1. User đã login
2. Token JWT hợp lệ</t>
        </is>
      </c>
      <c r="J492" s="43" t="inlineStr">
        <is>
          <t>POST approvedById='&lt;truong-don-vi&gt;'</t>
        </is>
      </c>
      <c r="K492" s="43" t="inlineStr">
        <is>
          <t>-</t>
        </is>
      </c>
      <c r="L492" s="43" t="inlineStr">
        <is>
          <t>Detail show 'Phê duyệt bởi: ...'</t>
        </is>
      </c>
      <c r="M492" s="43" t="inlineStr">
        <is>
          <t>201</t>
        </is>
      </c>
      <c r="N492" s="43" t="inlineStr">
        <is>
          <t>-</t>
        </is>
      </c>
      <c r="O492" s="40" t="inlineStr">
        <is>
          <t>High</t>
        </is>
      </c>
      <c r="P492" s="43" t="inlineStr">
        <is>
          <t>Thời gian: 110ms</t>
        </is>
      </c>
      <c r="Q492" s="40" t="inlineStr">
        <is>
          <t>Không đạt</t>
        </is>
      </c>
      <c r="R492" s="40" t="inlineStr">
        <is>
          <t>BUG-021</t>
        </is>
      </c>
      <c r="S492" s="40" t="inlineStr">
        <is>
          <t>23/05/2026 19:06</t>
        </is>
      </c>
      <c r="T492" s="43" t="inlineStr">
        <is>
          <t>R1:Không đạt</t>
        </is>
      </c>
      <c r="U492" s="40" t="inlineStr"/>
      <c r="V492" s="43" t="inlineStr"/>
    </row>
    <row r="493" ht="80" customHeight="1">
      <c r="A493" s="40" t="inlineStr">
        <is>
          <t>TC-490</t>
        </is>
      </c>
      <c r="B493" s="45" t="inlineStr">
        <is>
          <t>RED</t>
        </is>
      </c>
      <c r="C493" s="42" t="inlineStr">
        <is>
          <t>P0</t>
        </is>
      </c>
      <c r="D493" s="43" t="inlineStr">
        <is>
          <t>Conclusions</t>
        </is>
      </c>
      <c r="E493" s="43" t="inlineStr">
        <is>
          <t>approvedById không tồn tại → 400 FK</t>
        </is>
      </c>
      <c r="F493" s="40" t="inlineStr">
        <is>
          <t>REQ-CASE-CONCLUSIONS-490</t>
        </is>
      </c>
      <c r="G493" s="40" t="inlineStr">
        <is>
          <t>Use case testing</t>
        </is>
      </c>
      <c r="H493" s="40" t="inlineStr">
        <is>
          <t>Cao</t>
        </is>
      </c>
      <c r="I493" s="43" t="inlineStr">
        <is>
          <t>1. User đã login
2. Token JWT hợp lệ</t>
        </is>
      </c>
      <c r="J493" s="43" t="inlineStr">
        <is>
          <t>POST approvedById='NOT_EXIST'</t>
        </is>
      </c>
      <c r="K493" s="43" t="inlineStr">
        <is>
          <t>-</t>
        </is>
      </c>
      <c r="L493" s="43" t="inlineStr">
        <is>
          <t>-</t>
        </is>
      </c>
      <c r="M493" s="43" t="inlineStr">
        <is>
          <t>400</t>
        </is>
      </c>
      <c r="N493" s="43" t="inlineStr">
        <is>
          <t>-</t>
        </is>
      </c>
      <c r="O493" s="40" t="inlineStr">
        <is>
          <t>High</t>
        </is>
      </c>
      <c r="P493" s="43" t="inlineStr">
        <is>
          <t>Thời gian: 142ms</t>
        </is>
      </c>
      <c r="Q493" s="40" t="inlineStr">
        <is>
          <t>Không đạt</t>
        </is>
      </c>
      <c r="R493" s="40" t="inlineStr">
        <is>
          <t>BUG-022</t>
        </is>
      </c>
      <c r="S493" s="40" t="inlineStr">
        <is>
          <t>23/05/2026 19:06</t>
        </is>
      </c>
      <c r="T493" s="43" t="inlineStr">
        <is>
          <t>R1:Không đạt</t>
        </is>
      </c>
      <c r="U493" s="40" t="inlineStr"/>
      <c r="V493" s="43" t="inlineStr"/>
    </row>
    <row r="494" ht="80" customHeight="1">
      <c r="A494" s="40" t="inlineStr">
        <is>
          <t>TC-491</t>
        </is>
      </c>
      <c r="B494" s="41" t="inlineStr">
        <is>
          <t>GREEN</t>
        </is>
      </c>
      <c r="C494" s="42" t="inlineStr">
        <is>
          <t>P0</t>
        </is>
      </c>
      <c r="D494" s="43" t="inlineStr">
        <is>
          <t>Conclusions</t>
        </is>
      </c>
      <c r="E494" s="43" t="inlineStr">
        <is>
          <t>Default status khi POST không kèm</t>
        </is>
      </c>
      <c r="F494" s="40" t="inlineStr">
        <is>
          <t>REQ-CASE-CONCLUSIONS-491</t>
        </is>
      </c>
      <c r="G494" s="40" t="inlineStr">
        <is>
          <t>Use case testing</t>
        </is>
      </c>
      <c r="H494" s="40" t="inlineStr">
        <is>
          <t>Cao</t>
        </is>
      </c>
      <c r="I494" s="43" t="inlineStr">
        <is>
          <t>1. User đã login
2. Token JWT hợp lệ</t>
        </is>
      </c>
      <c r="J494" s="43" t="inlineStr">
        <is>
          <t>POST</t>
        </is>
      </c>
      <c r="K494" s="43" t="inlineStr">
        <is>
          <t>-</t>
        </is>
      </c>
      <c r="L494" s="43" t="inlineStr">
        <is>
          <t>-</t>
        </is>
      </c>
      <c r="M494" s="43" t="inlineStr">
        <is>
          <t>201 status=DRAFT (default)</t>
        </is>
      </c>
      <c r="N494" s="43" t="inlineStr">
        <is>
          <t>-</t>
        </is>
      </c>
      <c r="O494" s="40" t="inlineStr">
        <is>
          <t>Medium</t>
        </is>
      </c>
      <c r="P494" s="43" t="inlineStr">
        <is>
          <t>Thời gian: 144ms</t>
        </is>
      </c>
      <c r="Q494" s="40" t="inlineStr">
        <is>
          <t>Không đạt</t>
        </is>
      </c>
      <c r="R494" s="40" t="inlineStr">
        <is>
          <t>BUG-023</t>
        </is>
      </c>
      <c r="S494" s="40" t="inlineStr">
        <is>
          <t>23/05/2026 19:06</t>
        </is>
      </c>
      <c r="T494" s="43" t="inlineStr">
        <is>
          <t>R1:Không đạt</t>
        </is>
      </c>
      <c r="U494" s="40" t="inlineStr"/>
      <c r="V494" s="43" t="inlineStr"/>
    </row>
    <row r="495" ht="80" customHeight="1">
      <c r="A495" s="40" t="inlineStr">
        <is>
          <t>TC-492</t>
        </is>
      </c>
      <c r="B495" s="45" t="inlineStr">
        <is>
          <t>RED</t>
        </is>
      </c>
      <c r="C495" s="44" t="inlineStr">
        <is>
          <t>P1</t>
        </is>
      </c>
      <c r="D495" s="43" t="inlineStr">
        <is>
          <t>Conclusions</t>
        </is>
      </c>
      <c r="E495" s="43" t="inlineStr">
        <is>
          <t>status='INVALID' → 400 IsEnum</t>
        </is>
      </c>
      <c r="F495" s="40" t="inlineStr">
        <is>
          <t>REQ-CASE-CONCLUSIONS-492</t>
        </is>
      </c>
      <c r="G495" s="40" t="inlineStr">
        <is>
          <t>Use case testing</t>
        </is>
      </c>
      <c r="H495" s="40" t="inlineStr">
        <is>
          <t>TB</t>
        </is>
      </c>
      <c r="I495" s="43" t="inlineStr">
        <is>
          <t>1. User đã login
2. Token JWT hợp lệ</t>
        </is>
      </c>
      <c r="J495" s="43" t="inlineStr">
        <is>
          <t>POST status='INVALID'</t>
        </is>
      </c>
      <c r="K495" s="43" t="inlineStr">
        <is>
          <t>-</t>
        </is>
      </c>
      <c r="L495" s="43" t="inlineStr">
        <is>
          <t>-</t>
        </is>
      </c>
      <c r="M495" s="43" t="inlineStr">
        <is>
          <t>400</t>
        </is>
      </c>
      <c r="N495" s="43" t="inlineStr">
        <is>
          <t>-</t>
        </is>
      </c>
      <c r="O495" s="40" t="inlineStr">
        <is>
          <t>Medium</t>
        </is>
      </c>
      <c r="P495" s="43" t="inlineStr">
        <is>
          <t>Thời gian: 195ms</t>
        </is>
      </c>
      <c r="Q495" s="40" t="inlineStr">
        <is>
          <t>Không đạt</t>
        </is>
      </c>
      <c r="R495" s="40" t="inlineStr">
        <is>
          <t>BUG-024</t>
        </is>
      </c>
      <c r="S495" s="40" t="inlineStr">
        <is>
          <t>23/05/2026 19:06</t>
        </is>
      </c>
      <c r="T495" s="43" t="inlineStr">
        <is>
          <t>R1:Không đạt</t>
        </is>
      </c>
      <c r="U495" s="40" t="inlineStr"/>
      <c r="V495" s="43" t="inlineStr"/>
    </row>
    <row r="496" ht="80" customHeight="1">
      <c r="A496" s="40" t="inlineStr">
        <is>
          <t>TC-493</t>
        </is>
      </c>
      <c r="B496" s="41" t="inlineStr">
        <is>
          <t>GREEN</t>
        </is>
      </c>
      <c r="C496" s="42" t="inlineStr">
        <is>
          <t>P0</t>
        </is>
      </c>
      <c r="D496" s="43" t="inlineStr">
        <is>
          <t>Conclusions</t>
        </is>
      </c>
      <c r="E496" s="43" t="inlineStr">
        <is>
          <t>GET /conclusions?caseId=C001 list</t>
        </is>
      </c>
      <c r="F496" s="40" t="inlineStr">
        <is>
          <t>REQ-CASE-CONCLUSIONS-493</t>
        </is>
      </c>
      <c r="G496" s="40" t="inlineStr">
        <is>
          <t>Use case testing</t>
        </is>
      </c>
      <c r="H496" s="40" t="inlineStr">
        <is>
          <t>Cao</t>
        </is>
      </c>
      <c r="I496" s="43" t="inlineStr">
        <is>
          <t>1. User đã login
2. Token JWT hợp lệ</t>
        </is>
      </c>
      <c r="J496" s="43" t="inlineStr">
        <is>
          <t>GET</t>
        </is>
      </c>
      <c r="K496" s="43" t="inlineStr">
        <is>
          <t>-</t>
        </is>
      </c>
      <c r="L496" s="43" t="inlineStr">
        <is>
          <t>Table show conclusions</t>
        </is>
      </c>
      <c r="M496" s="43" t="inlineStr">
        <is>
          <t>200</t>
        </is>
      </c>
      <c r="N496" s="43" t="inlineStr">
        <is>
          <t>-</t>
        </is>
      </c>
      <c r="O496" s="40" t="inlineStr">
        <is>
          <t>High</t>
        </is>
      </c>
      <c r="P496" s="43" t="inlineStr">
        <is>
          <t>Thời gian: 187ms</t>
        </is>
      </c>
      <c r="Q496" s="40" t="inlineStr">
        <is>
          <t>Không đạt</t>
        </is>
      </c>
      <c r="R496" s="40" t="inlineStr">
        <is>
          <t>BUG-025</t>
        </is>
      </c>
      <c r="S496" s="40" t="inlineStr">
        <is>
          <t>23/05/2026 19:06</t>
        </is>
      </c>
      <c r="T496" s="43" t="inlineStr">
        <is>
          <t>R1:Không đạt</t>
        </is>
      </c>
      <c r="U496" s="40" t="inlineStr"/>
      <c r="V496" s="43" t="inlineStr"/>
    </row>
    <row r="497" ht="80" customHeight="1">
      <c r="A497" s="40" t="inlineStr">
        <is>
          <t>TC-494</t>
        </is>
      </c>
      <c r="B497" s="41" t="inlineStr">
        <is>
          <t>GREEN</t>
        </is>
      </c>
      <c r="C497" s="42" t="inlineStr">
        <is>
          <t>P0</t>
        </is>
      </c>
      <c r="D497" s="43" t="inlineStr">
        <is>
          <t>Conclusions</t>
        </is>
      </c>
      <c r="E497" s="43" t="inlineStr">
        <is>
          <t>GET /conclusions/:id detail</t>
        </is>
      </c>
      <c r="F497" s="40" t="inlineStr">
        <is>
          <t>REQ-CASE-CONCLUSIONS-494</t>
        </is>
      </c>
      <c r="G497" s="40" t="inlineStr">
        <is>
          <t>Use case testing</t>
        </is>
      </c>
      <c r="H497" s="40" t="inlineStr">
        <is>
          <t>Cao</t>
        </is>
      </c>
      <c r="I497" s="43" t="inlineStr">
        <is>
          <t>1. User đã login
2. Token JWT hợp lệ</t>
        </is>
      </c>
      <c r="J497" s="43" t="inlineStr">
        <is>
          <t>GET</t>
        </is>
      </c>
      <c r="K497" s="43" t="inlineStr">
        <is>
          <t>-</t>
        </is>
      </c>
      <c r="L497" s="43" t="inlineStr">
        <is>
          <t>Detail show approvedBy info</t>
        </is>
      </c>
      <c r="M497" s="43" t="inlineStr">
        <is>
          <t>200</t>
        </is>
      </c>
      <c r="N497" s="43" t="inlineStr">
        <is>
          <t>-</t>
        </is>
      </c>
      <c r="O497" s="40" t="inlineStr">
        <is>
          <t>High</t>
        </is>
      </c>
      <c r="P497" s="43" t="inlineStr">
        <is>
          <t>Thời gian: 149ms</t>
        </is>
      </c>
      <c r="Q497" s="40" t="inlineStr">
        <is>
          <t>Không đạt</t>
        </is>
      </c>
      <c r="R497" s="40" t="inlineStr">
        <is>
          <t>BUG-026</t>
        </is>
      </c>
      <c r="S497" s="40" t="inlineStr">
        <is>
          <t>23/05/2026 19:06</t>
        </is>
      </c>
      <c r="T497" s="43" t="inlineStr">
        <is>
          <t>R1:Không đạt</t>
        </is>
      </c>
      <c r="U497" s="40" t="inlineStr"/>
      <c r="V497" s="43" t="inlineStr"/>
    </row>
    <row r="498" ht="80" customHeight="1">
      <c r="A498" s="40" t="inlineStr">
        <is>
          <t>TC-495</t>
        </is>
      </c>
      <c r="B498" s="45" t="inlineStr">
        <is>
          <t>RED</t>
        </is>
      </c>
      <c r="C498" s="42" t="inlineStr">
        <is>
          <t>P0</t>
        </is>
      </c>
      <c r="D498" s="43" t="inlineStr">
        <is>
          <t>Conclusions</t>
        </is>
      </c>
      <c r="E498" s="43" t="inlineStr">
        <is>
          <t>GET conclusion ngoài scope (Case khác team) → 403</t>
        </is>
      </c>
      <c r="F498" s="40" t="inlineStr">
        <is>
          <t>REQ-CASE-CONCLUSIONS-495</t>
        </is>
      </c>
      <c r="G498" s="40" t="inlineStr">
        <is>
          <t>Use case testing</t>
        </is>
      </c>
      <c r="H498" s="40" t="inlineStr">
        <is>
          <t>Cao</t>
        </is>
      </c>
      <c r="I498" s="43" t="inlineStr">
        <is>
          <t>1. User đã login
2. Token JWT hợp lệ</t>
        </is>
      </c>
      <c r="J498" s="43" t="inlineStr">
        <is>
          <t>GET</t>
        </is>
      </c>
      <c r="K498" s="43" t="inlineStr">
        <is>
          <t>-</t>
        </is>
      </c>
      <c r="L498" s="43" t="inlineStr">
        <is>
          <t>-</t>
        </is>
      </c>
      <c r="M498" s="43" t="inlineStr">
        <is>
          <t>403</t>
        </is>
      </c>
      <c r="N498" s="43" t="inlineStr">
        <is>
          <t>-</t>
        </is>
      </c>
      <c r="O498" s="40" t="inlineStr">
        <is>
          <t>Critical</t>
        </is>
      </c>
      <c r="P498" s="43" t="inlineStr">
        <is>
          <t>Thời gian: 120ms</t>
        </is>
      </c>
      <c r="Q498" s="40" t="inlineStr">
        <is>
          <t>Không đạt</t>
        </is>
      </c>
      <c r="R498" s="40" t="inlineStr">
        <is>
          <t>BUG-027</t>
        </is>
      </c>
      <c r="S498" s="40" t="inlineStr">
        <is>
          <t>23/05/2026 19:06</t>
        </is>
      </c>
      <c r="T498" s="43" t="inlineStr">
        <is>
          <t>R1:Không đạt</t>
        </is>
      </c>
      <c r="U498" s="40" t="inlineStr"/>
      <c r="V498" s="43" t="inlineStr"/>
    </row>
    <row r="499" ht="80" customHeight="1">
      <c r="A499" s="40" t="inlineStr">
        <is>
          <t>TC-496</t>
        </is>
      </c>
      <c r="B499" s="45" t="inlineStr">
        <is>
          <t>RED</t>
        </is>
      </c>
      <c r="C499" s="42" t="inlineStr">
        <is>
          <t>P0</t>
        </is>
      </c>
      <c r="D499" s="43" t="inlineStr">
        <is>
          <t>Conclusions</t>
        </is>
      </c>
      <c r="E499" s="43" t="inlineStr">
        <is>
          <t>GET /conclusions/NOT_EXIST → 404</t>
        </is>
      </c>
      <c r="F499" s="40" t="inlineStr">
        <is>
          <t>REQ-CASE-CONCLUSIONS-496</t>
        </is>
      </c>
      <c r="G499" s="40" t="inlineStr">
        <is>
          <t>Use case testing</t>
        </is>
      </c>
      <c r="H499" s="40" t="inlineStr">
        <is>
          <t>Cao</t>
        </is>
      </c>
      <c r="I499" s="43" t="inlineStr">
        <is>
          <t>1. User đã login
2. Token JWT hợp lệ</t>
        </is>
      </c>
      <c r="J499" s="43" t="inlineStr">
        <is>
          <t>GET</t>
        </is>
      </c>
      <c r="K499" s="43" t="inlineStr">
        <is>
          <t>-</t>
        </is>
      </c>
      <c r="L499" s="43" t="inlineStr">
        <is>
          <t>-</t>
        </is>
      </c>
      <c r="M499" s="43" t="inlineStr">
        <is>
          <t>404</t>
        </is>
      </c>
      <c r="N499" s="43" t="inlineStr">
        <is>
          <t>-</t>
        </is>
      </c>
      <c r="O499" s="40" t="inlineStr">
        <is>
          <t>High</t>
        </is>
      </c>
      <c r="P499" s="43" t="inlineStr">
        <is>
          <t>Thời gian: 129ms</t>
        </is>
      </c>
      <c r="Q499" s="40" t="inlineStr">
        <is>
          <t>Không đạt</t>
        </is>
      </c>
      <c r="R499" s="40" t="inlineStr">
        <is>
          <t>BUG-028</t>
        </is>
      </c>
      <c r="S499" s="40" t="inlineStr">
        <is>
          <t>23/05/2026 19:06</t>
        </is>
      </c>
      <c r="T499" s="43" t="inlineStr">
        <is>
          <t>R1:Không đạt</t>
        </is>
      </c>
      <c r="U499" s="40" t="inlineStr"/>
      <c r="V499" s="43" t="inlineStr"/>
    </row>
    <row r="500" ht="80" customHeight="1">
      <c r="A500" s="40" t="inlineStr">
        <is>
          <t>TC-497</t>
        </is>
      </c>
      <c r="B500" s="41" t="inlineStr">
        <is>
          <t>GREEN</t>
        </is>
      </c>
      <c r="C500" s="42" t="inlineStr">
        <is>
          <t>P0</t>
        </is>
      </c>
      <c r="D500" s="43" t="inlineStr">
        <is>
          <t>Conclusions</t>
        </is>
      </c>
      <c r="E500" s="43" t="inlineStr">
        <is>
          <t>PUT update content</t>
        </is>
      </c>
      <c r="F500" s="40" t="inlineStr">
        <is>
          <t>REQ-CASE-CONCLUSIONS-497</t>
        </is>
      </c>
      <c r="G500" s="40" t="inlineStr">
        <is>
          <t>Use case testing</t>
        </is>
      </c>
      <c r="H500" s="40" t="inlineStr">
        <is>
          <t>Cao</t>
        </is>
      </c>
      <c r="I500" s="43" t="inlineStr">
        <is>
          <t>1. User đã login
2. Token JWT hợp lệ</t>
        </is>
      </c>
      <c r="J500" s="43" t="inlineStr">
        <is>
          <t>PUT /conclusions/CON-001 {content:'Sửa kết luận'}</t>
        </is>
      </c>
      <c r="K500" s="43" t="inlineStr">
        <is>
          <t>-</t>
        </is>
      </c>
      <c r="L500" s="43" t="inlineStr">
        <is>
          <t>Success</t>
        </is>
      </c>
      <c r="M500" s="43" t="inlineStr">
        <is>
          <t>200</t>
        </is>
      </c>
      <c r="N500" s="43" t="inlineStr">
        <is>
          <t>Audit diff</t>
        </is>
      </c>
      <c r="O500" s="40" t="inlineStr">
        <is>
          <t>High</t>
        </is>
      </c>
      <c r="P500" s="43" t="inlineStr">
        <is>
          <t>Thời gian: 144ms</t>
        </is>
      </c>
      <c r="Q500" s="40" t="inlineStr">
        <is>
          <t>Không đạt</t>
        </is>
      </c>
      <c r="R500" s="40" t="inlineStr">
        <is>
          <t>BUG-029</t>
        </is>
      </c>
      <c r="S500" s="40" t="inlineStr">
        <is>
          <t>23/05/2026 19:06</t>
        </is>
      </c>
      <c r="T500" s="43" t="inlineStr">
        <is>
          <t>R1:Không đạt</t>
        </is>
      </c>
      <c r="U500" s="40" t="inlineStr"/>
      <c r="V500" s="43" t="inlineStr"/>
    </row>
    <row r="501" ht="80" customHeight="1">
      <c r="A501" s="40" t="inlineStr">
        <is>
          <t>TC-498</t>
        </is>
      </c>
      <c r="B501" s="45" t="inlineStr">
        <is>
          <t>RED</t>
        </is>
      </c>
      <c r="C501" s="42" t="inlineStr">
        <is>
          <t>P0</t>
        </is>
      </c>
      <c r="D501" s="43" t="inlineStr">
        <is>
          <t>Conclusions</t>
        </is>
      </c>
      <c r="E501" s="43" t="inlineStr">
        <is>
          <t>PUT conclusion đã APPROVED không cho sửa</t>
        </is>
      </c>
      <c r="F501" s="40" t="inlineStr">
        <is>
          <t>REQ-CASE-CONCLUSIONS-498</t>
        </is>
      </c>
      <c r="G501" s="40" t="inlineStr">
        <is>
          <t>Use case testing</t>
        </is>
      </c>
      <c r="H501" s="40" t="inlineStr">
        <is>
          <t>Cao</t>
        </is>
      </c>
      <c r="I501" s="43" t="inlineStr">
        <is>
          <t>Conclusion status=APPROVED</t>
        </is>
      </c>
      <c r="J501" s="43" t="inlineStr">
        <is>
          <t>PUT</t>
        </is>
      </c>
      <c r="K501" s="43" t="inlineStr">
        <is>
          <t>-</t>
        </is>
      </c>
      <c r="L501" s="43" t="inlineStr">
        <is>
          <t>-</t>
        </is>
      </c>
      <c r="M501" s="43" t="inlineStr">
        <is>
          <t>400 'Kết luận đã phê duyệt không thể sửa'</t>
        </is>
      </c>
      <c r="N501" s="43" t="inlineStr">
        <is>
          <t>-</t>
        </is>
      </c>
      <c r="O501" s="40" t="inlineStr">
        <is>
          <t>High</t>
        </is>
      </c>
      <c r="P501" s="43" t="inlineStr">
        <is>
          <t>Thời gian: 134ms</t>
        </is>
      </c>
      <c r="Q501" s="40" t="inlineStr">
        <is>
          <t>Không đạt</t>
        </is>
      </c>
      <c r="R501" s="40" t="inlineStr">
        <is>
          <t>BUG-030</t>
        </is>
      </c>
      <c r="S501" s="40" t="inlineStr">
        <is>
          <t>23/05/2026 19:06</t>
        </is>
      </c>
      <c r="T501" s="43" t="inlineStr">
        <is>
          <t>R1:Không đạt</t>
        </is>
      </c>
      <c r="U501" s="40" t="inlineStr"/>
      <c r="V501" s="43" t="inlineStr">
        <is>
          <t>Cần verify business rule</t>
        </is>
      </c>
    </row>
    <row r="502" ht="80" customHeight="1">
      <c r="A502" s="40" t="inlineStr">
        <is>
          <t>TC-499</t>
        </is>
      </c>
      <c r="B502" s="41" t="inlineStr">
        <is>
          <t>GREEN</t>
        </is>
      </c>
      <c r="C502" s="42" t="inlineStr">
        <is>
          <t>P0</t>
        </is>
      </c>
      <c r="D502" s="43" t="inlineStr">
        <is>
          <t>Conclusions</t>
        </is>
      </c>
      <c r="E502" s="43" t="inlineStr">
        <is>
          <t>DELETE conclusion soft delete</t>
        </is>
      </c>
      <c r="F502" s="40" t="inlineStr">
        <is>
          <t>REQ-CASE-CONCLUSIONS-499</t>
        </is>
      </c>
      <c r="G502" s="40" t="inlineStr">
        <is>
          <t>Use case testing</t>
        </is>
      </c>
      <c r="H502" s="40" t="inlineStr">
        <is>
          <t>Cao</t>
        </is>
      </c>
      <c r="I502" s="43" t="inlineStr">
        <is>
          <t>1. User đã login
2. Token JWT hợp lệ</t>
        </is>
      </c>
      <c r="J502" s="43" t="inlineStr">
        <is>
          <t>DELETE</t>
        </is>
      </c>
      <c r="K502" s="43" t="inlineStr">
        <is>
          <t>-</t>
        </is>
      </c>
      <c r="L502" s="43" t="inlineStr">
        <is>
          <t>Toast success</t>
        </is>
      </c>
      <c r="M502" s="43" t="inlineStr">
        <is>
          <t>200</t>
        </is>
      </c>
      <c r="N502" s="43" t="inlineStr">
        <is>
          <t>deletedAt + audit</t>
        </is>
      </c>
      <c r="O502" s="40" t="inlineStr">
        <is>
          <t>High</t>
        </is>
      </c>
      <c r="P502" s="43" t="inlineStr">
        <is>
          <t>Thời gian: 108ms</t>
        </is>
      </c>
      <c r="Q502" s="40" t="inlineStr">
        <is>
          <t>Không đạt</t>
        </is>
      </c>
      <c r="R502" s="40" t="inlineStr">
        <is>
          <t>BUG-031</t>
        </is>
      </c>
      <c r="S502" s="40" t="inlineStr">
        <is>
          <t>23/05/2026 19:06</t>
        </is>
      </c>
      <c r="T502" s="43" t="inlineStr">
        <is>
          <t>R1:Không đạt</t>
        </is>
      </c>
      <c r="U502" s="40" t="inlineStr"/>
      <c r="V502" s="43" t="inlineStr"/>
    </row>
    <row r="503" ht="80" customHeight="1">
      <c r="A503" s="40" t="inlineStr">
        <is>
          <t>TC-500</t>
        </is>
      </c>
      <c r="B503" s="45" t="inlineStr">
        <is>
          <t>RED</t>
        </is>
      </c>
      <c r="C503" s="42" t="inlineStr">
        <is>
          <t>P0</t>
        </is>
      </c>
      <c r="D503" s="43" t="inlineStr">
        <is>
          <t>Conclusions</t>
        </is>
      </c>
      <c r="E503" s="43" t="inlineStr">
        <is>
          <t>DELETE conclusion đã APPROVED → 400</t>
        </is>
      </c>
      <c r="F503" s="40" t="inlineStr">
        <is>
          <t>REQ-CASE-CONCLUSIONS-500</t>
        </is>
      </c>
      <c r="G503" s="40" t="inlineStr">
        <is>
          <t>Use case testing</t>
        </is>
      </c>
      <c r="H503" s="40" t="inlineStr">
        <is>
          <t>Cao</t>
        </is>
      </c>
      <c r="I503" s="43" t="inlineStr">
        <is>
          <t>status=APPROVED</t>
        </is>
      </c>
      <c r="J503" s="43" t="inlineStr">
        <is>
          <t>DELETE</t>
        </is>
      </c>
      <c r="K503" s="43" t="inlineStr">
        <is>
          <t>-</t>
        </is>
      </c>
      <c r="L503" s="43" t="inlineStr">
        <is>
          <t>-</t>
        </is>
      </c>
      <c r="M503" s="43" t="inlineStr">
        <is>
          <t>400 'Không thể xóa kết luận đã phê duyệt'</t>
        </is>
      </c>
      <c r="N503" s="43" t="inlineStr">
        <is>
          <t>-</t>
        </is>
      </c>
      <c r="O503" s="40" t="inlineStr">
        <is>
          <t>High</t>
        </is>
      </c>
      <c r="P503" s="43" t="inlineStr">
        <is>
          <t>Thời gian: 118ms</t>
        </is>
      </c>
      <c r="Q503" s="40" t="inlineStr">
        <is>
          <t>Không đạt</t>
        </is>
      </c>
      <c r="R503" s="40" t="inlineStr">
        <is>
          <t>BUG-032</t>
        </is>
      </c>
      <c r="S503" s="40" t="inlineStr">
        <is>
          <t>23/05/2026 19:06</t>
        </is>
      </c>
      <c r="T503" s="43" t="inlineStr">
        <is>
          <t>R1:Không đạt</t>
        </is>
      </c>
      <c r="U503" s="40" t="inlineStr"/>
      <c r="V503" s="43" t="inlineStr"/>
    </row>
    <row r="504" ht="80" customHeight="1">
      <c r="A504" s="40" t="inlineStr">
        <is>
          <t>TC-501</t>
        </is>
      </c>
      <c r="B504" s="46" t="inlineStr">
        <is>
          <t>STATE</t>
        </is>
      </c>
      <c r="C504" s="42" t="inlineStr">
        <is>
          <t>P0</t>
        </is>
      </c>
      <c r="D504" s="43" t="inlineStr">
        <is>
          <t>Conclusions</t>
        </is>
      </c>
      <c r="E504" s="43" t="inlineStr">
        <is>
          <t>Transition DRAFT → SUBMITTED (gửi đi phê duyệt)</t>
        </is>
      </c>
      <c r="F504" s="40" t="inlineStr">
        <is>
          <t>REQ-CASE-CONCLUSIONS-501</t>
        </is>
      </c>
      <c r="G504" s="40" t="inlineStr">
        <is>
          <t>Use case testing</t>
        </is>
      </c>
      <c r="H504" s="40" t="inlineStr">
        <is>
          <t>Cao</t>
        </is>
      </c>
      <c r="I504" s="43" t="inlineStr">
        <is>
          <t>1. User đã login
2. Token JWT hợp lệ</t>
        </is>
      </c>
      <c r="J504" s="43" t="inlineStr">
        <is>
          <t>PUT status='SUBMITTED'</t>
        </is>
      </c>
      <c r="K504" s="43" t="inlineStr">
        <is>
          <t>-</t>
        </is>
      </c>
      <c r="L504" s="43" t="inlineStr">
        <is>
          <t>-</t>
        </is>
      </c>
      <c r="M504" s="43" t="inlineStr">
        <is>
          <t>200</t>
        </is>
      </c>
      <c r="N504" s="43" t="inlineStr">
        <is>
          <t>-</t>
        </is>
      </c>
      <c r="O504" s="40" t="inlineStr">
        <is>
          <t>High</t>
        </is>
      </c>
      <c r="P504" s="43" t="inlineStr">
        <is>
          <t>Thời gian: 114ms</t>
        </is>
      </c>
      <c r="Q504" s="40" t="inlineStr">
        <is>
          <t>Không đạt</t>
        </is>
      </c>
      <c r="R504" s="40" t="inlineStr">
        <is>
          <t>BUG-033</t>
        </is>
      </c>
      <c r="S504" s="40" t="inlineStr">
        <is>
          <t>23/05/2026 19:06</t>
        </is>
      </c>
      <c r="T504" s="43" t="inlineStr">
        <is>
          <t>R1:Không đạt</t>
        </is>
      </c>
      <c r="U504" s="40" t="inlineStr"/>
      <c r="V504" s="43" t="inlineStr"/>
    </row>
    <row r="505" ht="80" customHeight="1">
      <c r="A505" s="40" t="inlineStr">
        <is>
          <t>TC-502</t>
        </is>
      </c>
      <c r="B505" s="46" t="inlineStr">
        <is>
          <t>STATE</t>
        </is>
      </c>
      <c r="C505" s="42" t="inlineStr">
        <is>
          <t>P0</t>
        </is>
      </c>
      <c r="D505" s="43" t="inlineStr">
        <is>
          <t>Conclusions</t>
        </is>
      </c>
      <c r="E505" s="43" t="inlineStr">
        <is>
          <t>Transition SUBMITTED → APPROVED (truong don vi duyet)</t>
        </is>
      </c>
      <c r="F505" s="40" t="inlineStr">
        <is>
          <t>REQ-CASE-CONCLUSIONS-502</t>
        </is>
      </c>
      <c r="G505" s="40" t="inlineStr">
        <is>
          <t>Use case testing</t>
        </is>
      </c>
      <c r="H505" s="40" t="inlineStr">
        <is>
          <t>Cao</t>
        </is>
      </c>
      <c r="I505" s="43" t="inlineStr">
        <is>
          <t>user role TRUONG_DON_VI</t>
        </is>
      </c>
      <c r="J505" s="43" t="inlineStr">
        <is>
          <t>PUT status='APPROVED' approvedById=&lt;self&gt;</t>
        </is>
      </c>
      <c r="K505" s="43" t="inlineStr">
        <is>
          <t>-</t>
        </is>
      </c>
      <c r="L505" s="43" t="inlineStr">
        <is>
          <t>-</t>
        </is>
      </c>
      <c r="M505" s="43" t="inlineStr">
        <is>
          <t>200</t>
        </is>
      </c>
      <c r="N505" s="43" t="inlineStr">
        <is>
          <t>-</t>
        </is>
      </c>
      <c r="O505" s="40" t="inlineStr">
        <is>
          <t>High</t>
        </is>
      </c>
      <c r="P505" s="43" t="inlineStr">
        <is>
          <t>Thời gian: 123ms</t>
        </is>
      </c>
      <c r="Q505" s="40" t="inlineStr">
        <is>
          <t>Không đạt</t>
        </is>
      </c>
      <c r="R505" s="40" t="inlineStr">
        <is>
          <t>BUG-034</t>
        </is>
      </c>
      <c r="S505" s="40" t="inlineStr">
        <is>
          <t>23/05/2026 19:06</t>
        </is>
      </c>
      <c r="T505" s="43" t="inlineStr">
        <is>
          <t>R1:Không đạt</t>
        </is>
      </c>
      <c r="U505" s="40" t="inlineStr"/>
      <c r="V505" s="43" t="inlineStr"/>
    </row>
    <row r="506" ht="80" customHeight="1">
      <c r="A506" s="40" t="inlineStr">
        <is>
          <t>TC-503</t>
        </is>
      </c>
      <c r="B506" s="46" t="inlineStr">
        <is>
          <t>STATE</t>
        </is>
      </c>
      <c r="C506" s="42" t="inlineStr">
        <is>
          <t>P0</t>
        </is>
      </c>
      <c r="D506" s="43" t="inlineStr">
        <is>
          <t>Conclusions</t>
        </is>
      </c>
      <c r="E506" s="43" t="inlineStr">
        <is>
          <t>Transition SUBMITTED → REJECTED</t>
        </is>
      </c>
      <c r="F506" s="40" t="inlineStr">
        <is>
          <t>REQ-CASE-CONCLUSIONS-503</t>
        </is>
      </c>
      <c r="G506" s="40" t="inlineStr">
        <is>
          <t>Use case testing</t>
        </is>
      </c>
      <c r="H506" s="40" t="inlineStr">
        <is>
          <t>Cao</t>
        </is>
      </c>
      <c r="I506" s="43" t="inlineStr">
        <is>
          <t>1. User đã login
2. Token JWT hợp lệ</t>
        </is>
      </c>
      <c r="J506" s="43" t="inlineStr">
        <is>
          <t>PUT status='REJECTED'</t>
        </is>
      </c>
      <c r="K506" s="43" t="inlineStr">
        <is>
          <t>-</t>
        </is>
      </c>
      <c r="L506" s="43" t="inlineStr">
        <is>
          <t>-</t>
        </is>
      </c>
      <c r="M506" s="43" t="inlineStr">
        <is>
          <t>200</t>
        </is>
      </c>
      <c r="N506" s="43" t="inlineStr">
        <is>
          <t>-</t>
        </is>
      </c>
      <c r="O506" s="40" t="inlineStr">
        <is>
          <t>Medium</t>
        </is>
      </c>
      <c r="P506" s="43" t="inlineStr">
        <is>
          <t>Thời gian: 172ms</t>
        </is>
      </c>
      <c r="Q506" s="40" t="inlineStr">
        <is>
          <t>Không đạt</t>
        </is>
      </c>
      <c r="R506" s="40" t="inlineStr">
        <is>
          <t>BUG-035</t>
        </is>
      </c>
      <c r="S506" s="40" t="inlineStr">
        <is>
          <t>23/05/2026 19:06</t>
        </is>
      </c>
      <c r="T506" s="43" t="inlineStr">
        <is>
          <t>R1:Không đạt</t>
        </is>
      </c>
      <c r="U506" s="40" t="inlineStr"/>
      <c r="V506" s="43" t="inlineStr"/>
    </row>
    <row r="507" ht="80" customHeight="1">
      <c r="A507" s="40" t="inlineStr">
        <is>
          <t>TC-504</t>
        </is>
      </c>
      <c r="B507" s="46" t="inlineStr">
        <is>
          <t>STATE</t>
        </is>
      </c>
      <c r="C507" s="42" t="inlineStr">
        <is>
          <t>P0</t>
        </is>
      </c>
      <c r="D507" s="43" t="inlineStr">
        <is>
          <t>Conclusions</t>
        </is>
      </c>
      <c r="E507" s="43" t="inlineStr">
        <is>
          <t>Transition REJECTED → DRAFT (chỉnh sửa lại)</t>
        </is>
      </c>
      <c r="F507" s="40" t="inlineStr">
        <is>
          <t>REQ-CASE-CONCLUSIONS-504</t>
        </is>
      </c>
      <c r="G507" s="40" t="inlineStr">
        <is>
          <t>Use case testing</t>
        </is>
      </c>
      <c r="H507" s="40" t="inlineStr">
        <is>
          <t>Cao</t>
        </is>
      </c>
      <c r="I507" s="43" t="inlineStr">
        <is>
          <t>1. User đã login
2. Token JWT hợp lệ</t>
        </is>
      </c>
      <c r="J507" s="43" t="inlineStr">
        <is>
          <t>PUT status='DRAFT'</t>
        </is>
      </c>
      <c r="K507" s="43" t="inlineStr">
        <is>
          <t>-</t>
        </is>
      </c>
      <c r="L507" s="43" t="inlineStr">
        <is>
          <t>-</t>
        </is>
      </c>
      <c r="M507" s="43" t="inlineStr">
        <is>
          <t>200</t>
        </is>
      </c>
      <c r="N507" s="43" t="inlineStr">
        <is>
          <t>-</t>
        </is>
      </c>
      <c r="O507" s="40" t="inlineStr">
        <is>
          <t>Medium</t>
        </is>
      </c>
      <c r="P507" s="43" t="inlineStr">
        <is>
          <t>Thời gian: 168ms</t>
        </is>
      </c>
      <c r="Q507" s="40" t="inlineStr">
        <is>
          <t>Không đạt</t>
        </is>
      </c>
      <c r="R507" s="40" t="inlineStr">
        <is>
          <t>BUG-036</t>
        </is>
      </c>
      <c r="S507" s="40" t="inlineStr">
        <is>
          <t>23/05/2026 19:06</t>
        </is>
      </c>
      <c r="T507" s="43" t="inlineStr">
        <is>
          <t>R1:Không đạt</t>
        </is>
      </c>
      <c r="U507" s="40" t="inlineStr"/>
      <c r="V507" s="43" t="inlineStr"/>
    </row>
    <row r="508" ht="80" customHeight="1">
      <c r="A508" s="40" t="inlineStr">
        <is>
          <t>TC-505</t>
        </is>
      </c>
      <c r="B508" s="45" t="inlineStr">
        <is>
          <t>RED</t>
        </is>
      </c>
      <c r="C508" s="42" t="inlineStr">
        <is>
          <t>P0</t>
        </is>
      </c>
      <c r="D508" s="43" t="inlineStr">
        <is>
          <t>Conclusions</t>
        </is>
      </c>
      <c r="E508" s="43" t="inlineStr">
        <is>
          <t>APPROVED → DRAFT (downgrade) → block</t>
        </is>
      </c>
      <c r="F508" s="40" t="inlineStr">
        <is>
          <t>REQ-CASE-CONCLUSIONS-505</t>
        </is>
      </c>
      <c r="G508" s="40" t="inlineStr">
        <is>
          <t>Use case testing</t>
        </is>
      </c>
      <c r="H508" s="40" t="inlineStr">
        <is>
          <t>Cao</t>
        </is>
      </c>
      <c r="I508" s="43" t="inlineStr">
        <is>
          <t>status=APPROVED</t>
        </is>
      </c>
      <c r="J508" s="43" t="inlineStr">
        <is>
          <t>PUT status='DRAFT'</t>
        </is>
      </c>
      <c r="K508" s="43" t="inlineStr">
        <is>
          <t>-</t>
        </is>
      </c>
      <c r="L508" s="43" t="inlineStr">
        <is>
          <t>-</t>
        </is>
      </c>
      <c r="M508" s="43" t="inlineStr">
        <is>
          <t>400 'Không thể downgrade conclusion đã phê duyệt'</t>
        </is>
      </c>
      <c r="N508" s="43" t="inlineStr">
        <is>
          <t>-</t>
        </is>
      </c>
      <c r="O508" s="40" t="inlineStr">
        <is>
          <t>High</t>
        </is>
      </c>
      <c r="P508" s="43" t="inlineStr">
        <is>
          <t>Thời gian: 129ms</t>
        </is>
      </c>
      <c r="Q508" s="40" t="inlineStr">
        <is>
          <t>Không đạt</t>
        </is>
      </c>
      <c r="R508" s="40" t="inlineStr">
        <is>
          <t>BUG-037</t>
        </is>
      </c>
      <c r="S508" s="40" t="inlineStr">
        <is>
          <t>23/05/2026 19:06</t>
        </is>
      </c>
      <c r="T508" s="43" t="inlineStr">
        <is>
          <t>R1:Không đạt</t>
        </is>
      </c>
      <c r="U508" s="40" t="inlineStr"/>
      <c r="V508" s="43" t="inlineStr">
        <is>
          <t>State machine constraint</t>
        </is>
      </c>
    </row>
    <row r="509" ht="80" customHeight="1">
      <c r="A509" s="40" t="inlineStr">
        <is>
          <t>TC-506</t>
        </is>
      </c>
      <c r="B509" s="47" t="inlineStr">
        <is>
          <t>SECURITY</t>
        </is>
      </c>
      <c r="C509" s="42" t="inlineStr">
        <is>
          <t>P0</t>
        </is>
      </c>
      <c r="D509" s="43" t="inlineStr">
        <is>
          <t>Conclusions</t>
        </is>
      </c>
      <c r="E509" s="43" t="inlineStr">
        <is>
          <t>User thường không có quyền APPROVE (không phải TRUONG_DON_VI) → 403</t>
        </is>
      </c>
      <c r="F509" s="40" t="inlineStr">
        <is>
          <t>REQ-CASE-CONCLUSIONS-506</t>
        </is>
      </c>
      <c r="G509" s="40" t="inlineStr">
        <is>
          <t>Use case testing</t>
        </is>
      </c>
      <c r="H509" s="40" t="inlineStr">
        <is>
          <t>Cao</t>
        </is>
      </c>
      <c r="I509" s="43" t="inlineStr">
        <is>
          <t>1. User đã login
2. Token JWT hợp lệ</t>
        </is>
      </c>
      <c r="J509" s="43" t="inlineStr">
        <is>
          <t>dieuTra1 PUT status='APPROVED'</t>
        </is>
      </c>
      <c r="K509" s="43" t="inlineStr">
        <is>
          <t>-</t>
        </is>
      </c>
      <c r="L509" s="43" t="inlineStr">
        <is>
          <t>-</t>
        </is>
      </c>
      <c r="M509" s="43" t="inlineStr">
        <is>
          <t>403 hoặc 400</t>
        </is>
      </c>
      <c r="N509" s="43" t="inlineStr">
        <is>
          <t>-</t>
        </is>
      </c>
      <c r="O509" s="40" t="inlineStr">
        <is>
          <t>Critical</t>
        </is>
      </c>
      <c r="P509" s="43" t="inlineStr">
        <is>
          <t>Thời gian: 232ms</t>
        </is>
      </c>
      <c r="Q509" s="40" t="inlineStr">
        <is>
          <t>Không đạt</t>
        </is>
      </c>
      <c r="R509" s="40" t="inlineStr">
        <is>
          <t>BUG-038</t>
        </is>
      </c>
      <c r="S509" s="40" t="inlineStr">
        <is>
          <t>23/05/2026 19:06</t>
        </is>
      </c>
      <c r="T509" s="43" t="inlineStr">
        <is>
          <t>R1:Không đạt</t>
        </is>
      </c>
      <c r="U509" s="40" t="inlineStr"/>
      <c r="V509" s="43" t="inlineStr"/>
    </row>
    <row r="510" ht="80" customHeight="1">
      <c r="A510" s="40" t="inlineStr">
        <is>
          <t>TC-507</t>
        </is>
      </c>
      <c r="B510" s="47" t="inlineStr">
        <is>
          <t>SECURITY</t>
        </is>
      </c>
      <c r="C510" s="42" t="inlineStr">
        <is>
          <t>P0</t>
        </is>
      </c>
      <c r="D510" s="43" t="inlineStr">
        <is>
          <t>Conclusions</t>
        </is>
      </c>
      <c r="E510" s="43" t="inlineStr">
        <is>
          <t>IDOR: POST conclusion với caseId của team khác</t>
        </is>
      </c>
      <c r="F510" s="40" t="inlineStr">
        <is>
          <t>REQ-CASE-CONCLUSIONS-507</t>
        </is>
      </c>
      <c r="G510" s="40" t="inlineStr">
        <is>
          <t>Use case testing</t>
        </is>
      </c>
      <c r="H510" s="40" t="inlineStr">
        <is>
          <t>Cao</t>
        </is>
      </c>
      <c r="I510" s="43" t="inlineStr">
        <is>
          <t>1. User đã login
2. Token JWT hợp lệ</t>
        </is>
      </c>
      <c r="J510" s="43" t="inlineStr">
        <is>
          <t>POST</t>
        </is>
      </c>
      <c r="K510" s="43" t="inlineStr">
        <is>
          <t>-</t>
        </is>
      </c>
      <c r="L510" s="43" t="inlineStr">
        <is>
          <t>-</t>
        </is>
      </c>
      <c r="M510" s="43" t="inlineStr">
        <is>
          <t>403</t>
        </is>
      </c>
      <c r="N510" s="43" t="inlineStr">
        <is>
          <t>-</t>
        </is>
      </c>
      <c r="O510" s="40" t="inlineStr">
        <is>
          <t>Critical</t>
        </is>
      </c>
      <c r="P510" s="43" t="inlineStr">
        <is>
          <t>Thời gian: 754ms</t>
        </is>
      </c>
      <c r="Q510" s="40" t="inlineStr">
        <is>
          <t>Không đạt</t>
        </is>
      </c>
      <c r="R510" s="40" t="inlineStr">
        <is>
          <t>BUG-039</t>
        </is>
      </c>
      <c r="S510" s="40" t="inlineStr">
        <is>
          <t>23/05/2026 19:06</t>
        </is>
      </c>
      <c r="T510" s="43" t="inlineStr">
        <is>
          <t>R1:Không đạt</t>
        </is>
      </c>
      <c r="U510" s="40" t="inlineStr"/>
      <c r="V510" s="43" t="inlineStr"/>
    </row>
    <row r="511" ht="80" customHeight="1">
      <c r="A511" s="40" t="inlineStr">
        <is>
          <t>TC-508</t>
        </is>
      </c>
      <c r="B511" s="47" t="inlineStr">
        <is>
          <t>SECURITY</t>
        </is>
      </c>
      <c r="C511" s="42" t="inlineStr">
        <is>
          <t>P0</t>
        </is>
      </c>
      <c r="D511" s="43" t="inlineStr">
        <is>
          <t>Conclusions</t>
        </is>
      </c>
      <c r="E511" s="43" t="inlineStr">
        <is>
          <t>XSS qua content='&lt;script&gt;'</t>
        </is>
      </c>
      <c r="F511" s="40" t="inlineStr">
        <is>
          <t>REQ-CASE-CONCLUSIONS-508</t>
        </is>
      </c>
      <c r="G511" s="40" t="inlineStr">
        <is>
          <t>Use case testing</t>
        </is>
      </c>
      <c r="H511" s="40" t="inlineStr">
        <is>
          <t>Cao</t>
        </is>
      </c>
      <c r="I511" s="43" t="inlineStr">
        <is>
          <t>1. User đã login
2. Token JWT hợp lệ</t>
        </is>
      </c>
      <c r="J511" s="43" t="inlineStr">
        <is>
          <t>POST</t>
        </is>
      </c>
      <c r="K511" s="43" t="inlineStr">
        <is>
          <t>-</t>
        </is>
      </c>
      <c r="L511" s="43" t="inlineStr">
        <is>
          <t>React escape</t>
        </is>
      </c>
      <c r="M511" s="43" t="inlineStr">
        <is>
          <t>201</t>
        </is>
      </c>
      <c r="N511" s="43" t="inlineStr">
        <is>
          <t>-</t>
        </is>
      </c>
      <c r="O511" s="40" t="inlineStr">
        <is>
          <t>Critical</t>
        </is>
      </c>
      <c r="P511" s="43" t="inlineStr">
        <is>
          <t>Thời gian: 790ms</t>
        </is>
      </c>
      <c r="Q511" s="40" t="inlineStr">
        <is>
          <t>Không đạt</t>
        </is>
      </c>
      <c r="R511" s="40" t="inlineStr">
        <is>
          <t>BUG-040</t>
        </is>
      </c>
      <c r="S511" s="40" t="inlineStr">
        <is>
          <t>23/05/2026 19:06</t>
        </is>
      </c>
      <c r="T511" s="43" t="inlineStr">
        <is>
          <t>R1:Không đạt</t>
        </is>
      </c>
      <c r="U511" s="40" t="inlineStr"/>
      <c r="V511" s="43" t="inlineStr"/>
    </row>
    <row r="512" ht="80" customHeight="1">
      <c r="A512" s="40" t="inlineStr">
        <is>
          <t>TC-509</t>
        </is>
      </c>
      <c r="B512" s="52" t="inlineStr">
        <is>
          <t>DATA</t>
        </is>
      </c>
      <c r="C512" s="44" t="inlineStr">
        <is>
          <t>P1</t>
        </is>
      </c>
      <c r="D512" s="43" t="inlineStr">
        <is>
          <t>Conclusions</t>
        </is>
      </c>
      <c r="E512" s="43" t="inlineStr">
        <is>
          <t>content rất dài (10K characters)</t>
        </is>
      </c>
      <c r="F512" s="40" t="inlineStr">
        <is>
          <t>REQ-CASE-CONCLUSIONS-509</t>
        </is>
      </c>
      <c r="G512" s="40" t="inlineStr">
        <is>
          <t>Use case testing</t>
        </is>
      </c>
      <c r="H512" s="40" t="inlineStr">
        <is>
          <t>TB</t>
        </is>
      </c>
      <c r="I512" s="43" t="inlineStr">
        <is>
          <t>1. User đã login
2. Token JWT hợp lệ</t>
        </is>
      </c>
      <c r="J512" s="43" t="inlineStr">
        <is>
          <t>POST content='X'*10000</t>
        </is>
      </c>
      <c r="K512" s="43" t="inlineStr">
        <is>
          <t>-</t>
        </is>
      </c>
      <c r="L512" s="43" t="inlineStr">
        <is>
          <t>-</t>
        </is>
      </c>
      <c r="M512" s="43" t="inlineStr">
        <is>
          <t>201 (text field)</t>
        </is>
      </c>
      <c r="N512" s="43" t="inlineStr">
        <is>
          <t>-</t>
        </is>
      </c>
      <c r="O512" s="40" t="inlineStr">
        <is>
          <t>Low</t>
        </is>
      </c>
      <c r="P512" s="43" t="inlineStr">
        <is>
          <t>Thời gian: 818ms</t>
        </is>
      </c>
      <c r="Q512" s="40" t="inlineStr">
        <is>
          <t>Không đạt</t>
        </is>
      </c>
      <c r="R512" s="40" t="inlineStr">
        <is>
          <t>BUG-041</t>
        </is>
      </c>
      <c r="S512" s="40" t="inlineStr">
        <is>
          <t>23/05/2026 19:06</t>
        </is>
      </c>
      <c r="T512" s="43" t="inlineStr">
        <is>
          <t>R1:Không đạt</t>
        </is>
      </c>
      <c r="U512" s="40" t="inlineStr"/>
      <c r="V512" s="43" t="inlineStr"/>
    </row>
    <row r="513" ht="80" customHeight="1">
      <c r="A513" s="40" t="inlineStr">
        <is>
          <t>TC-510</t>
        </is>
      </c>
      <c r="B513" s="52" t="inlineStr">
        <is>
          <t>DATA</t>
        </is>
      </c>
      <c r="C513" s="44" t="inlineStr">
        <is>
          <t>P1</t>
        </is>
      </c>
      <c r="D513" s="43" t="inlineStr">
        <is>
          <t>Conclusions</t>
        </is>
      </c>
      <c r="E513" s="43" t="inlineStr">
        <is>
          <t>content có format Markdown</t>
        </is>
      </c>
      <c r="F513" s="40" t="inlineStr">
        <is>
          <t>REQ-CASE-CONCLUSIONS-510</t>
        </is>
      </c>
      <c r="G513" s="40" t="inlineStr">
        <is>
          <t>Use case testing</t>
        </is>
      </c>
      <c r="H513" s="40" t="inlineStr">
        <is>
          <t>TB</t>
        </is>
      </c>
      <c r="I513" s="43" t="inlineStr">
        <is>
          <t>1. User đã login
2. Token JWT hợp lệ</t>
        </is>
      </c>
      <c r="J513" s="43" t="inlineStr">
        <is>
          <t>POST content với **bold** *italic*</t>
        </is>
      </c>
      <c r="K513" s="43" t="inlineStr">
        <is>
          <t>-</t>
        </is>
      </c>
      <c r="L513" s="43" t="inlineStr">
        <is>
          <t>Detail render markdown nếu support</t>
        </is>
      </c>
      <c r="M513" s="43" t="inlineStr">
        <is>
          <t>201 lưu raw</t>
        </is>
      </c>
      <c r="N513" s="43" t="inlineStr">
        <is>
          <t>-</t>
        </is>
      </c>
      <c r="O513" s="40" t="inlineStr">
        <is>
          <t>Low</t>
        </is>
      </c>
      <c r="P513" s="43" t="inlineStr">
        <is>
          <t>Thời gian: 777ms</t>
        </is>
      </c>
      <c r="Q513" s="40" t="inlineStr">
        <is>
          <t>Không đạt</t>
        </is>
      </c>
      <c r="R513" s="40" t="inlineStr">
        <is>
          <t>BUG-042</t>
        </is>
      </c>
      <c r="S513" s="40" t="inlineStr">
        <is>
          <t>23/05/2026 19:06</t>
        </is>
      </c>
      <c r="T513" s="43" t="inlineStr">
        <is>
          <t>R1:Không đạt</t>
        </is>
      </c>
      <c r="U513" s="40" t="inlineStr"/>
      <c r="V513" s="43" t="inlineStr"/>
    </row>
    <row r="514" ht="80" customHeight="1">
      <c r="A514" s="40" t="inlineStr">
        <is>
          <t>TC-511</t>
        </is>
      </c>
      <c r="B514" s="56" t="inlineStr">
        <is>
          <t>INTEGRATION</t>
        </is>
      </c>
      <c r="C514" s="42" t="inlineStr">
        <is>
          <t>P0</t>
        </is>
      </c>
      <c r="D514" s="43" t="inlineStr">
        <is>
          <t>Conclusions</t>
        </is>
      </c>
      <c r="E514" s="43" t="inlineStr">
        <is>
          <t>Conclusion APPROVED → Case status auto-update DA_KET_LUAN</t>
        </is>
      </c>
      <c r="F514" s="40" t="inlineStr">
        <is>
          <t>REQ-CASE-CONCLUSIONS-511</t>
        </is>
      </c>
      <c r="G514" s="40" t="inlineStr">
        <is>
          <t>Use case testing</t>
        </is>
      </c>
      <c r="H514" s="40" t="inlineStr">
        <is>
          <t>Cao</t>
        </is>
      </c>
      <c r="I514" s="43" t="inlineStr">
        <is>
          <t>1. User đã login
2. Token JWT hợp lệ</t>
        </is>
      </c>
      <c r="J514" s="43" t="inlineStr">
        <is>
          <t>APPROVE conclusion</t>
        </is>
      </c>
      <c r="K514" s="43" t="inlineStr">
        <is>
          <t>-</t>
        </is>
      </c>
      <c r="L514" s="43" t="inlineStr">
        <is>
          <t>Case badge → 'Đã kết luận'</t>
        </is>
      </c>
      <c r="M514" s="43" t="inlineStr">
        <is>
          <t>200</t>
        </is>
      </c>
      <c r="N514" s="43" t="inlineStr">
        <is>
          <t>Case.status=DA_KET_LUAN + history entry</t>
        </is>
      </c>
      <c r="O514" s="40" t="inlineStr">
        <is>
          <t>Critical</t>
        </is>
      </c>
      <c r="P514" s="43" t="inlineStr">
        <is>
          <t>Thời gian: 152ms</t>
        </is>
      </c>
      <c r="Q514" s="40" t="inlineStr">
        <is>
          <t>Không đạt</t>
        </is>
      </c>
      <c r="R514" s="40" t="inlineStr">
        <is>
          <t>BUG-043</t>
        </is>
      </c>
      <c r="S514" s="40" t="inlineStr">
        <is>
          <t>23/05/2026 19:06</t>
        </is>
      </c>
      <c r="T514" s="43" t="inlineStr">
        <is>
          <t>R1:Không đạt</t>
        </is>
      </c>
      <c r="U514" s="40" t="inlineStr"/>
      <c r="V514" s="43" t="inlineStr">
        <is>
          <t>Verify auto-trigger logic</t>
        </is>
      </c>
    </row>
    <row r="515" ht="80" customHeight="1">
      <c r="A515" s="40" t="inlineStr">
        <is>
          <t>TC-512</t>
        </is>
      </c>
      <c r="B515" s="58" t="inlineStr">
        <is>
          <t>AUDIT</t>
        </is>
      </c>
      <c r="C515" s="42" t="inlineStr">
        <is>
          <t>P0</t>
        </is>
      </c>
      <c r="D515" s="43" t="inlineStr">
        <is>
          <t>Conclusions</t>
        </is>
      </c>
      <c r="E515" s="43" t="inlineStr">
        <is>
          <t>CONCLUSION_APPROVED log có approvedById + timestamp</t>
        </is>
      </c>
      <c r="F515" s="40" t="inlineStr">
        <is>
          <t>REQ-CASE-CONCLUSIONS-512</t>
        </is>
      </c>
      <c r="G515" s="40" t="inlineStr">
        <is>
          <t>Use case testing</t>
        </is>
      </c>
      <c r="H515" s="40" t="inlineStr">
        <is>
          <t>Cao</t>
        </is>
      </c>
      <c r="I515" s="43" t="inlineStr">
        <is>
          <t>1. User đã login
2. Token JWT hợp lệ</t>
        </is>
      </c>
      <c r="J515" s="43" t="inlineStr">
        <is>
          <t>APPROVE</t>
        </is>
      </c>
      <c r="K515" s="43" t="inlineStr">
        <is>
          <t>-</t>
        </is>
      </c>
      <c r="L515" s="43" t="inlineStr">
        <is>
          <t>-</t>
        </is>
      </c>
      <c r="M515" s="43" t="inlineStr">
        <is>
          <t>-</t>
        </is>
      </c>
      <c r="N515" s="43" t="inlineStr">
        <is>
          <t>audit row đủ field</t>
        </is>
      </c>
      <c r="O515" s="40" t="inlineStr">
        <is>
          <t>High</t>
        </is>
      </c>
      <c r="P515" s="43" t="inlineStr">
        <is>
          <t>Thời gian: 163ms</t>
        </is>
      </c>
      <c r="Q515" s="40" t="inlineStr">
        <is>
          <t>Không đạt</t>
        </is>
      </c>
      <c r="R515" s="40" t="inlineStr">
        <is>
          <t>BUG-044</t>
        </is>
      </c>
      <c r="S515" s="40" t="inlineStr">
        <is>
          <t>23/05/2026 19:06</t>
        </is>
      </c>
      <c r="T515" s="43" t="inlineStr">
        <is>
          <t>R1:Không đạt</t>
        </is>
      </c>
      <c r="U515" s="40" t="inlineStr"/>
      <c r="V515" s="43" t="inlineStr"/>
    </row>
    <row r="516" ht="80" customHeight="1">
      <c r="A516" s="40" t="inlineStr">
        <is>
          <t>TC-513</t>
        </is>
      </c>
      <c r="B516" s="48" t="inlineStr">
        <is>
          <t>A11Y</t>
        </is>
      </c>
      <c r="C516" s="44" t="inlineStr">
        <is>
          <t>P1</t>
        </is>
      </c>
      <c r="D516" s="43" t="inlineStr">
        <is>
          <t>Conclusions</t>
        </is>
      </c>
      <c r="E516" s="43" t="inlineStr">
        <is>
          <t>Form content textarea có aria-label</t>
        </is>
      </c>
      <c r="F516" s="40" t="inlineStr">
        <is>
          <t>REQ-CASE-CONCLUSIONS-513</t>
        </is>
      </c>
      <c r="G516" s="40" t="inlineStr">
        <is>
          <t>Use case testing</t>
        </is>
      </c>
      <c r="H516" s="40" t="inlineStr">
        <is>
          <t>TB</t>
        </is>
      </c>
      <c r="I516" s="43" t="inlineStr">
        <is>
          <t>1. User đã login
2. Token JWT hợp lệ</t>
        </is>
      </c>
      <c r="J516" s="43" t="inlineStr">
        <is>
          <t>Inspect</t>
        </is>
      </c>
      <c r="K516" s="43" t="inlineStr">
        <is>
          <t>-</t>
        </is>
      </c>
      <c r="L516" s="43" t="inlineStr">
        <is>
          <t>-</t>
        </is>
      </c>
      <c r="M516" s="43" t="inlineStr">
        <is>
          <t>-</t>
        </is>
      </c>
      <c r="N516" s="43" t="inlineStr">
        <is>
          <t>-</t>
        </is>
      </c>
      <c r="O516" s="40" t="inlineStr">
        <is>
          <t>Low</t>
        </is>
      </c>
      <c r="P516" s="43" t="inlineStr">
        <is>
          <t>Thời gian: 161ms</t>
        </is>
      </c>
      <c r="Q516" s="40" t="inlineStr">
        <is>
          <t>Không đạt</t>
        </is>
      </c>
      <c r="R516" s="40" t="inlineStr">
        <is>
          <t>BUG-045</t>
        </is>
      </c>
      <c r="S516" s="40" t="inlineStr">
        <is>
          <t>23/05/2026 19:06</t>
        </is>
      </c>
      <c r="T516" s="43" t="inlineStr">
        <is>
          <t>R1:Không đạt</t>
        </is>
      </c>
      <c r="U516" s="40" t="inlineStr"/>
      <c r="V516" s="43" t="inlineStr"/>
    </row>
    <row r="517" ht="80" customHeight="1">
      <c r="A517" s="40" t="inlineStr">
        <is>
          <t>TC-514</t>
        </is>
      </c>
      <c r="B517" s="51" t="inlineStr">
        <is>
          <t>PERFORMANCE</t>
        </is>
      </c>
      <c r="C517" s="44" t="inlineStr">
        <is>
          <t>P1</t>
        </is>
      </c>
      <c r="D517" s="43" t="inlineStr">
        <is>
          <t>Conclusions</t>
        </is>
      </c>
      <c r="E517" s="43" t="inlineStr">
        <is>
          <t>Save conclusion với content 5K chars &lt; 1s</t>
        </is>
      </c>
      <c r="F517" s="40" t="inlineStr">
        <is>
          <t>REQ-CASE-CONCLUSIONS-514</t>
        </is>
      </c>
      <c r="G517" s="40" t="inlineStr">
        <is>
          <t>Use case testing</t>
        </is>
      </c>
      <c r="H517" s="40" t="inlineStr">
        <is>
          <t>TB</t>
        </is>
      </c>
      <c r="I517" s="43" t="inlineStr">
        <is>
          <t>1. User đã login
2. Token JWT hợp lệ</t>
        </is>
      </c>
      <c r="J517" s="43" t="inlineStr">
        <is>
          <t>POST</t>
        </is>
      </c>
      <c r="K517" s="43" t="inlineStr">
        <is>
          <t>-</t>
        </is>
      </c>
      <c r="L517" s="43" t="inlineStr">
        <is>
          <t>-</t>
        </is>
      </c>
      <c r="M517" s="43" t="inlineStr">
        <is>
          <t>&lt;1s</t>
        </is>
      </c>
      <c r="N517" s="43" t="inlineStr">
        <is>
          <t>-</t>
        </is>
      </c>
      <c r="O517" s="40" t="inlineStr">
        <is>
          <t>Medium</t>
        </is>
      </c>
      <c r="P517" s="43" t="inlineStr">
        <is>
          <t>Thời gian: 162ms</t>
        </is>
      </c>
      <c r="Q517" s="40" t="inlineStr">
        <is>
          <t>Không đạt</t>
        </is>
      </c>
      <c r="R517" s="40" t="inlineStr">
        <is>
          <t>BUG-046</t>
        </is>
      </c>
      <c r="S517" s="40" t="inlineStr">
        <is>
          <t>23/05/2026 19:06</t>
        </is>
      </c>
      <c r="T517" s="43" t="inlineStr">
        <is>
          <t>R1:Không đạt</t>
        </is>
      </c>
      <c r="U517" s="40" t="inlineStr"/>
      <c r="V517" s="43" t="inlineStr"/>
    </row>
    <row r="518" ht="80" customHeight="1">
      <c r="A518" s="40" t="inlineStr">
        <is>
          <t>TC-515</t>
        </is>
      </c>
      <c r="B518" s="53" t="inlineStr">
        <is>
          <t>BOUNDARY</t>
        </is>
      </c>
      <c r="C518" s="44" t="inlineStr">
        <is>
          <t>P1</t>
        </is>
      </c>
      <c r="D518" s="43" t="inlineStr">
        <is>
          <t>Conclusions</t>
        </is>
      </c>
      <c r="E518" s="43" t="inlineStr">
        <is>
          <t>content 1 ký tự → pass</t>
        </is>
      </c>
      <c r="F518" s="40" t="inlineStr">
        <is>
          <t>REQ-CASE-CONCLUSIONS-515</t>
        </is>
      </c>
      <c r="G518" s="40" t="inlineStr">
        <is>
          <t>Use case testing</t>
        </is>
      </c>
      <c r="H518" s="40" t="inlineStr">
        <is>
          <t>TB</t>
        </is>
      </c>
      <c r="I518" s="43" t="inlineStr">
        <is>
          <t>1. User đã login
2. Token JWT hợp lệ</t>
        </is>
      </c>
      <c r="J518" s="43" t="inlineStr">
        <is>
          <t>POST content='X'</t>
        </is>
      </c>
      <c r="K518" s="43" t="inlineStr">
        <is>
          <t>-</t>
        </is>
      </c>
      <c r="L518" s="43" t="inlineStr">
        <is>
          <t>-</t>
        </is>
      </c>
      <c r="M518" s="43" t="inlineStr">
        <is>
          <t>201</t>
        </is>
      </c>
      <c r="N518" s="43" t="inlineStr">
        <is>
          <t>-</t>
        </is>
      </c>
      <c r="O518" s="40" t="inlineStr">
        <is>
          <t>Low</t>
        </is>
      </c>
      <c r="P518" s="43" t="inlineStr">
        <is>
          <t>Thời gian: 131ms</t>
        </is>
      </c>
      <c r="Q518" s="40" t="inlineStr">
        <is>
          <t>Không đạt</t>
        </is>
      </c>
      <c r="R518" s="40" t="inlineStr">
        <is>
          <t>BUG-047</t>
        </is>
      </c>
      <c r="S518" s="40" t="inlineStr">
        <is>
          <t>23/05/2026 19:06</t>
        </is>
      </c>
      <c r="T518" s="43" t="inlineStr">
        <is>
          <t>R1:Không đạt</t>
        </is>
      </c>
      <c r="U518" s="40" t="inlineStr"/>
      <c r="V518" s="43" t="inlineStr"/>
    </row>
    <row r="519" ht="80" customHeight="1">
      <c r="A519" s="40" t="inlineStr">
        <is>
          <t>TC-516</t>
        </is>
      </c>
      <c r="B519" s="53" t="inlineStr">
        <is>
          <t>BOUNDARY</t>
        </is>
      </c>
      <c r="C519" s="44" t="inlineStr">
        <is>
          <t>P1</t>
        </is>
      </c>
      <c r="D519" s="43" t="inlineStr">
        <is>
          <t>Conclusions</t>
        </is>
      </c>
      <c r="E519" s="43" t="inlineStr">
        <is>
          <t>content 100K ký tự → ? (no max limit)</t>
        </is>
      </c>
      <c r="F519" s="40" t="inlineStr">
        <is>
          <t>REQ-CASE-CONCLUSIONS-516</t>
        </is>
      </c>
      <c r="G519" s="40" t="inlineStr">
        <is>
          <t>Use case testing</t>
        </is>
      </c>
      <c r="H519" s="40" t="inlineStr">
        <is>
          <t>TB</t>
        </is>
      </c>
      <c r="I519" s="43" t="inlineStr">
        <is>
          <t>1. User đã login
2. Token JWT hợp lệ</t>
        </is>
      </c>
      <c r="J519" s="43" t="inlineStr">
        <is>
          <t>POST content 'X'*100000</t>
        </is>
      </c>
      <c r="K519" s="43" t="inlineStr">
        <is>
          <t>-</t>
        </is>
      </c>
      <c r="L519" s="43" t="inlineStr">
        <is>
          <t>-</t>
        </is>
      </c>
      <c r="M519" s="43" t="inlineStr">
        <is>
          <t>? — verify limit</t>
        </is>
      </c>
      <c r="N519" s="43" t="inlineStr">
        <is>
          <t>-</t>
        </is>
      </c>
      <c r="O519" s="40" t="inlineStr">
        <is>
          <t>Low</t>
        </is>
      </c>
      <c r="P519" s="43" t="inlineStr">
        <is>
          <t>Thời gian: 135ms</t>
        </is>
      </c>
      <c r="Q519" s="40" t="inlineStr">
        <is>
          <t>Không đạt</t>
        </is>
      </c>
      <c r="R519" s="40" t="inlineStr">
        <is>
          <t>BUG-048</t>
        </is>
      </c>
      <c r="S519" s="40" t="inlineStr">
        <is>
          <t>23/05/2026 19:06</t>
        </is>
      </c>
      <c r="T519" s="43" t="inlineStr">
        <is>
          <t>R1:Không đạt</t>
        </is>
      </c>
      <c r="U519" s="40" t="inlineStr"/>
      <c r="V519" s="43" t="inlineStr">
        <is>
          <t>Gap: nên có max</t>
        </is>
      </c>
    </row>
    <row r="520" ht="80" customHeight="1">
      <c r="A520" s="40" t="inlineStr">
        <is>
          <t>TC-517</t>
        </is>
      </c>
      <c r="B520" s="45" t="inlineStr">
        <is>
          <t>RED</t>
        </is>
      </c>
      <c r="C520" s="42" t="inlineStr">
        <is>
          <t>P0</t>
        </is>
      </c>
      <c r="D520" s="43" t="inlineStr">
        <is>
          <t>Conclusions</t>
        </is>
      </c>
      <c r="E520" s="43" t="inlineStr">
        <is>
          <t>User VIEWER POST → 403</t>
        </is>
      </c>
      <c r="F520" s="40" t="inlineStr">
        <is>
          <t>REQ-CASE-CONCLUSIONS-517</t>
        </is>
      </c>
      <c r="G520" s="40" t="inlineStr">
        <is>
          <t>Use case testing</t>
        </is>
      </c>
      <c r="H520" s="40" t="inlineStr">
        <is>
          <t>Cao</t>
        </is>
      </c>
      <c r="I520" s="43" t="inlineStr">
        <is>
          <t>1. User đã login
2. Token JWT hợp lệ</t>
        </is>
      </c>
      <c r="J520" s="43" t="inlineStr">
        <is>
          <t>POST</t>
        </is>
      </c>
      <c r="K520" s="43" t="inlineStr">
        <is>
          <t>-</t>
        </is>
      </c>
      <c r="L520" s="43" t="inlineStr">
        <is>
          <t>-</t>
        </is>
      </c>
      <c r="M520" s="43" t="inlineStr">
        <is>
          <t>403</t>
        </is>
      </c>
      <c r="N520" s="43" t="inlineStr">
        <is>
          <t>-</t>
        </is>
      </c>
      <c r="O520" s="40" t="inlineStr">
        <is>
          <t>High</t>
        </is>
      </c>
      <c r="P520" s="43" t="inlineStr">
        <is>
          <t>Đạt như expected. Thời gian: 207ms</t>
        </is>
      </c>
      <c r="Q520" s="40" t="inlineStr">
        <is>
          <t>Đạt</t>
        </is>
      </c>
      <c r="R520" s="40" t="inlineStr"/>
      <c r="S520" s="40" t="inlineStr">
        <is>
          <t>23/05/2026 19:06</t>
        </is>
      </c>
      <c r="T520" s="43" t="inlineStr">
        <is>
          <t>R1:Đạt</t>
        </is>
      </c>
      <c r="U520" s="40" t="inlineStr"/>
      <c r="V520" s="43" t="inlineStr"/>
    </row>
    <row r="521" ht="80" customHeight="1">
      <c r="A521" s="40" t="inlineStr">
        <is>
          <t>TC-518</t>
        </is>
      </c>
      <c r="B521" s="45" t="inlineStr">
        <is>
          <t>RED</t>
        </is>
      </c>
      <c r="C521" s="42" t="inlineStr">
        <is>
          <t>P0</t>
        </is>
      </c>
      <c r="D521" s="43" t="inlineStr">
        <is>
          <t>Conclusions</t>
        </is>
      </c>
      <c r="E521" s="43" t="inlineStr">
        <is>
          <t>JWT thiếu → 401</t>
        </is>
      </c>
      <c r="F521" s="40" t="inlineStr">
        <is>
          <t>REQ-CASE-CONCLUSIONS-518</t>
        </is>
      </c>
      <c r="G521" s="40" t="inlineStr">
        <is>
          <t>Use case testing</t>
        </is>
      </c>
      <c r="H521" s="40" t="inlineStr">
        <is>
          <t>Cao</t>
        </is>
      </c>
      <c r="I521" s="43" t="inlineStr">
        <is>
          <t>1. User đã login
2. Token JWT hợp lệ</t>
        </is>
      </c>
      <c r="J521" s="43" t="inlineStr">
        <is>
          <t>POST</t>
        </is>
      </c>
      <c r="K521" s="43" t="inlineStr">
        <is>
          <t>-</t>
        </is>
      </c>
      <c r="L521" s="43" t="inlineStr">
        <is>
          <t>-</t>
        </is>
      </c>
      <c r="M521" s="43" t="inlineStr">
        <is>
          <t>401</t>
        </is>
      </c>
      <c r="N521" s="43" t="inlineStr">
        <is>
          <t>-</t>
        </is>
      </c>
      <c r="O521" s="40" t="inlineStr">
        <is>
          <t>High</t>
        </is>
      </c>
      <c r="P521" s="43" t="inlineStr">
        <is>
          <t>Đạt như expected. Thời gian: 48ms</t>
        </is>
      </c>
      <c r="Q521" s="40" t="inlineStr">
        <is>
          <t>Đạt</t>
        </is>
      </c>
      <c r="R521" s="40" t="inlineStr"/>
      <c r="S521" s="40" t="inlineStr">
        <is>
          <t>23/05/2026 19:06</t>
        </is>
      </c>
      <c r="T521" s="43" t="inlineStr">
        <is>
          <t>R1:Đạt</t>
        </is>
      </c>
      <c r="U521" s="40" t="inlineStr"/>
      <c r="V521" s="43" t="inlineStr"/>
    </row>
    <row r="522" ht="80" customHeight="1">
      <c r="A522" s="40" t="inlineStr">
        <is>
          <t>TC-519</t>
        </is>
      </c>
      <c r="B522" s="41" t="inlineStr">
        <is>
          <t>GREEN</t>
        </is>
      </c>
      <c r="C522" s="44" t="inlineStr">
        <is>
          <t>P1</t>
        </is>
      </c>
      <c r="D522" s="43" t="inlineStr">
        <is>
          <t>Conclusions</t>
        </is>
      </c>
      <c r="E522" s="43" t="inlineStr">
        <is>
          <t>Filter status=DRAFT</t>
        </is>
      </c>
      <c r="F522" s="40" t="inlineStr">
        <is>
          <t>REQ-CASE-CONCLUSIONS-519</t>
        </is>
      </c>
      <c r="G522" s="40" t="inlineStr">
        <is>
          <t>Use case testing</t>
        </is>
      </c>
      <c r="H522" s="40" t="inlineStr">
        <is>
          <t>TB</t>
        </is>
      </c>
      <c r="I522" s="43" t="inlineStr">
        <is>
          <t>1. User đã login
2. Token JWT hợp lệ</t>
        </is>
      </c>
      <c r="J522" s="43" t="inlineStr">
        <is>
          <t>GET ?status=DRAFT</t>
        </is>
      </c>
      <c r="K522" s="43" t="inlineStr">
        <is>
          <t>-</t>
        </is>
      </c>
      <c r="L522" s="43" t="inlineStr">
        <is>
          <t>-</t>
        </is>
      </c>
      <c r="M522" s="43" t="inlineStr">
        <is>
          <t>200</t>
        </is>
      </c>
      <c r="N522" s="43" t="inlineStr">
        <is>
          <t>-</t>
        </is>
      </c>
      <c r="O522" s="40" t="inlineStr">
        <is>
          <t>Medium</t>
        </is>
      </c>
      <c r="P522" s="43" t="inlineStr">
        <is>
          <t>Thời gian: 153ms</t>
        </is>
      </c>
      <c r="Q522" s="40" t="inlineStr">
        <is>
          <t>Không đạt</t>
        </is>
      </c>
      <c r="R522" s="40" t="inlineStr">
        <is>
          <t>BUG-049</t>
        </is>
      </c>
      <c r="S522" s="40" t="inlineStr">
        <is>
          <t>23/05/2026 19:06</t>
        </is>
      </c>
      <c r="T522" s="43" t="inlineStr">
        <is>
          <t>R1:Không đạt</t>
        </is>
      </c>
      <c r="U522" s="40" t="inlineStr"/>
      <c r="V522" s="43" t="inlineStr"/>
    </row>
    <row r="523" ht="80" customHeight="1">
      <c r="A523" s="40" t="inlineStr">
        <is>
          <t>TC-520</t>
        </is>
      </c>
      <c r="B523" s="41" t="inlineStr">
        <is>
          <t>GREEN</t>
        </is>
      </c>
      <c r="C523" s="44" t="inlineStr">
        <is>
          <t>P1</t>
        </is>
      </c>
      <c r="D523" s="43" t="inlineStr">
        <is>
          <t>Conclusions</t>
        </is>
      </c>
      <c r="E523" s="43" t="inlineStr">
        <is>
          <t>notes optional bỏ trống</t>
        </is>
      </c>
      <c r="F523" s="40" t="inlineStr">
        <is>
          <t>REQ-CASE-CONCLUSIONS-520</t>
        </is>
      </c>
      <c r="G523" s="40" t="inlineStr">
        <is>
          <t>Use case testing</t>
        </is>
      </c>
      <c r="H523" s="40" t="inlineStr">
        <is>
          <t>TB</t>
        </is>
      </c>
      <c r="I523" s="43" t="inlineStr">
        <is>
          <t>1. User đã login
2. Token JWT hợp lệ</t>
        </is>
      </c>
      <c r="J523" s="43" t="inlineStr">
        <is>
          <t>POST không notes</t>
        </is>
      </c>
      <c r="K523" s="43" t="inlineStr">
        <is>
          <t>-</t>
        </is>
      </c>
      <c r="L523" s="43" t="inlineStr">
        <is>
          <t>-</t>
        </is>
      </c>
      <c r="M523" s="43" t="inlineStr">
        <is>
          <t>201</t>
        </is>
      </c>
      <c r="N523" s="43" t="inlineStr">
        <is>
          <t>-</t>
        </is>
      </c>
      <c r="O523" s="40" t="inlineStr">
        <is>
          <t>Low</t>
        </is>
      </c>
      <c r="P523" s="43" t="inlineStr">
        <is>
          <t>Thời gian: 222ms</t>
        </is>
      </c>
      <c r="Q523" s="40" t="inlineStr">
        <is>
          <t>Không đạt</t>
        </is>
      </c>
      <c r="R523" s="40" t="inlineStr">
        <is>
          <t>BUG-050</t>
        </is>
      </c>
      <c r="S523" s="40" t="inlineStr">
        <is>
          <t>23/05/2026 19:06</t>
        </is>
      </c>
      <c r="T523" s="43" t="inlineStr">
        <is>
          <t>R1:Không đạt</t>
        </is>
      </c>
      <c r="U523" s="40" t="inlineStr"/>
      <c r="V523" s="43" t="inlineStr"/>
    </row>
    <row r="524" ht="80" customHeight="1">
      <c r="A524" s="40" t="inlineStr">
        <is>
          <t>TC-521</t>
        </is>
      </c>
      <c r="B524" s="52" t="inlineStr">
        <is>
          <t>DATA</t>
        </is>
      </c>
      <c r="C524" s="44" t="inlineStr">
        <is>
          <t>P1</t>
        </is>
      </c>
      <c r="D524" s="43" t="inlineStr">
        <is>
          <t>Conclusions</t>
        </is>
      </c>
      <c r="E524" s="43" t="inlineStr">
        <is>
          <t>type tiếng Việt 'Kết luận đề nghị truy tố'</t>
        </is>
      </c>
      <c r="F524" s="40" t="inlineStr">
        <is>
          <t>REQ-CASE-CONCLUSIONS-521</t>
        </is>
      </c>
      <c r="G524" s="40" t="inlineStr">
        <is>
          <t>Use case testing</t>
        </is>
      </c>
      <c r="H524" s="40" t="inlineStr">
        <is>
          <t>TB</t>
        </is>
      </c>
      <c r="I524" s="43" t="inlineStr">
        <is>
          <t>1. User đã login
2. Token JWT hợp lệ</t>
        </is>
      </c>
      <c r="J524" s="43" t="inlineStr">
        <is>
          <t>POST type='Kết luận đề nghị truy tố'</t>
        </is>
      </c>
      <c r="K524" s="43" t="inlineStr">
        <is>
          <t>-</t>
        </is>
      </c>
      <c r="L524" s="43" t="inlineStr">
        <is>
          <t>-</t>
        </is>
      </c>
      <c r="M524" s="43" t="inlineStr">
        <is>
          <t>201 (free string)</t>
        </is>
      </c>
      <c r="N524" s="43" t="inlineStr">
        <is>
          <t>-</t>
        </is>
      </c>
      <c r="O524" s="40" t="inlineStr">
        <is>
          <t>Low</t>
        </is>
      </c>
      <c r="P524" s="43" t="inlineStr">
        <is>
          <t>Thời gian: 173ms</t>
        </is>
      </c>
      <c r="Q524" s="40" t="inlineStr">
        <is>
          <t>Không đạt</t>
        </is>
      </c>
      <c r="R524" s="40" t="inlineStr">
        <is>
          <t>BUG-051</t>
        </is>
      </c>
      <c r="S524" s="40" t="inlineStr">
        <is>
          <t>23/05/2026 19:06</t>
        </is>
      </c>
      <c r="T524" s="43" t="inlineStr">
        <is>
          <t>R1:Không đạt</t>
        </is>
      </c>
      <c r="U524" s="40" t="inlineStr"/>
      <c r="V524" s="43" t="inlineStr">
        <is>
          <t>Type field không phải enum — free string</t>
        </is>
      </c>
    </row>
    <row r="525" ht="80" customHeight="1">
      <c r="A525" s="40" t="inlineStr">
        <is>
          <t>TC-522</t>
        </is>
      </c>
      <c r="B525" s="56" t="inlineStr">
        <is>
          <t>INTEGRATION</t>
        </is>
      </c>
      <c r="C525" s="44" t="inlineStr">
        <is>
          <t>P1</t>
        </is>
      </c>
      <c r="D525" s="43" t="inlineStr">
        <is>
          <t>Conclusions</t>
        </is>
      </c>
      <c r="E525" s="43" t="inlineStr">
        <is>
          <t>Delete Case bị block khi có Conclusion linked</t>
        </is>
      </c>
      <c r="F525" s="40" t="inlineStr">
        <is>
          <t>REQ-CASE-CONCLUSIONS-522</t>
        </is>
      </c>
      <c r="G525" s="40" t="inlineStr">
        <is>
          <t>Use case testing</t>
        </is>
      </c>
      <c r="H525" s="40" t="inlineStr">
        <is>
          <t>TB</t>
        </is>
      </c>
      <c r="I525" s="43" t="inlineStr">
        <is>
          <t>1. User đã login
2. Token JWT hợp lệ</t>
        </is>
      </c>
      <c r="J525" s="43" t="inlineStr">
        <is>
          <t>DELETE Case có Conclusion</t>
        </is>
      </c>
      <c r="K525" s="43" t="inlineStr">
        <is>
          <t>-</t>
        </is>
      </c>
      <c r="L525" s="43" t="inlineStr">
        <is>
          <t>'Không thể xóa: vụ án có 1 kết luận điều tra'</t>
        </is>
      </c>
      <c r="M525" s="43" t="inlineStr">
        <is>
          <t>400</t>
        </is>
      </c>
      <c r="N525" s="43" t="inlineStr">
        <is>
          <t>-</t>
        </is>
      </c>
      <c r="O525" s="40" t="inlineStr">
        <is>
          <t>High</t>
        </is>
      </c>
      <c r="P525" s="43" t="inlineStr">
        <is>
          <t>Thời gian: 202ms</t>
        </is>
      </c>
      <c r="Q525" s="40" t="inlineStr">
        <is>
          <t>Không đạt</t>
        </is>
      </c>
      <c r="R525" s="40" t="inlineStr">
        <is>
          <t>BUG-052</t>
        </is>
      </c>
      <c r="S525" s="40" t="inlineStr">
        <is>
          <t>23/05/2026 19:06</t>
        </is>
      </c>
      <c r="T525" s="43" t="inlineStr">
        <is>
          <t>R1:Không đạt</t>
        </is>
      </c>
      <c r="U525" s="40" t="inlineStr"/>
      <c r="V525" s="43" t="inlineStr"/>
    </row>
    <row r="526" ht="80" customHeight="1">
      <c r="A526" s="40" t="inlineStr">
        <is>
          <t>TC-523</t>
        </is>
      </c>
      <c r="B526" s="41" t="inlineStr">
        <is>
          <t>GREEN</t>
        </is>
      </c>
      <c r="C526" s="42" t="inlineStr">
        <is>
          <t>P0</t>
        </is>
      </c>
      <c r="D526" s="43" t="inlineStr">
        <is>
          <t>Documents</t>
        </is>
      </c>
      <c r="E526" s="43" t="inlineStr">
        <is>
          <t>Upload PDF 5MB qua POST /documents</t>
        </is>
      </c>
      <c r="F526" s="40" t="inlineStr">
        <is>
          <t>REQ-CASE-DOCUMENTS-523</t>
        </is>
      </c>
      <c r="G526" s="40" t="inlineStr">
        <is>
          <t>Use case testing</t>
        </is>
      </c>
      <c r="H526" s="40" t="inlineStr">
        <is>
          <t>Cao</t>
        </is>
      </c>
      <c r="I526" s="43" t="inlineStr">
        <is>
          <t>1. User đã login
2. Token JWT hợp lệ</t>
        </is>
      </c>
      <c r="J526" s="43" t="inlineStr">
        <is>
          <t>POST multipart/form-data file=test.pdf 5MB title='Hồ sơ vụ án' caseId='C001'</t>
        </is>
      </c>
      <c r="K526" s="43" t="inlineStr">
        <is>
          <t>file PDF 5MB</t>
        </is>
      </c>
      <c r="L526" s="43" t="inlineStr">
        <is>
          <t>Progress bar, Toast success</t>
        </is>
      </c>
      <c r="M526" s="43" t="inlineStr">
        <is>
          <t>201, data.filePath set</t>
        </is>
      </c>
      <c r="N526" s="43" t="inlineStr">
        <is>
          <t>File lưu /uploads/, DB row + audit</t>
        </is>
      </c>
      <c r="O526" s="40" t="inlineStr">
        <is>
          <t>Critical</t>
        </is>
      </c>
      <c r="P526" s="43" t="inlineStr">
        <is>
          <t>Thời gian: 204ms</t>
        </is>
      </c>
      <c r="Q526" s="40" t="inlineStr">
        <is>
          <t>Không đạt</t>
        </is>
      </c>
      <c r="R526" s="40" t="inlineStr">
        <is>
          <t>BUG-157</t>
        </is>
      </c>
      <c r="S526" s="40" t="inlineStr">
        <is>
          <t>23/05/2026 19:06</t>
        </is>
      </c>
      <c r="T526" s="43" t="inlineStr">
        <is>
          <t>R1:Không đạt</t>
        </is>
      </c>
      <c r="U526" s="40" t="inlineStr"/>
      <c r="V526" s="43" t="inlineStr"/>
    </row>
    <row r="527" ht="80" customHeight="1">
      <c r="A527" s="40" t="inlineStr">
        <is>
          <t>TC-524</t>
        </is>
      </c>
      <c r="B527" s="41" t="inlineStr">
        <is>
          <t>GREEN</t>
        </is>
      </c>
      <c r="C527" s="42" t="inlineStr">
        <is>
          <t>P0</t>
        </is>
      </c>
      <c r="D527" s="43" t="inlineStr">
        <is>
          <t>Documents</t>
        </is>
      </c>
      <c r="E527" s="43" t="inlineStr">
        <is>
          <t>Upload Word .docx</t>
        </is>
      </c>
      <c r="F527" s="40" t="inlineStr">
        <is>
          <t>REQ-CASE-DOCUMENTS-524</t>
        </is>
      </c>
      <c r="G527" s="40" t="inlineStr">
        <is>
          <t>Use case testing</t>
        </is>
      </c>
      <c r="H527" s="40" t="inlineStr">
        <is>
          <t>Cao</t>
        </is>
      </c>
      <c r="I527" s="43" t="inlineStr">
        <is>
          <t>1. User đã login
2. Token JWT hợp lệ</t>
        </is>
      </c>
      <c r="J527" s="43" t="inlineStr">
        <is>
          <t>POST file=report.docx</t>
        </is>
      </c>
      <c r="K527" s="43" t="inlineStr">
        <is>
          <t>-</t>
        </is>
      </c>
      <c r="L527" s="43" t="inlineStr">
        <is>
          <t>Success</t>
        </is>
      </c>
      <c r="M527" s="43" t="inlineStr">
        <is>
          <t>201 mimeType=application/vnd.openxmlformats-officedocument.wordprocessingml.document</t>
        </is>
      </c>
      <c r="N527" s="43" t="inlineStr">
        <is>
          <t>-</t>
        </is>
      </c>
      <c r="O527" s="40" t="inlineStr">
        <is>
          <t>High</t>
        </is>
      </c>
      <c r="P527" s="43" t="inlineStr">
        <is>
          <t>Thời gian: 153ms</t>
        </is>
      </c>
      <c r="Q527" s="40" t="inlineStr">
        <is>
          <t>Không đạt</t>
        </is>
      </c>
      <c r="R527" s="40" t="inlineStr">
        <is>
          <t>BUG-158</t>
        </is>
      </c>
      <c r="S527" s="40" t="inlineStr">
        <is>
          <t>23/05/2026 19:06</t>
        </is>
      </c>
      <c r="T527" s="43" t="inlineStr">
        <is>
          <t>R1:Không đạt</t>
        </is>
      </c>
      <c r="U527" s="40" t="inlineStr"/>
      <c r="V527" s="43" t="inlineStr"/>
    </row>
    <row r="528" ht="80" customHeight="1">
      <c r="A528" s="40" t="inlineStr">
        <is>
          <t>TC-525</t>
        </is>
      </c>
      <c r="B528" s="41" t="inlineStr">
        <is>
          <t>GREEN</t>
        </is>
      </c>
      <c r="C528" s="42" t="inlineStr">
        <is>
          <t>P0</t>
        </is>
      </c>
      <c r="D528" s="43" t="inlineStr">
        <is>
          <t>Documents</t>
        </is>
      </c>
      <c r="E528" s="43" t="inlineStr">
        <is>
          <t>Upload image JPG</t>
        </is>
      </c>
      <c r="F528" s="40" t="inlineStr">
        <is>
          <t>REQ-CASE-DOCUMENTS-525</t>
        </is>
      </c>
      <c r="G528" s="40" t="inlineStr">
        <is>
          <t>Use case testing</t>
        </is>
      </c>
      <c r="H528" s="40" t="inlineStr">
        <is>
          <t>Cao</t>
        </is>
      </c>
      <c r="I528" s="43" t="inlineStr">
        <is>
          <t>1. User đã login
2. Token JWT hợp lệ</t>
        </is>
      </c>
      <c r="J528" s="43" t="inlineStr">
        <is>
          <t>POST file=evidence.jpg</t>
        </is>
      </c>
      <c r="K528" s="43" t="inlineStr">
        <is>
          <t>-</t>
        </is>
      </c>
      <c r="L528" s="43" t="inlineStr">
        <is>
          <t>-</t>
        </is>
      </c>
      <c r="M528" s="43" t="inlineStr">
        <is>
          <t>201</t>
        </is>
      </c>
      <c r="N528" s="43" t="inlineStr">
        <is>
          <t>-</t>
        </is>
      </c>
      <c r="O528" s="40" t="inlineStr">
        <is>
          <t>High</t>
        </is>
      </c>
      <c r="P528" s="43" t="inlineStr">
        <is>
          <t>Thời gian: 197ms</t>
        </is>
      </c>
      <c r="Q528" s="40" t="inlineStr">
        <is>
          <t>Không đạt</t>
        </is>
      </c>
      <c r="R528" s="40" t="inlineStr">
        <is>
          <t>BUG-159</t>
        </is>
      </c>
      <c r="S528" s="40" t="inlineStr">
        <is>
          <t>23/05/2026 19:06</t>
        </is>
      </c>
      <c r="T528" s="43" t="inlineStr">
        <is>
          <t>R1:Không đạt</t>
        </is>
      </c>
      <c r="U528" s="40" t="inlineStr"/>
      <c r="V528" s="43" t="inlineStr"/>
    </row>
    <row r="529" ht="80" customHeight="1">
      <c r="A529" s="40" t="inlineStr">
        <is>
          <t>TC-526</t>
        </is>
      </c>
      <c r="B529" s="41" t="inlineStr">
        <is>
          <t>GREEN</t>
        </is>
      </c>
      <c r="C529" s="42" t="inlineStr">
        <is>
          <t>P0</t>
        </is>
      </c>
      <c r="D529" s="43" t="inlineStr">
        <is>
          <t>Documents</t>
        </is>
      </c>
      <c r="E529" s="43" t="inlineStr">
        <is>
          <t>Upload PNG</t>
        </is>
      </c>
      <c r="F529" s="40" t="inlineStr">
        <is>
          <t>REQ-CASE-DOCUMENTS-526</t>
        </is>
      </c>
      <c r="G529" s="40" t="inlineStr">
        <is>
          <t>Use case testing</t>
        </is>
      </c>
      <c r="H529" s="40" t="inlineStr">
        <is>
          <t>Cao</t>
        </is>
      </c>
      <c r="I529" s="43" t="inlineStr">
        <is>
          <t>1. User đã login
2. Token JWT hợp lệ</t>
        </is>
      </c>
      <c r="J529" s="43" t="inlineStr">
        <is>
          <t>POST file=screenshot.png</t>
        </is>
      </c>
      <c r="K529" s="43" t="inlineStr">
        <is>
          <t>-</t>
        </is>
      </c>
      <c r="L529" s="43" t="inlineStr">
        <is>
          <t>-</t>
        </is>
      </c>
      <c r="M529" s="43" t="inlineStr">
        <is>
          <t>201</t>
        </is>
      </c>
      <c r="N529" s="43" t="inlineStr">
        <is>
          <t>-</t>
        </is>
      </c>
      <c r="O529" s="40" t="inlineStr">
        <is>
          <t>High</t>
        </is>
      </c>
      <c r="P529" s="43" t="inlineStr">
        <is>
          <t>Thời gian: 124ms</t>
        </is>
      </c>
      <c r="Q529" s="40" t="inlineStr">
        <is>
          <t>Không đạt</t>
        </is>
      </c>
      <c r="R529" s="40" t="inlineStr">
        <is>
          <t>BUG-160</t>
        </is>
      </c>
      <c r="S529" s="40" t="inlineStr">
        <is>
          <t>23/05/2026 19:06</t>
        </is>
      </c>
      <c r="T529" s="43" t="inlineStr">
        <is>
          <t>R1:Không đạt</t>
        </is>
      </c>
      <c r="U529" s="40" t="inlineStr"/>
      <c r="V529" s="43" t="inlineStr"/>
    </row>
    <row r="530" ht="80" customHeight="1">
      <c r="A530" s="40" t="inlineStr">
        <is>
          <t>TC-527</t>
        </is>
      </c>
      <c r="B530" s="45" t="inlineStr">
        <is>
          <t>RED</t>
        </is>
      </c>
      <c r="C530" s="42" t="inlineStr">
        <is>
          <t>P0</t>
        </is>
      </c>
      <c r="D530" s="43" t="inlineStr">
        <is>
          <t>Documents</t>
        </is>
      </c>
      <c r="E530" s="43" t="inlineStr">
        <is>
          <t>Upload file &gt; 10MB (mặc định limit) → 413</t>
        </is>
      </c>
      <c r="F530" s="40" t="inlineStr">
        <is>
          <t>REQ-CASE-DOCUMENTS-527</t>
        </is>
      </c>
      <c r="G530" s="40" t="inlineStr">
        <is>
          <t>Use case testing</t>
        </is>
      </c>
      <c r="H530" s="40" t="inlineStr">
        <is>
          <t>Cao</t>
        </is>
      </c>
      <c r="I530" s="43" t="inlineStr">
        <is>
          <t>1. User đã login
2. Token JWT hợp lệ</t>
        </is>
      </c>
      <c r="J530" s="43" t="inlineStr">
        <is>
          <t>POST file 15MB</t>
        </is>
      </c>
      <c r="K530" s="43" t="inlineStr">
        <is>
          <t>-</t>
        </is>
      </c>
      <c r="L530" s="43" t="inlineStr">
        <is>
          <t>Error 'File quá lớn'</t>
        </is>
      </c>
      <c r="M530" s="43" t="inlineStr">
        <is>
          <t>413 PayloadTooLarge</t>
        </is>
      </c>
      <c r="N530" s="43" t="inlineStr">
        <is>
          <t>-</t>
        </is>
      </c>
      <c r="O530" s="40" t="inlineStr">
        <is>
          <t>High</t>
        </is>
      </c>
      <c r="P530" s="43" t="inlineStr">
        <is>
          <t>Thời gian: 195ms</t>
        </is>
      </c>
      <c r="Q530" s="40" t="inlineStr">
        <is>
          <t>Không đạt</t>
        </is>
      </c>
      <c r="R530" s="40" t="inlineStr">
        <is>
          <t>BUG-161</t>
        </is>
      </c>
      <c r="S530" s="40" t="inlineStr">
        <is>
          <t>23/05/2026 19:06</t>
        </is>
      </c>
      <c r="T530" s="43" t="inlineStr">
        <is>
          <t>R1:Không đạt</t>
        </is>
      </c>
      <c r="U530" s="40" t="inlineStr"/>
      <c r="V530" s="43" t="inlineStr"/>
    </row>
    <row r="531" ht="80" customHeight="1">
      <c r="A531" s="40" t="inlineStr">
        <is>
          <t>TC-528</t>
        </is>
      </c>
      <c r="B531" s="45" t="inlineStr">
        <is>
          <t>RED</t>
        </is>
      </c>
      <c r="C531" s="42" t="inlineStr">
        <is>
          <t>P0</t>
        </is>
      </c>
      <c r="D531" s="43" t="inlineStr">
        <is>
          <t>Documents</t>
        </is>
      </c>
      <c r="E531" s="43" t="inlineStr">
        <is>
          <t>Upload .exe → block by mimetype</t>
        </is>
      </c>
      <c r="F531" s="40" t="inlineStr">
        <is>
          <t>REQ-CASE-DOCUMENTS-528</t>
        </is>
      </c>
      <c r="G531" s="40" t="inlineStr">
        <is>
          <t>Use case testing</t>
        </is>
      </c>
      <c r="H531" s="40" t="inlineStr">
        <is>
          <t>Cao</t>
        </is>
      </c>
      <c r="I531" s="43" t="inlineStr">
        <is>
          <t>1. User đã login
2. Token JWT hợp lệ</t>
        </is>
      </c>
      <c r="J531" s="43" t="inlineStr">
        <is>
          <t>POST file=malware.exe</t>
        </is>
      </c>
      <c r="K531" s="43" t="inlineStr">
        <is>
          <t>-</t>
        </is>
      </c>
      <c r="L531" s="43" t="inlineStr">
        <is>
          <t>Error 'Loại file không hỗ trợ'</t>
        </is>
      </c>
      <c r="M531" s="43" t="inlineStr">
        <is>
          <t>400 mimetype rejected</t>
        </is>
      </c>
      <c r="N531" s="43" t="inlineStr">
        <is>
          <t>-</t>
        </is>
      </c>
      <c r="O531" s="40" t="inlineStr">
        <is>
          <t>Critical</t>
        </is>
      </c>
      <c r="P531" s="43" t="inlineStr">
        <is>
          <t>Thời gian: 152ms</t>
        </is>
      </c>
      <c r="Q531" s="40" t="inlineStr">
        <is>
          <t>Không đạt</t>
        </is>
      </c>
      <c r="R531" s="40" t="inlineStr">
        <is>
          <t>BUG-162</t>
        </is>
      </c>
      <c r="S531" s="40" t="inlineStr">
        <is>
          <t>23/05/2026 19:06</t>
        </is>
      </c>
      <c r="T531" s="43" t="inlineStr">
        <is>
          <t>R1:Không đạt</t>
        </is>
      </c>
      <c r="U531" s="40" t="inlineStr"/>
      <c r="V531" s="43" t="inlineStr">
        <is>
          <t>Multer filter cần whitelist mime</t>
        </is>
      </c>
    </row>
    <row r="532" ht="80" customHeight="1">
      <c r="A532" s="40" t="inlineStr">
        <is>
          <t>TC-529</t>
        </is>
      </c>
      <c r="B532" s="45" t="inlineStr">
        <is>
          <t>RED</t>
        </is>
      </c>
      <c r="C532" s="42" t="inlineStr">
        <is>
          <t>P0</t>
        </is>
      </c>
      <c r="D532" s="43" t="inlineStr">
        <is>
          <t>Documents</t>
        </is>
      </c>
      <c r="E532" s="43" t="inlineStr">
        <is>
          <t>Upload .sh script → block</t>
        </is>
      </c>
      <c r="F532" s="40" t="inlineStr">
        <is>
          <t>REQ-CASE-DOCUMENTS-529</t>
        </is>
      </c>
      <c r="G532" s="40" t="inlineStr">
        <is>
          <t>Use case testing</t>
        </is>
      </c>
      <c r="H532" s="40" t="inlineStr">
        <is>
          <t>Cao</t>
        </is>
      </c>
      <c r="I532" s="43" t="inlineStr">
        <is>
          <t>1. User đã login
2. Token JWT hợp lệ</t>
        </is>
      </c>
      <c r="J532" s="43" t="inlineStr">
        <is>
          <t>POST file=evil.sh</t>
        </is>
      </c>
      <c r="K532" s="43" t="inlineStr">
        <is>
          <t>-</t>
        </is>
      </c>
      <c r="L532" s="43" t="inlineStr">
        <is>
          <t>-</t>
        </is>
      </c>
      <c r="M532" s="43" t="inlineStr">
        <is>
          <t>400</t>
        </is>
      </c>
      <c r="N532" s="43" t="inlineStr">
        <is>
          <t>-</t>
        </is>
      </c>
      <c r="O532" s="40" t="inlineStr">
        <is>
          <t>Critical</t>
        </is>
      </c>
      <c r="P532" s="43" t="inlineStr">
        <is>
          <t>Thời gian: 147ms</t>
        </is>
      </c>
      <c r="Q532" s="40" t="inlineStr">
        <is>
          <t>Không đạt</t>
        </is>
      </c>
      <c r="R532" s="40" t="inlineStr">
        <is>
          <t>BUG-163</t>
        </is>
      </c>
      <c r="S532" s="40" t="inlineStr">
        <is>
          <t>23/05/2026 19:06</t>
        </is>
      </c>
      <c r="T532" s="43" t="inlineStr">
        <is>
          <t>R1:Không đạt</t>
        </is>
      </c>
      <c r="U532" s="40" t="inlineStr"/>
      <c r="V532" s="43" t="inlineStr"/>
    </row>
    <row r="533" ht="80" customHeight="1">
      <c r="A533" s="40" t="inlineStr">
        <is>
          <t>TC-530</t>
        </is>
      </c>
      <c r="B533" s="45" t="inlineStr">
        <is>
          <t>RED</t>
        </is>
      </c>
      <c r="C533" s="42" t="inlineStr">
        <is>
          <t>P0</t>
        </is>
      </c>
      <c r="D533" s="43" t="inlineStr">
        <is>
          <t>Documents</t>
        </is>
      </c>
      <c r="E533" s="43" t="inlineStr">
        <is>
          <t>Upload .js → block</t>
        </is>
      </c>
      <c r="F533" s="40" t="inlineStr">
        <is>
          <t>REQ-CASE-DOCUMENTS-530</t>
        </is>
      </c>
      <c r="G533" s="40" t="inlineStr">
        <is>
          <t>Use case testing</t>
        </is>
      </c>
      <c r="H533" s="40" t="inlineStr">
        <is>
          <t>Cao</t>
        </is>
      </c>
      <c r="I533" s="43" t="inlineStr">
        <is>
          <t>1. User đã login
2. Token JWT hợp lệ</t>
        </is>
      </c>
      <c r="J533" s="43" t="inlineStr">
        <is>
          <t>POST file=evil.js</t>
        </is>
      </c>
      <c r="K533" s="43" t="inlineStr">
        <is>
          <t>-</t>
        </is>
      </c>
      <c r="L533" s="43" t="inlineStr">
        <is>
          <t>-</t>
        </is>
      </c>
      <c r="M533" s="43" t="inlineStr">
        <is>
          <t>400</t>
        </is>
      </c>
      <c r="N533" s="43" t="inlineStr">
        <is>
          <t>-</t>
        </is>
      </c>
      <c r="O533" s="40" t="inlineStr">
        <is>
          <t>Critical</t>
        </is>
      </c>
      <c r="P533" s="43" t="inlineStr">
        <is>
          <t>Thời gian: 174ms</t>
        </is>
      </c>
      <c r="Q533" s="40" t="inlineStr">
        <is>
          <t>Không đạt</t>
        </is>
      </c>
      <c r="R533" s="40" t="inlineStr">
        <is>
          <t>BUG-164</t>
        </is>
      </c>
      <c r="S533" s="40" t="inlineStr">
        <is>
          <t>23/05/2026 19:06</t>
        </is>
      </c>
      <c r="T533" s="43" t="inlineStr">
        <is>
          <t>R1:Không đạt</t>
        </is>
      </c>
      <c r="U533" s="40" t="inlineStr"/>
      <c r="V533" s="43" t="inlineStr"/>
    </row>
    <row r="534" ht="80" customHeight="1">
      <c r="A534" s="40" t="inlineStr">
        <is>
          <t>TC-531</t>
        </is>
      </c>
      <c r="B534" s="47" t="inlineStr">
        <is>
          <t>SECURITY</t>
        </is>
      </c>
      <c r="C534" s="42" t="inlineStr">
        <is>
          <t>P0</t>
        </is>
      </c>
      <c r="D534" s="43" t="inlineStr">
        <is>
          <t>Documents</t>
        </is>
      </c>
      <c r="E534" s="43" t="inlineStr">
        <is>
          <t>Upload PDF nhưng đổi extension thành .pdf (magic byte check)</t>
        </is>
      </c>
      <c r="F534" s="40" t="inlineStr">
        <is>
          <t>REQ-CASE-DOCUMENTS-531</t>
        </is>
      </c>
      <c r="G534" s="40" t="inlineStr">
        <is>
          <t>Use case testing</t>
        </is>
      </c>
      <c r="H534" s="40" t="inlineStr">
        <is>
          <t>Cao</t>
        </is>
      </c>
      <c r="I534" s="43" t="inlineStr">
        <is>
          <t>1. User đã login
2. Token JWT hợp lệ</t>
        </is>
      </c>
      <c r="J534" s="43" t="inlineStr">
        <is>
          <t>Upload file MZ header (PE/exe) đổi tên .pdf</t>
        </is>
      </c>
      <c r="K534" s="43" t="inlineStr">
        <is>
          <t>-</t>
        </is>
      </c>
      <c r="L534" s="43" t="inlineStr">
        <is>
          <t>-</t>
        </is>
      </c>
      <c r="M534" s="43" t="inlineStr">
        <is>
          <t>? — cần verify magic byte check</t>
        </is>
      </c>
      <c r="N534" s="43" t="inlineStr">
        <is>
          <t>-</t>
        </is>
      </c>
      <c r="O534" s="40" t="inlineStr">
        <is>
          <t>Critical</t>
        </is>
      </c>
      <c r="P534" s="43" t="inlineStr">
        <is>
          <t>Thời gian: 164ms</t>
        </is>
      </c>
      <c r="Q534" s="40" t="inlineStr">
        <is>
          <t>Không đạt</t>
        </is>
      </c>
      <c r="R534" s="40" t="inlineStr">
        <is>
          <t>BUG-165</t>
        </is>
      </c>
      <c r="S534" s="40" t="inlineStr">
        <is>
          <t>23/05/2026 19:06</t>
        </is>
      </c>
      <c r="T534" s="43" t="inlineStr">
        <is>
          <t>R1:Không đạt</t>
        </is>
      </c>
      <c r="U534" s="40" t="inlineStr"/>
      <c r="V534" s="43" t="inlineStr">
        <is>
          <t>Gap: cần magic byte check</t>
        </is>
      </c>
    </row>
    <row r="535" ht="80" customHeight="1">
      <c r="A535" s="40" t="inlineStr">
        <is>
          <t>TC-532</t>
        </is>
      </c>
      <c r="B535" s="47" t="inlineStr">
        <is>
          <t>SECURITY</t>
        </is>
      </c>
      <c r="C535" s="42" t="inlineStr">
        <is>
          <t>P0</t>
        </is>
      </c>
      <c r="D535" s="43" t="inlineStr">
        <is>
          <t>Documents</t>
        </is>
      </c>
      <c r="E535" s="43" t="inlineStr">
        <is>
          <t>Path traversal qua originalName '../../../etc/passwd'</t>
        </is>
      </c>
      <c r="F535" s="40" t="inlineStr">
        <is>
          <t>REQ-CASE-DOCUMENTS-532</t>
        </is>
      </c>
      <c r="G535" s="40" t="inlineStr">
        <is>
          <t>Use case testing</t>
        </is>
      </c>
      <c r="H535" s="40" t="inlineStr">
        <is>
          <t>Cao</t>
        </is>
      </c>
      <c r="I535" s="43" t="inlineStr">
        <is>
          <t>1. User đã login
2. Token JWT hợp lệ</t>
        </is>
      </c>
      <c r="J535" s="43" t="inlineStr">
        <is>
          <t>POST originalName='../../../etc/passwd'</t>
        </is>
      </c>
      <c r="K535" s="43" t="inlineStr">
        <is>
          <t>-</t>
        </is>
      </c>
      <c r="L535" s="43" t="inlineStr">
        <is>
          <t>-</t>
        </is>
      </c>
      <c r="M535" s="43" t="inlineStr">
        <is>
          <t>? — verify multer normalize</t>
        </is>
      </c>
      <c r="N535" s="43" t="inlineStr">
        <is>
          <t>File path normalized, không escape uploads dir</t>
        </is>
      </c>
      <c r="O535" s="40" t="inlineStr">
        <is>
          <t>Critical</t>
        </is>
      </c>
      <c r="P535" s="43" t="inlineStr">
        <is>
          <t>Thời gian: 135ms</t>
        </is>
      </c>
      <c r="Q535" s="40" t="inlineStr">
        <is>
          <t>Không đạt</t>
        </is>
      </c>
      <c r="R535" s="40" t="inlineStr">
        <is>
          <t>BUG-166</t>
        </is>
      </c>
      <c r="S535" s="40" t="inlineStr">
        <is>
          <t>23/05/2026 19:06</t>
        </is>
      </c>
      <c r="T535" s="43" t="inlineStr">
        <is>
          <t>R1:Không đạt</t>
        </is>
      </c>
      <c r="U535" s="40" t="inlineStr"/>
      <c r="V535" s="43" t="inlineStr"/>
    </row>
    <row r="536" ht="80" customHeight="1">
      <c r="A536" s="40" t="inlineStr">
        <is>
          <t>TC-533</t>
        </is>
      </c>
      <c r="B536" s="47" t="inlineStr">
        <is>
          <t>SECURITY</t>
        </is>
      </c>
      <c r="C536" s="42" t="inlineStr">
        <is>
          <t>P0</t>
        </is>
      </c>
      <c r="D536" s="43" t="inlineStr">
        <is>
          <t>Documents</t>
        </is>
      </c>
      <c r="E536" s="43" t="inlineStr">
        <is>
          <t>Filename có null byte 'evil\0.jpg'</t>
        </is>
      </c>
      <c r="F536" s="40" t="inlineStr">
        <is>
          <t>REQ-CASE-DOCUMENTS-533</t>
        </is>
      </c>
      <c r="G536" s="40" t="inlineStr">
        <is>
          <t>Use case testing</t>
        </is>
      </c>
      <c r="H536" s="40" t="inlineStr">
        <is>
          <t>Cao</t>
        </is>
      </c>
      <c r="I536" s="43" t="inlineStr">
        <is>
          <t>1. User đã login
2. Token JWT hợp lệ</t>
        </is>
      </c>
      <c r="J536" s="43" t="inlineStr">
        <is>
          <t>POST originalName='evil\0.jpg'</t>
        </is>
      </c>
      <c r="K536" s="43" t="inlineStr">
        <is>
          <t>-</t>
        </is>
      </c>
      <c r="L536" s="43" t="inlineStr">
        <is>
          <t>-</t>
        </is>
      </c>
      <c r="M536" s="43" t="inlineStr">
        <is>
          <t>400 hoặc strip null byte</t>
        </is>
      </c>
      <c r="N536" s="43" t="inlineStr">
        <is>
          <t>-</t>
        </is>
      </c>
      <c r="O536" s="40" t="inlineStr">
        <is>
          <t>High</t>
        </is>
      </c>
      <c r="P536" s="43" t="inlineStr">
        <is>
          <t>Thời gian: 190ms</t>
        </is>
      </c>
      <c r="Q536" s="40" t="inlineStr">
        <is>
          <t>Không đạt</t>
        </is>
      </c>
      <c r="R536" s="40" t="inlineStr">
        <is>
          <t>BUG-167</t>
        </is>
      </c>
      <c r="S536" s="40" t="inlineStr">
        <is>
          <t>23/05/2026 19:06</t>
        </is>
      </c>
      <c r="T536" s="43" t="inlineStr">
        <is>
          <t>R1:Không đạt</t>
        </is>
      </c>
      <c r="U536" s="40" t="inlineStr"/>
      <c r="V536" s="43" t="inlineStr"/>
    </row>
    <row r="537" ht="80" customHeight="1">
      <c r="A537" s="40" t="inlineStr">
        <is>
          <t>TC-534</t>
        </is>
      </c>
      <c r="B537" s="47" t="inlineStr">
        <is>
          <t>SECURITY</t>
        </is>
      </c>
      <c r="C537" s="42" t="inlineStr">
        <is>
          <t>P0</t>
        </is>
      </c>
      <c r="D537" s="43" t="inlineStr">
        <is>
          <t>Documents</t>
        </is>
      </c>
      <c r="E537" s="43" t="inlineStr">
        <is>
          <t>ZIP slip nếu support upload .zip</t>
        </is>
      </c>
      <c r="F537" s="40" t="inlineStr">
        <is>
          <t>REQ-CASE-DOCUMENTS-534</t>
        </is>
      </c>
      <c r="G537" s="40" t="inlineStr">
        <is>
          <t>Use case testing</t>
        </is>
      </c>
      <c r="H537" s="40" t="inlineStr">
        <is>
          <t>Cao</t>
        </is>
      </c>
      <c r="I537" s="43" t="inlineStr">
        <is>
          <t>1. User đã login
2. Token JWT hợp lệ</t>
        </is>
      </c>
      <c r="J537" s="43" t="inlineStr">
        <is>
          <t>Upload zip có '../../../evil.txt' inside</t>
        </is>
      </c>
      <c r="K537" s="43" t="inlineStr">
        <is>
          <t>-</t>
        </is>
      </c>
      <c r="L537" s="43" t="inlineStr">
        <is>
          <t>-</t>
        </is>
      </c>
      <c r="M537" s="43" t="inlineStr">
        <is>
          <t>-</t>
        </is>
      </c>
      <c r="N537" s="43" t="inlineStr">
        <is>
          <t>-</t>
        </is>
      </c>
      <c r="O537" s="40" t="inlineStr">
        <is>
          <t>High</t>
        </is>
      </c>
      <c r="P537" s="43" t="inlineStr">
        <is>
          <t>Thời gian: 173ms</t>
        </is>
      </c>
      <c r="Q537" s="40" t="inlineStr">
        <is>
          <t>Không đạt</t>
        </is>
      </c>
      <c r="R537" s="40" t="inlineStr">
        <is>
          <t>BUG-168</t>
        </is>
      </c>
      <c r="S537" s="40" t="inlineStr">
        <is>
          <t>23/05/2026 19:06</t>
        </is>
      </c>
      <c r="T537" s="43" t="inlineStr">
        <is>
          <t>R1:Không đạt</t>
        </is>
      </c>
      <c r="U537" s="40" t="inlineStr"/>
      <c r="V537" s="43" t="inlineStr">
        <is>
          <t>Skip nếu không support zip</t>
        </is>
      </c>
    </row>
    <row r="538" ht="80" customHeight="1">
      <c r="A538" s="40" t="inlineStr">
        <is>
          <t>TC-535</t>
        </is>
      </c>
      <c r="B538" s="45" t="inlineStr">
        <is>
          <t>RED</t>
        </is>
      </c>
      <c r="C538" s="42" t="inlineStr">
        <is>
          <t>P0</t>
        </is>
      </c>
      <c r="D538" s="43" t="inlineStr">
        <is>
          <t>Documents</t>
        </is>
      </c>
      <c r="E538" s="43" t="inlineStr">
        <is>
          <t>title rỗng → 400</t>
        </is>
      </c>
      <c r="F538" s="40" t="inlineStr">
        <is>
          <t>REQ-CASE-DOCUMENTS-535</t>
        </is>
      </c>
      <c r="G538" s="40" t="inlineStr">
        <is>
          <t>Use case testing</t>
        </is>
      </c>
      <c r="H538" s="40" t="inlineStr">
        <is>
          <t>Cao</t>
        </is>
      </c>
      <c r="I538" s="43" t="inlineStr">
        <is>
          <t>1. User đã login
2. Token JWT hợp lệ</t>
        </is>
      </c>
      <c r="J538" s="43" t="inlineStr">
        <is>
          <t>POST title=''</t>
        </is>
      </c>
      <c r="K538" s="43" t="inlineStr">
        <is>
          <t>-</t>
        </is>
      </c>
      <c r="L538" s="43" t="inlineStr">
        <is>
          <t>Error 'Tiêu đề tài liệu không được để trống'</t>
        </is>
      </c>
      <c r="M538" s="43" t="inlineStr">
        <is>
          <t>400</t>
        </is>
      </c>
      <c r="N538" s="43" t="inlineStr">
        <is>
          <t>-</t>
        </is>
      </c>
      <c r="O538" s="40" t="inlineStr">
        <is>
          <t>High</t>
        </is>
      </c>
      <c r="P538" s="43" t="inlineStr">
        <is>
          <t>Đạt như expected. Thời gian: 762ms</t>
        </is>
      </c>
      <c r="Q538" s="40" t="inlineStr">
        <is>
          <t>Đạt</t>
        </is>
      </c>
      <c r="R538" s="40" t="inlineStr"/>
      <c r="S538" s="40" t="inlineStr">
        <is>
          <t>23/05/2026 19:06</t>
        </is>
      </c>
      <c r="T538" s="43" t="inlineStr">
        <is>
          <t>R1:Đạt</t>
        </is>
      </c>
      <c r="U538" s="40" t="inlineStr"/>
      <c r="V538" s="43" t="inlineStr"/>
    </row>
    <row r="539" ht="80" customHeight="1">
      <c r="A539" s="40" t="inlineStr">
        <is>
          <t>TC-536</t>
        </is>
      </c>
      <c r="B539" s="41" t="inlineStr">
        <is>
          <t>GREEN</t>
        </is>
      </c>
      <c r="C539" s="42" t="inlineStr">
        <is>
          <t>P0</t>
        </is>
      </c>
      <c r="D539" s="43" t="inlineStr">
        <is>
          <t>Documents</t>
        </is>
      </c>
      <c r="E539" s="43" t="inlineStr">
        <is>
          <t>caseId optional — không kèm cũng OK (general document)</t>
        </is>
      </c>
      <c r="F539" s="40" t="inlineStr">
        <is>
          <t>REQ-CASE-DOCUMENTS-536</t>
        </is>
      </c>
      <c r="G539" s="40" t="inlineStr">
        <is>
          <t>Use case testing</t>
        </is>
      </c>
      <c r="H539" s="40" t="inlineStr">
        <is>
          <t>Cao</t>
        </is>
      </c>
      <c r="I539" s="43" t="inlineStr">
        <is>
          <t>1. User đã login
2. Token JWT hợp lệ</t>
        </is>
      </c>
      <c r="J539" s="43" t="inlineStr">
        <is>
          <t>POST không caseId</t>
        </is>
      </c>
      <c r="K539" s="43" t="inlineStr">
        <is>
          <t>-</t>
        </is>
      </c>
      <c r="L539" s="43" t="inlineStr">
        <is>
          <t>-</t>
        </is>
      </c>
      <c r="M539" s="43" t="inlineStr">
        <is>
          <t>201</t>
        </is>
      </c>
      <c r="N539" s="43" t="inlineStr">
        <is>
          <t>-</t>
        </is>
      </c>
      <c r="O539" s="40" t="inlineStr">
        <is>
          <t>Medium</t>
        </is>
      </c>
      <c r="P539" s="43" t="inlineStr">
        <is>
          <t>Thời gian: 100ms</t>
        </is>
      </c>
      <c r="Q539" s="40" t="inlineStr">
        <is>
          <t>Không đạt</t>
        </is>
      </c>
      <c r="R539" s="40" t="inlineStr">
        <is>
          <t>BUG-169</t>
        </is>
      </c>
      <c r="S539" s="40" t="inlineStr">
        <is>
          <t>23/05/2026 19:06</t>
        </is>
      </c>
      <c r="T539" s="43" t="inlineStr">
        <is>
          <t>R1:Không đạt</t>
        </is>
      </c>
      <c r="U539" s="40" t="inlineStr"/>
      <c r="V539" s="43" t="inlineStr"/>
    </row>
    <row r="540" ht="80" customHeight="1">
      <c r="A540" s="40" t="inlineStr">
        <is>
          <t>TC-537</t>
        </is>
      </c>
      <c r="B540" s="41" t="inlineStr">
        <is>
          <t>GREEN</t>
        </is>
      </c>
      <c r="C540" s="42" t="inlineStr">
        <is>
          <t>P0</t>
        </is>
      </c>
      <c r="D540" s="43" t="inlineStr">
        <is>
          <t>Documents</t>
        </is>
      </c>
      <c r="E540" s="43" t="inlineStr">
        <is>
          <t>incidentId thay vì caseId (gắn với Incident)</t>
        </is>
      </c>
      <c r="F540" s="40" t="inlineStr">
        <is>
          <t>REQ-CASE-DOCUMENTS-537</t>
        </is>
      </c>
      <c r="G540" s="40" t="inlineStr">
        <is>
          <t>Use case testing</t>
        </is>
      </c>
      <c r="H540" s="40" t="inlineStr">
        <is>
          <t>Cao</t>
        </is>
      </c>
      <c r="I540" s="43" t="inlineStr">
        <is>
          <t>1. User đã login
2. Token JWT hợp lệ</t>
        </is>
      </c>
      <c r="J540" s="43" t="inlineStr">
        <is>
          <t>POST incidentId='INC-001'</t>
        </is>
      </c>
      <c r="K540" s="43" t="inlineStr">
        <is>
          <t>-</t>
        </is>
      </c>
      <c r="L540" s="43" t="inlineStr">
        <is>
          <t>-</t>
        </is>
      </c>
      <c r="M540" s="43" t="inlineStr">
        <is>
          <t>201</t>
        </is>
      </c>
      <c r="N540" s="43" t="inlineStr">
        <is>
          <t>-</t>
        </is>
      </c>
      <c r="O540" s="40" t="inlineStr">
        <is>
          <t>Medium</t>
        </is>
      </c>
      <c r="P540" s="43" t="inlineStr">
        <is>
          <t>Thời gian: 862ms</t>
        </is>
      </c>
      <c r="Q540" s="40" t="inlineStr">
        <is>
          <t>Không đạt</t>
        </is>
      </c>
      <c r="R540" s="40" t="inlineStr">
        <is>
          <t>BUG-170</t>
        </is>
      </c>
      <c r="S540" s="40" t="inlineStr">
        <is>
          <t>23/05/2026 19:06</t>
        </is>
      </c>
      <c r="T540" s="43" t="inlineStr">
        <is>
          <t>R1:Không đạt</t>
        </is>
      </c>
      <c r="U540" s="40" t="inlineStr"/>
      <c r="V540" s="43" t="inlineStr"/>
    </row>
    <row r="541" ht="80" customHeight="1">
      <c r="A541" s="40" t="inlineStr">
        <is>
          <t>TC-538</t>
        </is>
      </c>
      <c r="B541" s="45" t="inlineStr">
        <is>
          <t>RED</t>
        </is>
      </c>
      <c r="C541" s="42" t="inlineStr">
        <is>
          <t>P0</t>
        </is>
      </c>
      <c r="D541" s="43" t="inlineStr">
        <is>
          <t>Documents</t>
        </is>
      </c>
      <c r="E541" s="43" t="inlineStr">
        <is>
          <t>Cả caseId VÀ incidentId → 400 'Chỉ chọn 1'</t>
        </is>
      </c>
      <c r="F541" s="40" t="inlineStr">
        <is>
          <t>REQ-CASE-DOCUMENTS-538</t>
        </is>
      </c>
      <c r="G541" s="40" t="inlineStr">
        <is>
          <t>Use case testing</t>
        </is>
      </c>
      <c r="H541" s="40" t="inlineStr">
        <is>
          <t>Cao</t>
        </is>
      </c>
      <c r="I541" s="43" t="inlineStr">
        <is>
          <t>1. User đã login
2. Token JWT hợp lệ</t>
        </is>
      </c>
      <c r="J541" s="43" t="inlineStr">
        <is>
          <t>POST caseId + incidentId</t>
        </is>
      </c>
      <c r="K541" s="43" t="inlineStr">
        <is>
          <t>-</t>
        </is>
      </c>
      <c r="L541" s="43" t="inlineStr">
        <is>
          <t>-</t>
        </is>
      </c>
      <c r="M541" s="43" t="inlineStr">
        <is>
          <t>? — verify business rule</t>
        </is>
      </c>
      <c r="N541" s="43" t="inlineStr">
        <is>
          <t>-</t>
        </is>
      </c>
      <c r="O541" s="40" t="inlineStr">
        <is>
          <t>Medium</t>
        </is>
      </c>
      <c r="P541" s="43" t="inlineStr">
        <is>
          <t>Thời gian: 818ms</t>
        </is>
      </c>
      <c r="Q541" s="40" t="inlineStr">
        <is>
          <t>Không đạt</t>
        </is>
      </c>
      <c r="R541" s="40" t="inlineStr">
        <is>
          <t>BUG-171</t>
        </is>
      </c>
      <c r="S541" s="40" t="inlineStr">
        <is>
          <t>23/05/2026 19:06</t>
        </is>
      </c>
      <c r="T541" s="43" t="inlineStr">
        <is>
          <t>R1:Không đạt</t>
        </is>
      </c>
      <c r="U541" s="40" t="inlineStr"/>
      <c r="V541" s="43" t="inlineStr">
        <is>
          <t>Gap: chưa enforce</t>
        </is>
      </c>
    </row>
    <row r="542" ht="80" customHeight="1">
      <c r="A542" s="40" t="inlineStr">
        <is>
          <t>TC-539</t>
        </is>
      </c>
      <c r="B542" s="45" t="inlineStr">
        <is>
          <t>RED</t>
        </is>
      </c>
      <c r="C542" s="44" t="inlineStr">
        <is>
          <t>P1</t>
        </is>
      </c>
      <c r="D542" s="43" t="inlineStr">
        <is>
          <t>Documents</t>
        </is>
      </c>
      <c r="E542" s="43" t="inlineStr">
        <is>
          <t>documentType='INVALID' enum → 400</t>
        </is>
      </c>
      <c r="F542" s="40" t="inlineStr">
        <is>
          <t>REQ-CASE-DOCUMENTS-539</t>
        </is>
      </c>
      <c r="G542" s="40" t="inlineStr">
        <is>
          <t>Use case testing</t>
        </is>
      </c>
      <c r="H542" s="40" t="inlineStr">
        <is>
          <t>TB</t>
        </is>
      </c>
      <c r="I542" s="43" t="inlineStr">
        <is>
          <t>1. User đã login
2. Token JWT hợp lệ</t>
        </is>
      </c>
      <c r="J542" s="43" t="inlineStr">
        <is>
          <t>POST documentType='INVALID'</t>
        </is>
      </c>
      <c r="K542" s="43" t="inlineStr">
        <is>
          <t>-</t>
        </is>
      </c>
      <c r="L542" s="43" t="inlineStr">
        <is>
          <t>-</t>
        </is>
      </c>
      <c r="M542" s="43" t="inlineStr">
        <is>
          <t>400 'Loại tài liệu không hợp lệ'</t>
        </is>
      </c>
      <c r="N542" s="43" t="inlineStr">
        <is>
          <t>-</t>
        </is>
      </c>
      <c r="O542" s="40" t="inlineStr">
        <is>
          <t>Medium</t>
        </is>
      </c>
      <c r="P542" s="43" t="inlineStr">
        <is>
          <t>Đạt như expected. Thời gian: 859ms</t>
        </is>
      </c>
      <c r="Q542" s="40" t="inlineStr">
        <is>
          <t>Đạt</t>
        </is>
      </c>
      <c r="R542" s="40" t="inlineStr"/>
      <c r="S542" s="40" t="inlineStr">
        <is>
          <t>23/05/2026 19:06</t>
        </is>
      </c>
      <c r="T542" s="43" t="inlineStr">
        <is>
          <t>R1:Đạt</t>
        </is>
      </c>
      <c r="U542" s="40" t="inlineStr"/>
      <c r="V542" s="43" t="inlineStr"/>
    </row>
    <row r="543" ht="80" customHeight="1">
      <c r="A543" s="40" t="inlineStr">
        <is>
          <t>TC-540</t>
        </is>
      </c>
      <c r="B543" s="41" t="inlineStr">
        <is>
          <t>GREEN</t>
        </is>
      </c>
      <c r="C543" s="42" t="inlineStr">
        <is>
          <t>P0</t>
        </is>
      </c>
      <c r="D543" s="43" t="inlineStr">
        <is>
          <t>Documents</t>
        </is>
      </c>
      <c r="E543" s="43" t="inlineStr">
        <is>
          <t>GET /documents?caseId=C001 list documents của Case</t>
        </is>
      </c>
      <c r="F543" s="40" t="inlineStr">
        <is>
          <t>REQ-CASE-DOCUMENTS-540</t>
        </is>
      </c>
      <c r="G543" s="40" t="inlineStr">
        <is>
          <t>Use case testing</t>
        </is>
      </c>
      <c r="H543" s="40" t="inlineStr">
        <is>
          <t>Cao</t>
        </is>
      </c>
      <c r="I543" s="43" t="inlineStr">
        <is>
          <t>1. User đã login
2. Token JWT hợp lệ</t>
        </is>
      </c>
      <c r="J543" s="43" t="inlineStr">
        <is>
          <t>GET</t>
        </is>
      </c>
      <c r="K543" s="43" t="inlineStr">
        <is>
          <t>-</t>
        </is>
      </c>
      <c r="L543" s="43" t="inlineStr">
        <is>
          <t>-</t>
        </is>
      </c>
      <c r="M543" s="43" t="inlineStr">
        <is>
          <t>200</t>
        </is>
      </c>
      <c r="N543" s="43" t="inlineStr">
        <is>
          <t>-</t>
        </is>
      </c>
      <c r="O543" s="40" t="inlineStr">
        <is>
          <t>High</t>
        </is>
      </c>
      <c r="P543" s="43" t="inlineStr">
        <is>
          <t>Thời gian: 118ms</t>
        </is>
      </c>
      <c r="Q543" s="40" t="inlineStr">
        <is>
          <t>Không đạt</t>
        </is>
      </c>
      <c r="R543" s="40" t="inlineStr">
        <is>
          <t>BUG-172</t>
        </is>
      </c>
      <c r="S543" s="40" t="inlineStr">
        <is>
          <t>23/05/2026 19:06</t>
        </is>
      </c>
      <c r="T543" s="43" t="inlineStr">
        <is>
          <t>R1:Không đạt</t>
        </is>
      </c>
      <c r="U543" s="40" t="inlineStr"/>
      <c r="V543" s="43" t="inlineStr"/>
    </row>
    <row r="544" ht="80" customHeight="1">
      <c r="A544" s="40" t="inlineStr">
        <is>
          <t>TC-541</t>
        </is>
      </c>
      <c r="B544" s="41" t="inlineStr">
        <is>
          <t>GREEN</t>
        </is>
      </c>
      <c r="C544" s="42" t="inlineStr">
        <is>
          <t>P0</t>
        </is>
      </c>
      <c r="D544" s="43" t="inlineStr">
        <is>
          <t>Documents</t>
        </is>
      </c>
      <c r="E544" s="43" t="inlineStr">
        <is>
          <t>GET /documents/:id metadata only (chưa download file)</t>
        </is>
      </c>
      <c r="F544" s="40" t="inlineStr">
        <is>
          <t>REQ-CASE-DOCUMENTS-541</t>
        </is>
      </c>
      <c r="G544" s="40" t="inlineStr">
        <is>
          <t>Use case testing</t>
        </is>
      </c>
      <c r="H544" s="40" t="inlineStr">
        <is>
          <t>Cao</t>
        </is>
      </c>
      <c r="I544" s="43" t="inlineStr">
        <is>
          <t>1. User đã login
2. Token JWT hợp lệ</t>
        </is>
      </c>
      <c r="J544" s="43" t="inlineStr">
        <is>
          <t>GET</t>
        </is>
      </c>
      <c r="K544" s="43" t="inlineStr">
        <is>
          <t>-</t>
        </is>
      </c>
      <c r="L544" s="43" t="inlineStr">
        <is>
          <t>-</t>
        </is>
      </c>
      <c r="M544" s="43" t="inlineStr">
        <is>
          <t>200 data có filePath/fileName/size</t>
        </is>
      </c>
      <c r="N544" s="43" t="inlineStr">
        <is>
          <t>-</t>
        </is>
      </c>
      <c r="O544" s="40" t="inlineStr">
        <is>
          <t>High</t>
        </is>
      </c>
      <c r="P544" s="43" t="inlineStr">
        <is>
          <t>Thời gian: 268ms</t>
        </is>
      </c>
      <c r="Q544" s="40" t="inlineStr">
        <is>
          <t>Không đạt</t>
        </is>
      </c>
      <c r="R544" s="40" t="inlineStr">
        <is>
          <t>BUG-173</t>
        </is>
      </c>
      <c r="S544" s="40" t="inlineStr">
        <is>
          <t>23/05/2026 19:06</t>
        </is>
      </c>
      <c r="T544" s="43" t="inlineStr">
        <is>
          <t>R1:Không đạt</t>
        </is>
      </c>
      <c r="U544" s="40" t="inlineStr"/>
      <c r="V544" s="43" t="inlineStr"/>
    </row>
    <row r="545" ht="80" customHeight="1">
      <c r="A545" s="40" t="inlineStr">
        <is>
          <t>TC-542</t>
        </is>
      </c>
      <c r="B545" s="41" t="inlineStr">
        <is>
          <t>GREEN</t>
        </is>
      </c>
      <c r="C545" s="42" t="inlineStr">
        <is>
          <t>P0</t>
        </is>
      </c>
      <c r="D545" s="43" t="inlineStr">
        <is>
          <t>Documents</t>
        </is>
      </c>
      <c r="E545" s="43" t="inlineStr">
        <is>
          <t>GET /documents/:id/download trả file binary</t>
        </is>
      </c>
      <c r="F545" s="40" t="inlineStr">
        <is>
          <t>REQ-CASE-DOCUMENTS-542</t>
        </is>
      </c>
      <c r="G545" s="40" t="inlineStr">
        <is>
          <t>Use case testing</t>
        </is>
      </c>
      <c r="H545" s="40" t="inlineStr">
        <is>
          <t>Cao</t>
        </is>
      </c>
      <c r="I545" s="43" t="inlineStr">
        <is>
          <t>1. User đã login
2. Token JWT hợp lệ</t>
        </is>
      </c>
      <c r="J545" s="43" t="inlineStr">
        <is>
          <t>GET download</t>
        </is>
      </c>
      <c r="K545" s="43" t="inlineStr">
        <is>
          <t>-</t>
        </is>
      </c>
      <c r="L545" s="43" t="inlineStr">
        <is>
          <t>Browser download file</t>
        </is>
      </c>
      <c r="M545" s="43" t="inlineStr">
        <is>
          <t>200 Content-Type theo mimeType, Content-Disposition attachment</t>
        </is>
      </c>
      <c r="N545" s="43" t="inlineStr">
        <is>
          <t>-</t>
        </is>
      </c>
      <c r="O545" s="40" t="inlineStr">
        <is>
          <t>Critical</t>
        </is>
      </c>
      <c r="P545" s="43" t="inlineStr">
        <is>
          <t>Thời gian: 160ms</t>
        </is>
      </c>
      <c r="Q545" s="40" t="inlineStr">
        <is>
          <t>Không đạt</t>
        </is>
      </c>
      <c r="R545" s="40" t="inlineStr">
        <is>
          <t>BUG-174</t>
        </is>
      </c>
      <c r="S545" s="40" t="inlineStr">
        <is>
          <t>23/05/2026 19:06</t>
        </is>
      </c>
      <c r="T545" s="43" t="inlineStr">
        <is>
          <t>R1:Không đạt</t>
        </is>
      </c>
      <c r="U545" s="40" t="inlineStr"/>
      <c r="V545" s="43" t="inlineStr"/>
    </row>
    <row r="546" ht="80" customHeight="1">
      <c r="A546" s="40" t="inlineStr">
        <is>
          <t>TC-543</t>
        </is>
      </c>
      <c r="B546" s="45" t="inlineStr">
        <is>
          <t>RED</t>
        </is>
      </c>
      <c r="C546" s="42" t="inlineStr">
        <is>
          <t>P0</t>
        </is>
      </c>
      <c r="D546" s="43" t="inlineStr">
        <is>
          <t>Documents</t>
        </is>
      </c>
      <c r="E546" s="43" t="inlineStr">
        <is>
          <t>Download document ngoài scope → 403</t>
        </is>
      </c>
      <c r="F546" s="40" t="inlineStr">
        <is>
          <t>REQ-CASE-DOCUMENTS-543</t>
        </is>
      </c>
      <c r="G546" s="40" t="inlineStr">
        <is>
          <t>Use case testing</t>
        </is>
      </c>
      <c r="H546" s="40" t="inlineStr">
        <is>
          <t>Cao</t>
        </is>
      </c>
      <c r="I546" s="43" t="inlineStr">
        <is>
          <t>1. User đã login
2. Token JWT hợp lệ</t>
        </is>
      </c>
      <c r="J546" s="43" t="inlineStr">
        <is>
          <t>GET download của Case khác team</t>
        </is>
      </c>
      <c r="K546" s="43" t="inlineStr">
        <is>
          <t>-</t>
        </is>
      </c>
      <c r="L546" s="43" t="inlineStr">
        <is>
          <t>-</t>
        </is>
      </c>
      <c r="M546" s="43" t="inlineStr">
        <is>
          <t>403</t>
        </is>
      </c>
      <c r="N546" s="43" t="inlineStr">
        <is>
          <t>-</t>
        </is>
      </c>
      <c r="O546" s="40" t="inlineStr">
        <is>
          <t>Critical</t>
        </is>
      </c>
      <c r="P546" s="43" t="inlineStr">
        <is>
          <t>Thời gian: 143ms</t>
        </is>
      </c>
      <c r="Q546" s="40" t="inlineStr">
        <is>
          <t>Không đạt</t>
        </is>
      </c>
      <c r="R546" s="40" t="inlineStr">
        <is>
          <t>BUG-175</t>
        </is>
      </c>
      <c r="S546" s="40" t="inlineStr">
        <is>
          <t>23/05/2026 19:06</t>
        </is>
      </c>
      <c r="T546" s="43" t="inlineStr">
        <is>
          <t>R1:Không đạt</t>
        </is>
      </c>
      <c r="U546" s="40" t="inlineStr"/>
      <c r="V546" s="43" t="inlineStr"/>
    </row>
    <row r="547" ht="80" customHeight="1">
      <c r="A547" s="40" t="inlineStr">
        <is>
          <t>TC-544</t>
        </is>
      </c>
      <c r="B547" s="45" t="inlineStr">
        <is>
          <t>RED</t>
        </is>
      </c>
      <c r="C547" s="42" t="inlineStr">
        <is>
          <t>P0</t>
        </is>
      </c>
      <c r="D547" s="43" t="inlineStr">
        <is>
          <t>Documents</t>
        </is>
      </c>
      <c r="E547" s="43" t="inlineStr">
        <is>
          <t>Download document đã soft-deleted → 404</t>
        </is>
      </c>
      <c r="F547" s="40" t="inlineStr">
        <is>
          <t>REQ-CASE-DOCUMENTS-544</t>
        </is>
      </c>
      <c r="G547" s="40" t="inlineStr">
        <is>
          <t>Use case testing</t>
        </is>
      </c>
      <c r="H547" s="40" t="inlineStr">
        <is>
          <t>Cao</t>
        </is>
      </c>
      <c r="I547" s="43" t="inlineStr">
        <is>
          <t>deletedAt set</t>
        </is>
      </c>
      <c r="J547" s="43" t="inlineStr">
        <is>
          <t>GET</t>
        </is>
      </c>
      <c r="K547" s="43" t="inlineStr">
        <is>
          <t>-</t>
        </is>
      </c>
      <c r="L547" s="43" t="inlineStr">
        <is>
          <t>-</t>
        </is>
      </c>
      <c r="M547" s="43" t="inlineStr">
        <is>
          <t>404</t>
        </is>
      </c>
      <c r="N547" s="43" t="inlineStr">
        <is>
          <t>-</t>
        </is>
      </c>
      <c r="O547" s="40" t="inlineStr">
        <is>
          <t>High</t>
        </is>
      </c>
      <c r="P547" s="43" t="inlineStr">
        <is>
          <t>Thời gian: 110ms</t>
        </is>
      </c>
      <c r="Q547" s="40" t="inlineStr">
        <is>
          <t>Không đạt</t>
        </is>
      </c>
      <c r="R547" s="40" t="inlineStr">
        <is>
          <t>BUG-176</t>
        </is>
      </c>
      <c r="S547" s="40" t="inlineStr">
        <is>
          <t>23/05/2026 19:06</t>
        </is>
      </c>
      <c r="T547" s="43" t="inlineStr">
        <is>
          <t>R1:Không đạt</t>
        </is>
      </c>
      <c r="U547" s="40" t="inlineStr"/>
      <c r="V547" s="43" t="inlineStr"/>
    </row>
    <row r="548" ht="80" customHeight="1">
      <c r="A548" s="40" t="inlineStr">
        <is>
          <t>TC-545</t>
        </is>
      </c>
      <c r="B548" s="45" t="inlineStr">
        <is>
          <t>RED</t>
        </is>
      </c>
      <c r="C548" s="42" t="inlineStr">
        <is>
          <t>P0</t>
        </is>
      </c>
      <c r="D548" s="43" t="inlineStr">
        <is>
          <t>Documents</t>
        </is>
      </c>
      <c r="E548" s="43" t="inlineStr">
        <is>
          <t>Download bằng GET /uploads/file.pdf trực tiếp → 401/403</t>
        </is>
      </c>
      <c r="F548" s="40" t="inlineStr">
        <is>
          <t>REQ-CASE-DOCUMENTS-545</t>
        </is>
      </c>
      <c r="G548" s="40" t="inlineStr">
        <is>
          <t>Use case testing</t>
        </is>
      </c>
      <c r="H548" s="40" t="inlineStr">
        <is>
          <t>Cao</t>
        </is>
      </c>
      <c r="I548" s="43" t="inlineStr">
        <is>
          <t>1. User đã login
2. Token JWT hợp lệ</t>
        </is>
      </c>
      <c r="J548" s="43" t="inlineStr">
        <is>
          <t>GET /uploads/file.pdf không qua API auth</t>
        </is>
      </c>
      <c r="K548" s="43" t="inlineStr">
        <is>
          <t>-</t>
        </is>
      </c>
      <c r="L548" s="43" t="inlineStr">
        <is>
          <t>-</t>
        </is>
      </c>
      <c r="M548" s="43" t="inlineStr">
        <is>
          <t>? — cần verify static serve có auth</t>
        </is>
      </c>
      <c r="N548" s="43" t="inlineStr">
        <is>
          <t>-</t>
        </is>
      </c>
      <c r="O548" s="40" t="inlineStr">
        <is>
          <t>Critical</t>
        </is>
      </c>
      <c r="P548" s="43" t="inlineStr">
        <is>
          <t>Thời gian: 172ms</t>
        </is>
      </c>
      <c r="Q548" s="40" t="inlineStr">
        <is>
          <t>Không đạt</t>
        </is>
      </c>
      <c r="R548" s="40" t="inlineStr">
        <is>
          <t>BUG-177</t>
        </is>
      </c>
      <c r="S548" s="40" t="inlineStr">
        <is>
          <t>23/05/2026 19:06</t>
        </is>
      </c>
      <c r="T548" s="43" t="inlineStr">
        <is>
          <t>R1:Không đạt</t>
        </is>
      </c>
      <c r="U548" s="40" t="inlineStr"/>
      <c r="V548" s="43" t="inlineStr">
        <is>
          <t>Nếu serve raw upload → IDOR</t>
        </is>
      </c>
    </row>
    <row r="549" ht="80" customHeight="1">
      <c r="A549" s="40" t="inlineStr">
        <is>
          <t>TC-546</t>
        </is>
      </c>
      <c r="B549" s="41" t="inlineStr">
        <is>
          <t>GREEN</t>
        </is>
      </c>
      <c r="C549" s="42" t="inlineStr">
        <is>
          <t>P0</t>
        </is>
      </c>
      <c r="D549" s="43" t="inlineStr">
        <is>
          <t>Documents</t>
        </is>
      </c>
      <c r="E549" s="43" t="inlineStr">
        <is>
          <t>DELETE document soft delete</t>
        </is>
      </c>
      <c r="F549" s="40" t="inlineStr">
        <is>
          <t>REQ-CASE-DOCUMENTS-546</t>
        </is>
      </c>
      <c r="G549" s="40" t="inlineStr">
        <is>
          <t>Use case testing</t>
        </is>
      </c>
      <c r="H549" s="40" t="inlineStr">
        <is>
          <t>Cao</t>
        </is>
      </c>
      <c r="I549" s="43" t="inlineStr">
        <is>
          <t>1. User đã login
2. Token JWT hợp lệ</t>
        </is>
      </c>
      <c r="J549" s="43" t="inlineStr">
        <is>
          <t>DELETE</t>
        </is>
      </c>
      <c r="K549" s="43" t="inlineStr">
        <is>
          <t>-</t>
        </is>
      </c>
      <c r="L549" s="43" t="inlineStr">
        <is>
          <t>Toast success</t>
        </is>
      </c>
      <c r="M549" s="43" t="inlineStr">
        <is>
          <t>200</t>
        </is>
      </c>
      <c r="N549" s="43" t="inlineStr">
        <is>
          <t>deletedAt + audit + file vẫn còn (soft)</t>
        </is>
      </c>
      <c r="O549" s="40" t="inlineStr">
        <is>
          <t>High</t>
        </is>
      </c>
      <c r="P549" s="43" t="inlineStr">
        <is>
          <t>Thời gian: 117ms</t>
        </is>
      </c>
      <c r="Q549" s="40" t="inlineStr">
        <is>
          <t>Không đạt</t>
        </is>
      </c>
      <c r="R549" s="40" t="inlineStr">
        <is>
          <t>BUG-178</t>
        </is>
      </c>
      <c r="S549" s="40" t="inlineStr">
        <is>
          <t>23/05/2026 19:06</t>
        </is>
      </c>
      <c r="T549" s="43" t="inlineStr">
        <is>
          <t>R1:Không đạt</t>
        </is>
      </c>
      <c r="U549" s="40" t="inlineStr"/>
      <c r="V549" s="43" t="inlineStr"/>
    </row>
    <row r="550" ht="80" customHeight="1">
      <c r="A550" s="40" t="inlineStr">
        <is>
          <t>TC-547</t>
        </is>
      </c>
      <c r="B550" s="45" t="inlineStr">
        <is>
          <t>RED</t>
        </is>
      </c>
      <c r="C550" s="42" t="inlineStr">
        <is>
          <t>P0</t>
        </is>
      </c>
      <c r="D550" s="43" t="inlineStr">
        <is>
          <t>Documents</t>
        </is>
      </c>
      <c r="E550" s="43" t="inlineStr">
        <is>
          <t>DELETE document ngoài scope → 403</t>
        </is>
      </c>
      <c r="F550" s="40" t="inlineStr">
        <is>
          <t>REQ-CASE-DOCUMENTS-547</t>
        </is>
      </c>
      <c r="G550" s="40" t="inlineStr">
        <is>
          <t>Use case testing</t>
        </is>
      </c>
      <c r="H550" s="40" t="inlineStr">
        <is>
          <t>Cao</t>
        </is>
      </c>
      <c r="I550" s="43" t="inlineStr">
        <is>
          <t>1. User đã login
2. Token JWT hợp lệ</t>
        </is>
      </c>
      <c r="J550" s="43" t="inlineStr">
        <is>
          <t>DELETE</t>
        </is>
      </c>
      <c r="K550" s="43" t="inlineStr">
        <is>
          <t>-</t>
        </is>
      </c>
      <c r="L550" s="43" t="inlineStr">
        <is>
          <t>-</t>
        </is>
      </c>
      <c r="M550" s="43" t="inlineStr">
        <is>
          <t>403</t>
        </is>
      </c>
      <c r="N550" s="43" t="inlineStr">
        <is>
          <t>-</t>
        </is>
      </c>
      <c r="O550" s="40" t="inlineStr">
        <is>
          <t>Critical</t>
        </is>
      </c>
      <c r="P550" s="43" t="inlineStr">
        <is>
          <t>Thời gian: 187ms</t>
        </is>
      </c>
      <c r="Q550" s="40" t="inlineStr">
        <is>
          <t>Không đạt</t>
        </is>
      </c>
      <c r="R550" s="40" t="inlineStr">
        <is>
          <t>BUG-179</t>
        </is>
      </c>
      <c r="S550" s="40" t="inlineStr">
        <is>
          <t>23/05/2026 19:06</t>
        </is>
      </c>
      <c r="T550" s="43" t="inlineStr">
        <is>
          <t>R1:Không đạt</t>
        </is>
      </c>
      <c r="U550" s="40" t="inlineStr"/>
      <c r="V550" s="43" t="inlineStr"/>
    </row>
    <row r="551" ht="80" customHeight="1">
      <c r="A551" s="40" t="inlineStr">
        <is>
          <t>TC-548</t>
        </is>
      </c>
      <c r="B551" s="41" t="inlineStr">
        <is>
          <t>GREEN</t>
        </is>
      </c>
      <c r="C551" s="42" t="inlineStr">
        <is>
          <t>P0</t>
        </is>
      </c>
      <c r="D551" s="43" t="inlineStr">
        <is>
          <t>Documents</t>
        </is>
      </c>
      <c r="E551" s="43" t="inlineStr">
        <is>
          <t>PUT update title + description</t>
        </is>
      </c>
      <c r="F551" s="40" t="inlineStr">
        <is>
          <t>REQ-CASE-DOCUMENTS-548</t>
        </is>
      </c>
      <c r="G551" s="40" t="inlineStr">
        <is>
          <t>Use case testing</t>
        </is>
      </c>
      <c r="H551" s="40" t="inlineStr">
        <is>
          <t>Cao</t>
        </is>
      </c>
      <c r="I551" s="43" t="inlineStr">
        <is>
          <t>1. User đã login
2. Token JWT hợp lệ</t>
        </is>
      </c>
      <c r="J551" s="43" t="inlineStr">
        <is>
          <t>PUT</t>
        </is>
      </c>
      <c r="K551" s="43" t="inlineStr">
        <is>
          <t>-</t>
        </is>
      </c>
      <c r="L551" s="43" t="inlineStr">
        <is>
          <t>Success</t>
        </is>
      </c>
      <c r="M551" s="43" t="inlineStr">
        <is>
          <t>200</t>
        </is>
      </c>
      <c r="N551" s="43" t="inlineStr">
        <is>
          <t>Audit diff</t>
        </is>
      </c>
      <c r="O551" s="40" t="inlineStr">
        <is>
          <t>High</t>
        </is>
      </c>
      <c r="P551" s="43" t="inlineStr">
        <is>
          <t>Thời gian: 159ms</t>
        </is>
      </c>
      <c r="Q551" s="40" t="inlineStr">
        <is>
          <t>Không đạt</t>
        </is>
      </c>
      <c r="R551" s="40" t="inlineStr">
        <is>
          <t>BUG-180</t>
        </is>
      </c>
      <c r="S551" s="40" t="inlineStr">
        <is>
          <t>23/05/2026 19:06</t>
        </is>
      </c>
      <c r="T551" s="43" t="inlineStr">
        <is>
          <t>R1:Không đạt</t>
        </is>
      </c>
      <c r="U551" s="40" t="inlineStr"/>
      <c r="V551" s="43" t="inlineStr"/>
    </row>
    <row r="552" ht="80" customHeight="1">
      <c r="A552" s="40" t="inlineStr">
        <is>
          <t>TC-549</t>
        </is>
      </c>
      <c r="B552" s="45" t="inlineStr">
        <is>
          <t>RED</t>
        </is>
      </c>
      <c r="C552" s="42" t="inlineStr">
        <is>
          <t>P0</t>
        </is>
      </c>
      <c r="D552" s="43" t="inlineStr">
        <is>
          <t>Documents</t>
        </is>
      </c>
      <c r="E552" s="43" t="inlineStr">
        <is>
          <t>PUT thay đổi fileName/filePath bị forbidNonWhitelisted reject</t>
        </is>
      </c>
      <c r="F552" s="40" t="inlineStr">
        <is>
          <t>REQ-CASE-DOCUMENTS-549</t>
        </is>
      </c>
      <c r="G552" s="40" t="inlineStr">
        <is>
          <t>Use case testing</t>
        </is>
      </c>
      <c r="H552" s="40" t="inlineStr">
        <is>
          <t>Cao</t>
        </is>
      </c>
      <c r="I552" s="43" t="inlineStr">
        <is>
          <t>1. User đã login
2. Token JWT hợp lệ</t>
        </is>
      </c>
      <c r="J552" s="43" t="inlineStr">
        <is>
          <t>PUT {fileName:'evil.pdf'}</t>
        </is>
      </c>
      <c r="K552" s="43" t="inlineStr">
        <is>
          <t>-</t>
        </is>
      </c>
      <c r="L552" s="43" t="inlineStr">
        <is>
          <t>-</t>
        </is>
      </c>
      <c r="M552" s="43" t="inlineStr">
        <is>
          <t>400 (whitelist update DTO không có fileName)</t>
        </is>
      </c>
      <c r="N552" s="43" t="inlineStr">
        <is>
          <t>-</t>
        </is>
      </c>
      <c r="O552" s="40" t="inlineStr">
        <is>
          <t>High</t>
        </is>
      </c>
      <c r="P552" s="43" t="inlineStr">
        <is>
          <t>Thời gian: 180ms</t>
        </is>
      </c>
      <c r="Q552" s="40" t="inlineStr">
        <is>
          <t>Không đạt</t>
        </is>
      </c>
      <c r="R552" s="40" t="inlineStr">
        <is>
          <t>BUG-181</t>
        </is>
      </c>
      <c r="S552" s="40" t="inlineStr">
        <is>
          <t>23/05/2026 19:06</t>
        </is>
      </c>
      <c r="T552" s="43" t="inlineStr">
        <is>
          <t>R1:Không đạt</t>
        </is>
      </c>
      <c r="U552" s="40" t="inlineStr"/>
      <c r="V552" s="43" t="inlineStr">
        <is>
          <t>Verify UpdateDocumentDto không có file fields</t>
        </is>
      </c>
    </row>
    <row r="553" ht="80" customHeight="1">
      <c r="A553" s="40" t="inlineStr">
        <is>
          <t>TC-550</t>
        </is>
      </c>
      <c r="B553" s="47" t="inlineStr">
        <is>
          <t>SECURITY</t>
        </is>
      </c>
      <c r="C553" s="42" t="inlineStr">
        <is>
          <t>P0</t>
        </is>
      </c>
      <c r="D553" s="43" t="inlineStr">
        <is>
          <t>Documents</t>
        </is>
      </c>
      <c r="E553" s="43" t="inlineStr">
        <is>
          <t>XSS qua originalName '&lt;script&gt;alert&lt;/script&gt;.pdf'</t>
        </is>
      </c>
      <c r="F553" s="40" t="inlineStr">
        <is>
          <t>REQ-CASE-DOCUMENTS-550</t>
        </is>
      </c>
      <c r="G553" s="40" t="inlineStr">
        <is>
          <t>Use case testing</t>
        </is>
      </c>
      <c r="H553" s="40" t="inlineStr">
        <is>
          <t>Cao</t>
        </is>
      </c>
      <c r="I553" s="43" t="inlineStr">
        <is>
          <t>1. User đã login
2. Token JWT hợp lệ</t>
        </is>
      </c>
      <c r="J553" s="43" t="inlineStr">
        <is>
          <t>POST originalName='&lt;script&gt;alert&lt;/script&gt;.pdf'</t>
        </is>
      </c>
      <c r="K553" s="43" t="inlineStr">
        <is>
          <t>-</t>
        </is>
      </c>
      <c r="L553" s="43" t="inlineStr">
        <is>
          <t>Hiển thị escape</t>
        </is>
      </c>
      <c r="M553" s="43" t="inlineStr">
        <is>
          <t>201</t>
        </is>
      </c>
      <c r="N553" s="43" t="inlineStr">
        <is>
          <t>-</t>
        </is>
      </c>
      <c r="O553" s="40" t="inlineStr">
        <is>
          <t>High</t>
        </is>
      </c>
      <c r="P553" s="43" t="inlineStr">
        <is>
          <t>Thời gian: 120ms</t>
        </is>
      </c>
      <c r="Q553" s="40" t="inlineStr">
        <is>
          <t>Không đạt</t>
        </is>
      </c>
      <c r="R553" s="40" t="inlineStr">
        <is>
          <t>BUG-182</t>
        </is>
      </c>
      <c r="S553" s="40" t="inlineStr">
        <is>
          <t>23/05/2026 19:06</t>
        </is>
      </c>
      <c r="T553" s="43" t="inlineStr">
        <is>
          <t>R1:Không đạt</t>
        </is>
      </c>
      <c r="U553" s="40" t="inlineStr"/>
      <c r="V553" s="43" t="inlineStr"/>
    </row>
    <row r="554" ht="80" customHeight="1">
      <c r="A554" s="40" t="inlineStr">
        <is>
          <t>TC-551</t>
        </is>
      </c>
      <c r="B554" s="47" t="inlineStr">
        <is>
          <t>SECURITY</t>
        </is>
      </c>
      <c r="C554" s="42" t="inlineStr">
        <is>
          <t>P0</t>
        </is>
      </c>
      <c r="D554" s="43" t="inlineStr">
        <is>
          <t>Documents</t>
        </is>
      </c>
      <c r="E554" s="43" t="inlineStr">
        <is>
          <t>CSV injection qua title '=cmd|calc'</t>
        </is>
      </c>
      <c r="F554" s="40" t="inlineStr">
        <is>
          <t>REQ-CASE-DOCUMENTS-551</t>
        </is>
      </c>
      <c r="G554" s="40" t="inlineStr">
        <is>
          <t>Use case testing</t>
        </is>
      </c>
      <c r="H554" s="40" t="inlineStr">
        <is>
          <t>Cao</t>
        </is>
      </c>
      <c r="I554" s="43" t="inlineStr">
        <is>
          <t>1. User đã login
2. Token JWT hợp lệ</t>
        </is>
      </c>
      <c r="J554" s="43" t="inlineStr">
        <is>
          <t>POST title='=cmd|calc'</t>
        </is>
      </c>
      <c r="K554" s="43" t="inlineStr">
        <is>
          <t>-</t>
        </is>
      </c>
      <c r="L554" s="43" t="inlineStr">
        <is>
          <t>Hiển thị raw</t>
        </is>
      </c>
      <c r="M554" s="43" t="inlineStr">
        <is>
          <t>201</t>
        </is>
      </c>
      <c r="N554" s="43" t="inlineStr">
        <is>
          <t>Export Excel sau này cần escape '='</t>
        </is>
      </c>
      <c r="O554" s="40" t="inlineStr">
        <is>
          <t>Medium</t>
        </is>
      </c>
      <c r="P554" s="43" t="inlineStr">
        <is>
          <t>Thời gian: 140ms</t>
        </is>
      </c>
      <c r="Q554" s="40" t="inlineStr">
        <is>
          <t>Không đạt</t>
        </is>
      </c>
      <c r="R554" s="40" t="inlineStr">
        <is>
          <t>BUG-183</t>
        </is>
      </c>
      <c r="S554" s="40" t="inlineStr">
        <is>
          <t>23/05/2026 19:06</t>
        </is>
      </c>
      <c r="T554" s="43" t="inlineStr">
        <is>
          <t>R1:Không đạt</t>
        </is>
      </c>
      <c r="U554" s="40" t="inlineStr"/>
      <c r="V554" s="43" t="inlineStr">
        <is>
          <t>CSV/Excel injection nếu export sau</t>
        </is>
      </c>
    </row>
    <row r="555" ht="80" customHeight="1">
      <c r="A555" s="40" t="inlineStr">
        <is>
          <t>TC-552</t>
        </is>
      </c>
      <c r="B555" s="52" t="inlineStr">
        <is>
          <t>DATA</t>
        </is>
      </c>
      <c r="C555" s="44" t="inlineStr">
        <is>
          <t>P1</t>
        </is>
      </c>
      <c r="D555" s="43" t="inlineStr">
        <is>
          <t>Documents</t>
        </is>
      </c>
      <c r="E555" s="43" t="inlineStr">
        <is>
          <t>title tiếng Việt có dấu</t>
        </is>
      </c>
      <c r="F555" s="40" t="inlineStr">
        <is>
          <t>REQ-CASE-DOCUMENTS-552</t>
        </is>
      </c>
      <c r="G555" s="40" t="inlineStr">
        <is>
          <t>Use case testing</t>
        </is>
      </c>
      <c r="H555" s="40" t="inlineStr">
        <is>
          <t>TB</t>
        </is>
      </c>
      <c r="I555" s="43" t="inlineStr">
        <is>
          <t>1. User đã login
2. Token JWT hợp lệ</t>
        </is>
      </c>
      <c r="J555" s="43" t="inlineStr">
        <is>
          <t>POST title='Hồ sơ vụ án Nguyễn'</t>
        </is>
      </c>
      <c r="K555" s="43" t="inlineStr">
        <is>
          <t>-</t>
        </is>
      </c>
      <c r="L555" s="43" t="inlineStr">
        <is>
          <t>-</t>
        </is>
      </c>
      <c r="M555" s="43" t="inlineStr">
        <is>
          <t>201</t>
        </is>
      </c>
      <c r="N555" s="43" t="inlineStr">
        <is>
          <t>-</t>
        </is>
      </c>
      <c r="O555" s="40" t="inlineStr">
        <is>
          <t>Low</t>
        </is>
      </c>
      <c r="P555" s="43" t="inlineStr">
        <is>
          <t>Thời gian: 136ms</t>
        </is>
      </c>
      <c r="Q555" s="40" t="inlineStr">
        <is>
          <t>Không đạt</t>
        </is>
      </c>
      <c r="R555" s="40" t="inlineStr">
        <is>
          <t>BUG-184</t>
        </is>
      </c>
      <c r="S555" s="40" t="inlineStr">
        <is>
          <t>23/05/2026 19:06</t>
        </is>
      </c>
      <c r="T555" s="43" t="inlineStr">
        <is>
          <t>R1:Không đạt</t>
        </is>
      </c>
      <c r="U555" s="40" t="inlineStr"/>
      <c r="V555" s="43" t="inlineStr"/>
    </row>
    <row r="556" ht="80" customHeight="1">
      <c r="A556" s="40" t="inlineStr">
        <is>
          <t>TC-553</t>
        </is>
      </c>
      <c r="B556" s="52" t="inlineStr">
        <is>
          <t>DATA</t>
        </is>
      </c>
      <c r="C556" s="44" t="inlineStr">
        <is>
          <t>P1</t>
        </is>
      </c>
      <c r="D556" s="43" t="inlineStr">
        <is>
          <t>Documents</t>
        </is>
      </c>
      <c r="E556" s="43" t="inlineStr">
        <is>
          <t>filename Unicode 'tài liệu công văn.pdf'</t>
        </is>
      </c>
      <c r="F556" s="40" t="inlineStr">
        <is>
          <t>REQ-CASE-DOCUMENTS-553</t>
        </is>
      </c>
      <c r="G556" s="40" t="inlineStr">
        <is>
          <t>Use case testing</t>
        </is>
      </c>
      <c r="H556" s="40" t="inlineStr">
        <is>
          <t>TB</t>
        </is>
      </c>
      <c r="I556" s="43" t="inlineStr">
        <is>
          <t>1. User đã login
2. Token JWT hợp lệ</t>
        </is>
      </c>
      <c r="J556" s="43" t="inlineStr">
        <is>
          <t>-</t>
        </is>
      </c>
      <c r="K556" s="43" t="inlineStr">
        <is>
          <t>-</t>
        </is>
      </c>
      <c r="L556" s="43" t="inlineStr">
        <is>
          <t>-</t>
        </is>
      </c>
      <c r="M556" s="43" t="inlineStr">
        <is>
          <t>201</t>
        </is>
      </c>
      <c r="N556" s="43" t="inlineStr">
        <is>
          <t>DB preserve UTF-8</t>
        </is>
      </c>
      <c r="O556" s="40" t="inlineStr">
        <is>
          <t>Medium</t>
        </is>
      </c>
      <c r="P556" s="43" t="inlineStr">
        <is>
          <t>Thời gian: 128ms</t>
        </is>
      </c>
      <c r="Q556" s="40" t="inlineStr">
        <is>
          <t>Không đạt</t>
        </is>
      </c>
      <c r="R556" s="40" t="inlineStr">
        <is>
          <t>BUG-185</t>
        </is>
      </c>
      <c r="S556" s="40" t="inlineStr">
        <is>
          <t>23/05/2026 19:06</t>
        </is>
      </c>
      <c r="T556" s="43" t="inlineStr">
        <is>
          <t>R1:Không đạt</t>
        </is>
      </c>
      <c r="U556" s="40" t="inlineStr"/>
      <c r="V556" s="43" t="inlineStr"/>
    </row>
    <row r="557" ht="80" customHeight="1">
      <c r="A557" s="40" t="inlineStr">
        <is>
          <t>TC-554</t>
        </is>
      </c>
      <c r="B557" s="52" t="inlineStr">
        <is>
          <t>DATA</t>
        </is>
      </c>
      <c r="C557" s="44" t="inlineStr">
        <is>
          <t>P1</t>
        </is>
      </c>
      <c r="D557" s="43" t="inlineStr">
        <is>
          <t>Documents</t>
        </is>
      </c>
      <c r="E557" s="43" t="inlineStr">
        <is>
          <t>filename emoji '📄report.pdf'</t>
        </is>
      </c>
      <c r="F557" s="40" t="inlineStr">
        <is>
          <t>REQ-CASE-DOCUMENTS-554</t>
        </is>
      </c>
      <c r="G557" s="40" t="inlineStr">
        <is>
          <t>Use case testing</t>
        </is>
      </c>
      <c r="H557" s="40" t="inlineStr">
        <is>
          <t>TB</t>
        </is>
      </c>
      <c r="I557" s="43" t="inlineStr">
        <is>
          <t>1. User đã login
2. Token JWT hợp lệ</t>
        </is>
      </c>
      <c r="J557" s="43" t="inlineStr">
        <is>
          <t>POST</t>
        </is>
      </c>
      <c r="K557" s="43" t="inlineStr">
        <is>
          <t>-</t>
        </is>
      </c>
      <c r="L557" s="43" t="inlineStr">
        <is>
          <t>-</t>
        </is>
      </c>
      <c r="M557" s="43" t="inlineStr">
        <is>
          <t>201 hoặc normalize</t>
        </is>
      </c>
      <c r="N557" s="43" t="inlineStr">
        <is>
          <t>-</t>
        </is>
      </c>
      <c r="O557" s="40" t="inlineStr">
        <is>
          <t>Low</t>
        </is>
      </c>
      <c r="P557" s="43" t="inlineStr">
        <is>
          <t>Thời gian: 173ms</t>
        </is>
      </c>
      <c r="Q557" s="40" t="inlineStr">
        <is>
          <t>Không đạt</t>
        </is>
      </c>
      <c r="R557" s="40" t="inlineStr">
        <is>
          <t>BUG-186</t>
        </is>
      </c>
      <c r="S557" s="40" t="inlineStr">
        <is>
          <t>23/05/2026 19:06</t>
        </is>
      </c>
      <c r="T557" s="43" t="inlineStr">
        <is>
          <t>R1:Không đạt</t>
        </is>
      </c>
      <c r="U557" s="40" t="inlineStr"/>
      <c r="V557" s="43" t="inlineStr"/>
    </row>
    <row r="558" ht="80" customHeight="1">
      <c r="A558" s="40" t="inlineStr">
        <is>
          <t>TC-555</t>
        </is>
      </c>
      <c r="B558" s="53" t="inlineStr">
        <is>
          <t>BOUNDARY</t>
        </is>
      </c>
      <c r="C558" s="44" t="inlineStr">
        <is>
          <t>P1</t>
        </is>
      </c>
      <c r="D558" s="43" t="inlineStr">
        <is>
          <t>Documents</t>
        </is>
      </c>
      <c r="E558" s="43" t="inlineStr">
        <is>
          <t>File 0 byte (empty) → 400</t>
        </is>
      </c>
      <c r="F558" s="40" t="inlineStr">
        <is>
          <t>REQ-CASE-DOCUMENTS-555</t>
        </is>
      </c>
      <c r="G558" s="40" t="inlineStr">
        <is>
          <t>Use case testing</t>
        </is>
      </c>
      <c r="H558" s="40" t="inlineStr">
        <is>
          <t>TB</t>
        </is>
      </c>
      <c r="I558" s="43" t="inlineStr">
        <is>
          <t>1. User đã login
2. Token JWT hợp lệ</t>
        </is>
      </c>
      <c r="J558" s="43" t="inlineStr">
        <is>
          <t>POST file empty</t>
        </is>
      </c>
      <c r="K558" s="43" t="inlineStr">
        <is>
          <t>-</t>
        </is>
      </c>
      <c r="L558" s="43" t="inlineStr">
        <is>
          <t>-</t>
        </is>
      </c>
      <c r="M558" s="43" t="inlineStr">
        <is>
          <t>400 'File rỗng'</t>
        </is>
      </c>
      <c r="N558" s="43" t="inlineStr">
        <is>
          <t>-</t>
        </is>
      </c>
      <c r="O558" s="40" t="inlineStr">
        <is>
          <t>Medium</t>
        </is>
      </c>
      <c r="P558" s="43" t="inlineStr">
        <is>
          <t>Thời gian: 189ms</t>
        </is>
      </c>
      <c r="Q558" s="40" t="inlineStr">
        <is>
          <t>Không đạt</t>
        </is>
      </c>
      <c r="R558" s="40" t="inlineStr">
        <is>
          <t>BUG-187</t>
        </is>
      </c>
      <c r="S558" s="40" t="inlineStr">
        <is>
          <t>23/05/2026 19:06</t>
        </is>
      </c>
      <c r="T558" s="43" t="inlineStr">
        <is>
          <t>R1:Không đạt</t>
        </is>
      </c>
      <c r="U558" s="40" t="inlineStr"/>
      <c r="V558" s="43" t="inlineStr"/>
    </row>
    <row r="559" ht="80" customHeight="1">
      <c r="A559" s="40" t="inlineStr">
        <is>
          <t>TC-556</t>
        </is>
      </c>
      <c r="B559" s="53" t="inlineStr">
        <is>
          <t>BOUNDARY</t>
        </is>
      </c>
      <c r="C559" s="44" t="inlineStr">
        <is>
          <t>P1</t>
        </is>
      </c>
      <c r="D559" s="43" t="inlineStr">
        <is>
          <t>Documents</t>
        </is>
      </c>
      <c r="E559" s="43" t="inlineStr">
        <is>
          <t>File 1 byte (smallest non-empty) → 201</t>
        </is>
      </c>
      <c r="F559" s="40" t="inlineStr">
        <is>
          <t>REQ-CASE-DOCUMENTS-556</t>
        </is>
      </c>
      <c r="G559" s="40" t="inlineStr">
        <is>
          <t>Use case testing</t>
        </is>
      </c>
      <c r="H559" s="40" t="inlineStr">
        <is>
          <t>TB</t>
        </is>
      </c>
      <c r="I559" s="43" t="inlineStr">
        <is>
          <t>1. User đã login
2. Token JWT hợp lệ</t>
        </is>
      </c>
      <c r="J559" s="43" t="inlineStr">
        <is>
          <t>POST file 1 byte</t>
        </is>
      </c>
      <c r="K559" s="43" t="inlineStr">
        <is>
          <t>-</t>
        </is>
      </c>
      <c r="L559" s="43" t="inlineStr">
        <is>
          <t>-</t>
        </is>
      </c>
      <c r="M559" s="43" t="inlineStr">
        <is>
          <t>201</t>
        </is>
      </c>
      <c r="N559" s="43" t="inlineStr">
        <is>
          <t>-</t>
        </is>
      </c>
      <c r="O559" s="40" t="inlineStr">
        <is>
          <t>Low</t>
        </is>
      </c>
      <c r="P559" s="43" t="inlineStr">
        <is>
          <t>Thời gian: 133ms</t>
        </is>
      </c>
      <c r="Q559" s="40" t="inlineStr">
        <is>
          <t>Không đạt</t>
        </is>
      </c>
      <c r="R559" s="40" t="inlineStr">
        <is>
          <t>BUG-188</t>
        </is>
      </c>
      <c r="S559" s="40" t="inlineStr">
        <is>
          <t>23/05/2026 19:06</t>
        </is>
      </c>
      <c r="T559" s="43" t="inlineStr">
        <is>
          <t>R1:Không đạt</t>
        </is>
      </c>
      <c r="U559" s="40" t="inlineStr"/>
      <c r="V559" s="43" t="inlineStr"/>
    </row>
    <row r="560" ht="80" customHeight="1">
      <c r="A560" s="40" t="inlineStr">
        <is>
          <t>TC-557</t>
        </is>
      </c>
      <c r="B560" s="53" t="inlineStr">
        <is>
          <t>BOUNDARY</t>
        </is>
      </c>
      <c r="C560" s="44" t="inlineStr">
        <is>
          <t>P1</t>
        </is>
      </c>
      <c r="D560" s="43" t="inlineStr">
        <is>
          <t>Documents</t>
        </is>
      </c>
      <c r="E560" s="43" t="inlineStr">
        <is>
          <t>File đúng limit 10MB → 201</t>
        </is>
      </c>
      <c r="F560" s="40" t="inlineStr">
        <is>
          <t>REQ-CASE-DOCUMENTS-557</t>
        </is>
      </c>
      <c r="G560" s="40" t="inlineStr">
        <is>
          <t>Use case testing</t>
        </is>
      </c>
      <c r="H560" s="40" t="inlineStr">
        <is>
          <t>TB</t>
        </is>
      </c>
      <c r="I560" s="43" t="inlineStr">
        <is>
          <t>1. User đã login
2. Token JWT hợp lệ</t>
        </is>
      </c>
      <c r="J560" s="43" t="inlineStr">
        <is>
          <t>POST file 10MB</t>
        </is>
      </c>
      <c r="K560" s="43" t="inlineStr">
        <is>
          <t>-</t>
        </is>
      </c>
      <c r="L560" s="43" t="inlineStr">
        <is>
          <t>-</t>
        </is>
      </c>
      <c r="M560" s="43" t="inlineStr">
        <is>
          <t>201</t>
        </is>
      </c>
      <c r="N560" s="43" t="inlineStr">
        <is>
          <t>-</t>
        </is>
      </c>
      <c r="O560" s="40" t="inlineStr">
        <is>
          <t>Medium</t>
        </is>
      </c>
      <c r="P560" s="43" t="inlineStr">
        <is>
          <t>Thời gian: 134ms</t>
        </is>
      </c>
      <c r="Q560" s="40" t="inlineStr">
        <is>
          <t>Không đạt</t>
        </is>
      </c>
      <c r="R560" s="40" t="inlineStr">
        <is>
          <t>BUG-189</t>
        </is>
      </c>
      <c r="S560" s="40" t="inlineStr">
        <is>
          <t>23/05/2026 19:06</t>
        </is>
      </c>
      <c r="T560" s="43" t="inlineStr">
        <is>
          <t>R1:Không đạt</t>
        </is>
      </c>
      <c r="U560" s="40" t="inlineStr"/>
      <c r="V560" s="43" t="inlineStr"/>
    </row>
    <row r="561" ht="80" customHeight="1">
      <c r="A561" s="40" t="inlineStr">
        <is>
          <t>TC-558</t>
        </is>
      </c>
      <c r="B561" s="53" t="inlineStr">
        <is>
          <t>BOUNDARY</t>
        </is>
      </c>
      <c r="C561" s="44" t="inlineStr">
        <is>
          <t>P1</t>
        </is>
      </c>
      <c r="D561" s="43" t="inlineStr">
        <is>
          <t>Documents</t>
        </is>
      </c>
      <c r="E561" s="43" t="inlineStr">
        <is>
          <t>File 10MB+1 byte → 413</t>
        </is>
      </c>
      <c r="F561" s="40" t="inlineStr">
        <is>
          <t>REQ-CASE-DOCUMENTS-558</t>
        </is>
      </c>
      <c r="G561" s="40" t="inlineStr">
        <is>
          <t>Use case testing</t>
        </is>
      </c>
      <c r="H561" s="40" t="inlineStr">
        <is>
          <t>TB</t>
        </is>
      </c>
      <c r="I561" s="43" t="inlineStr">
        <is>
          <t>1. User đã login
2. Token JWT hợp lệ</t>
        </is>
      </c>
      <c r="J561" s="43" t="inlineStr">
        <is>
          <t>POST file 10485761 bytes</t>
        </is>
      </c>
      <c r="K561" s="43" t="inlineStr">
        <is>
          <t>-</t>
        </is>
      </c>
      <c r="L561" s="43" t="inlineStr">
        <is>
          <t>-</t>
        </is>
      </c>
      <c r="M561" s="43" t="inlineStr">
        <is>
          <t>413</t>
        </is>
      </c>
      <c r="N561" s="43" t="inlineStr">
        <is>
          <t>-</t>
        </is>
      </c>
      <c r="O561" s="40" t="inlineStr">
        <is>
          <t>Medium</t>
        </is>
      </c>
      <c r="P561" s="43" t="inlineStr">
        <is>
          <t>Thời gian: 183ms</t>
        </is>
      </c>
      <c r="Q561" s="40" t="inlineStr">
        <is>
          <t>Không đạt</t>
        </is>
      </c>
      <c r="R561" s="40" t="inlineStr">
        <is>
          <t>BUG-190</t>
        </is>
      </c>
      <c r="S561" s="40" t="inlineStr">
        <is>
          <t>23/05/2026 19:06</t>
        </is>
      </c>
      <c r="T561" s="43" t="inlineStr">
        <is>
          <t>R1:Không đạt</t>
        </is>
      </c>
      <c r="U561" s="40" t="inlineStr"/>
      <c r="V561" s="43" t="inlineStr"/>
    </row>
    <row r="562" ht="80" customHeight="1">
      <c r="A562" s="40" t="inlineStr">
        <is>
          <t>TC-559</t>
        </is>
      </c>
      <c r="B562" s="51" t="inlineStr">
        <is>
          <t>PERFORMANCE</t>
        </is>
      </c>
      <c r="C562" s="44" t="inlineStr">
        <is>
          <t>P1</t>
        </is>
      </c>
      <c r="D562" s="43" t="inlineStr">
        <is>
          <t>Documents</t>
        </is>
      </c>
      <c r="E562" s="43" t="inlineStr">
        <is>
          <t>Upload 5MB &lt; 5s</t>
        </is>
      </c>
      <c r="F562" s="40" t="inlineStr">
        <is>
          <t>REQ-CASE-DOCUMENTS-559</t>
        </is>
      </c>
      <c r="G562" s="40" t="inlineStr">
        <is>
          <t>Use case testing</t>
        </is>
      </c>
      <c r="H562" s="40" t="inlineStr">
        <is>
          <t>TB</t>
        </is>
      </c>
      <c r="I562" s="43" t="inlineStr">
        <is>
          <t>1. User đã login
2. Token JWT hợp lệ</t>
        </is>
      </c>
      <c r="J562" s="43" t="inlineStr">
        <is>
          <t>-</t>
        </is>
      </c>
      <c r="K562" s="43" t="inlineStr">
        <is>
          <t>-</t>
        </is>
      </c>
      <c r="L562" s="43" t="inlineStr">
        <is>
          <t>-</t>
        </is>
      </c>
      <c r="M562" s="43" t="inlineStr">
        <is>
          <t>&lt;5s</t>
        </is>
      </c>
      <c r="N562" s="43" t="inlineStr">
        <is>
          <t>-</t>
        </is>
      </c>
      <c r="O562" s="40" t="inlineStr">
        <is>
          <t>Medium</t>
        </is>
      </c>
      <c r="P562" s="43" t="inlineStr">
        <is>
          <t>Thời gian: 220ms</t>
        </is>
      </c>
      <c r="Q562" s="40" t="inlineStr">
        <is>
          <t>Không đạt</t>
        </is>
      </c>
      <c r="R562" s="40" t="inlineStr">
        <is>
          <t>BUG-191</t>
        </is>
      </c>
      <c r="S562" s="40" t="inlineStr">
        <is>
          <t>23/05/2026 19:06</t>
        </is>
      </c>
      <c r="T562" s="43" t="inlineStr">
        <is>
          <t>R1:Không đạt</t>
        </is>
      </c>
      <c r="U562" s="40" t="inlineStr"/>
      <c r="V562" s="43" t="inlineStr"/>
    </row>
    <row r="563" ht="80" customHeight="1">
      <c r="A563" s="40" t="inlineStr">
        <is>
          <t>TC-560</t>
        </is>
      </c>
      <c r="B563" s="51" t="inlineStr">
        <is>
          <t>PERFORMANCE</t>
        </is>
      </c>
      <c r="C563" s="44" t="inlineStr">
        <is>
          <t>P1</t>
        </is>
      </c>
      <c r="D563" s="43" t="inlineStr">
        <is>
          <t>Documents</t>
        </is>
      </c>
      <c r="E563" s="43" t="inlineStr">
        <is>
          <t>Download 5MB streaming không OOM</t>
        </is>
      </c>
      <c r="F563" s="40" t="inlineStr">
        <is>
          <t>REQ-CASE-DOCUMENTS-560</t>
        </is>
      </c>
      <c r="G563" s="40" t="inlineStr">
        <is>
          <t>Use case testing</t>
        </is>
      </c>
      <c r="H563" s="40" t="inlineStr">
        <is>
          <t>TB</t>
        </is>
      </c>
      <c r="I563" s="43" t="inlineStr">
        <is>
          <t>1. User đã login
2. Token JWT hợp lệ</t>
        </is>
      </c>
      <c r="J563" s="43" t="inlineStr">
        <is>
          <t>GET download</t>
        </is>
      </c>
      <c r="K563" s="43" t="inlineStr">
        <is>
          <t>-</t>
        </is>
      </c>
      <c r="L563" s="43" t="inlineStr">
        <is>
          <t>-</t>
        </is>
      </c>
      <c r="M563" s="43" t="inlineStr">
        <is>
          <t>-</t>
        </is>
      </c>
      <c r="N563" s="43" t="inlineStr">
        <is>
          <t>Memory peak &lt; 100MB</t>
        </is>
      </c>
      <c r="O563" s="40" t="inlineStr">
        <is>
          <t>Medium</t>
        </is>
      </c>
      <c r="P563" s="43" t="inlineStr">
        <is>
          <t>Thời gian: 169ms</t>
        </is>
      </c>
      <c r="Q563" s="40" t="inlineStr">
        <is>
          <t>Không đạt</t>
        </is>
      </c>
      <c r="R563" s="40" t="inlineStr">
        <is>
          <t>BUG-192</t>
        </is>
      </c>
      <c r="S563" s="40" t="inlineStr">
        <is>
          <t>23/05/2026 19:06</t>
        </is>
      </c>
      <c r="T563" s="43" t="inlineStr">
        <is>
          <t>R1:Không đạt</t>
        </is>
      </c>
      <c r="U563" s="40" t="inlineStr"/>
      <c r="V563" s="43" t="inlineStr"/>
    </row>
    <row r="564" ht="80" customHeight="1">
      <c r="A564" s="40" t="inlineStr">
        <is>
          <t>TC-561</t>
        </is>
      </c>
      <c r="B564" s="57" t="inlineStr">
        <is>
          <t>RECOVERY</t>
        </is>
      </c>
      <c r="C564" s="44" t="inlineStr">
        <is>
          <t>P1</t>
        </is>
      </c>
      <c r="D564" s="43" t="inlineStr">
        <is>
          <t>Documents</t>
        </is>
      </c>
      <c r="E564" s="43" t="inlineStr">
        <is>
          <t>Upload bị interrupt giữa chừng → no partial file</t>
        </is>
      </c>
      <c r="F564" s="40" t="inlineStr">
        <is>
          <t>REQ-CASE-DOCUMENTS-561</t>
        </is>
      </c>
      <c r="G564" s="40" t="inlineStr">
        <is>
          <t>Use case testing</t>
        </is>
      </c>
      <c r="H564" s="40" t="inlineStr">
        <is>
          <t>TB</t>
        </is>
      </c>
      <c r="I564" s="43" t="inlineStr">
        <is>
          <t>1. User đã login
2. Token JWT hợp lệ</t>
        </is>
      </c>
      <c r="J564" s="43" t="inlineStr">
        <is>
          <t>Disconnect during upload</t>
        </is>
      </c>
      <c r="K564" s="43" t="inlineStr">
        <is>
          <t>-</t>
        </is>
      </c>
      <c r="L564" s="43" t="inlineStr">
        <is>
          <t>-</t>
        </is>
      </c>
      <c r="M564" s="43" t="inlineStr">
        <is>
          <t>Multer cleanup partial</t>
        </is>
      </c>
      <c r="N564" s="43" t="inlineStr">
        <is>
          <t>No orphan file</t>
        </is>
      </c>
      <c r="O564" s="40" t="inlineStr">
        <is>
          <t>High</t>
        </is>
      </c>
      <c r="P564" s="43" t="inlineStr">
        <is>
          <t>Thời gian: 182ms</t>
        </is>
      </c>
      <c r="Q564" s="40" t="inlineStr">
        <is>
          <t>Không đạt</t>
        </is>
      </c>
      <c r="R564" s="40" t="inlineStr">
        <is>
          <t>BUG-193</t>
        </is>
      </c>
      <c r="S564" s="40" t="inlineStr">
        <is>
          <t>23/05/2026 19:06</t>
        </is>
      </c>
      <c r="T564" s="43" t="inlineStr">
        <is>
          <t>R1:Không đạt</t>
        </is>
      </c>
      <c r="U564" s="40" t="inlineStr"/>
      <c r="V564" s="43" t="inlineStr"/>
    </row>
    <row r="565" ht="80" customHeight="1">
      <c r="A565" s="40" t="inlineStr">
        <is>
          <t>TC-562</t>
        </is>
      </c>
      <c r="B565" s="57" t="inlineStr">
        <is>
          <t>RECOVERY</t>
        </is>
      </c>
      <c r="C565" s="44" t="inlineStr">
        <is>
          <t>P1</t>
        </is>
      </c>
      <c r="D565" s="43" t="inlineStr">
        <is>
          <t>Documents</t>
        </is>
      </c>
      <c r="E565" s="43" t="inlineStr">
        <is>
          <t>Disk full khi upload → 500 cleanup</t>
        </is>
      </c>
      <c r="F565" s="40" t="inlineStr">
        <is>
          <t>REQ-CASE-DOCUMENTS-562</t>
        </is>
      </c>
      <c r="G565" s="40" t="inlineStr">
        <is>
          <t>Use case testing</t>
        </is>
      </c>
      <c r="H565" s="40" t="inlineStr">
        <is>
          <t>TB</t>
        </is>
      </c>
      <c r="I565" s="43" t="inlineStr">
        <is>
          <t>1. User đã login
2. Token JWT hợp lệ</t>
        </is>
      </c>
      <c r="J565" s="43" t="inlineStr">
        <is>
          <t>Mock disk full</t>
        </is>
      </c>
      <c r="K565" s="43" t="inlineStr">
        <is>
          <t>-</t>
        </is>
      </c>
      <c r="L565" s="43" t="inlineStr">
        <is>
          <t>-</t>
        </is>
      </c>
      <c r="M565" s="43" t="inlineStr">
        <is>
          <t>500</t>
        </is>
      </c>
      <c r="N565" s="43" t="inlineStr">
        <is>
          <t>No orphan + audit fail</t>
        </is>
      </c>
      <c r="O565" s="40" t="inlineStr">
        <is>
          <t>High</t>
        </is>
      </c>
      <c r="P565" s="43" t="inlineStr">
        <is>
          <t>Thời gian: 841ms</t>
        </is>
      </c>
      <c r="Q565" s="40" t="inlineStr">
        <is>
          <t>Không đạt</t>
        </is>
      </c>
      <c r="R565" s="40" t="inlineStr">
        <is>
          <t>BUG-194</t>
        </is>
      </c>
      <c r="S565" s="40" t="inlineStr">
        <is>
          <t>23/05/2026 19:06</t>
        </is>
      </c>
      <c r="T565" s="43" t="inlineStr">
        <is>
          <t>R1:Không đạt</t>
        </is>
      </c>
      <c r="U565" s="40" t="inlineStr"/>
      <c r="V565" s="43" t="inlineStr"/>
    </row>
    <row r="566" ht="80" customHeight="1">
      <c r="A566" s="40" t="inlineStr">
        <is>
          <t>TC-563</t>
        </is>
      </c>
      <c r="B566" s="47" t="inlineStr">
        <is>
          <t>SECURITY</t>
        </is>
      </c>
      <c r="C566" s="42" t="inlineStr">
        <is>
          <t>P0</t>
        </is>
      </c>
      <c r="D566" s="43" t="inlineStr">
        <is>
          <t>Documents</t>
        </is>
      </c>
      <c r="E566" s="43" t="inlineStr">
        <is>
          <t>Quota: user upload nhiều file → check storage limit</t>
        </is>
      </c>
      <c r="F566" s="40" t="inlineStr">
        <is>
          <t>REQ-CASE-DOCUMENTS-563</t>
        </is>
      </c>
      <c r="G566" s="40" t="inlineStr">
        <is>
          <t>Use case testing</t>
        </is>
      </c>
      <c r="H566" s="40" t="inlineStr">
        <is>
          <t>Cao</t>
        </is>
      </c>
      <c r="I566" s="43" t="inlineStr">
        <is>
          <t>1. User đã login
2. Token JWT hợp lệ</t>
        </is>
      </c>
      <c r="J566" s="43" t="inlineStr">
        <is>
          <t>Upload 100 file 10MB</t>
        </is>
      </c>
      <c r="K566" s="43" t="inlineStr">
        <is>
          <t>-</t>
        </is>
      </c>
      <c r="L566" s="43" t="inlineStr">
        <is>
          <t>-</t>
        </is>
      </c>
      <c r="M566" s="43" t="inlineStr">
        <is>
          <t>? — verify storage quota</t>
        </is>
      </c>
      <c r="N566" s="43" t="inlineStr">
        <is>
          <t>-</t>
        </is>
      </c>
      <c r="O566" s="40" t="inlineStr">
        <is>
          <t>High</t>
        </is>
      </c>
      <c r="P566" s="43" t="inlineStr">
        <is>
          <t>Thời gian: 976ms</t>
        </is>
      </c>
      <c r="Q566" s="40" t="inlineStr">
        <is>
          <t>Không đạt</t>
        </is>
      </c>
      <c r="R566" s="40" t="inlineStr">
        <is>
          <t>BUG-195</t>
        </is>
      </c>
      <c r="S566" s="40" t="inlineStr">
        <is>
          <t>23/05/2026 19:06</t>
        </is>
      </c>
      <c r="T566" s="43" t="inlineStr">
        <is>
          <t>R1:Không đạt</t>
        </is>
      </c>
      <c r="U566" s="40" t="inlineStr"/>
      <c r="V566" s="43" t="inlineStr">
        <is>
          <t>Gap: không có quota → DoS</t>
        </is>
      </c>
    </row>
    <row r="567" ht="80" customHeight="1">
      <c r="A567" s="40" t="inlineStr">
        <is>
          <t>TC-564</t>
        </is>
      </c>
      <c r="B567" s="58" t="inlineStr">
        <is>
          <t>AUDIT</t>
        </is>
      </c>
      <c r="C567" s="42" t="inlineStr">
        <is>
          <t>P0</t>
        </is>
      </c>
      <c r="D567" s="43" t="inlineStr">
        <is>
          <t>Documents</t>
        </is>
      </c>
      <c r="E567" s="43" t="inlineStr">
        <is>
          <t>DOCUMENT_CREATED có fileName + size + mimeType</t>
        </is>
      </c>
      <c r="F567" s="40" t="inlineStr">
        <is>
          <t>REQ-CASE-DOCUMENTS-564</t>
        </is>
      </c>
      <c r="G567" s="40" t="inlineStr">
        <is>
          <t>Use case testing</t>
        </is>
      </c>
      <c r="H567" s="40" t="inlineStr">
        <is>
          <t>Cao</t>
        </is>
      </c>
      <c r="I567" s="43" t="inlineStr">
        <is>
          <t>1. User đã login
2. Token JWT hợp lệ</t>
        </is>
      </c>
      <c r="J567" s="43" t="inlineStr">
        <is>
          <t>POST</t>
        </is>
      </c>
      <c r="K567" s="43" t="inlineStr">
        <is>
          <t>-</t>
        </is>
      </c>
      <c r="L567" s="43" t="inlineStr">
        <is>
          <t>-</t>
        </is>
      </c>
      <c r="M567" s="43" t="inlineStr">
        <is>
          <t>-</t>
        </is>
      </c>
      <c r="N567" s="43" t="inlineStr">
        <is>
          <t>metadata đủ</t>
        </is>
      </c>
      <c r="O567" s="40" t="inlineStr">
        <is>
          <t>High</t>
        </is>
      </c>
      <c r="P567" s="43" t="inlineStr">
        <is>
          <t>Thời gian: 896ms</t>
        </is>
      </c>
      <c r="Q567" s="40" t="inlineStr">
        <is>
          <t>Không đạt</t>
        </is>
      </c>
      <c r="R567" s="40" t="inlineStr">
        <is>
          <t>BUG-196</t>
        </is>
      </c>
      <c r="S567" s="40" t="inlineStr">
        <is>
          <t>23/05/2026 19:06</t>
        </is>
      </c>
      <c r="T567" s="43" t="inlineStr">
        <is>
          <t>R1:Không đạt</t>
        </is>
      </c>
      <c r="U567" s="40" t="inlineStr"/>
      <c r="V567" s="43" t="inlineStr"/>
    </row>
    <row r="568" ht="80" customHeight="1">
      <c r="A568" s="40" t="inlineStr">
        <is>
          <t>TC-565</t>
        </is>
      </c>
      <c r="B568" s="58" t="inlineStr">
        <is>
          <t>AUDIT</t>
        </is>
      </c>
      <c r="C568" s="42" t="inlineStr">
        <is>
          <t>P0</t>
        </is>
      </c>
      <c r="D568" s="43" t="inlineStr">
        <is>
          <t>Documents</t>
        </is>
      </c>
      <c r="E568" s="43" t="inlineStr">
        <is>
          <t>DOCUMENT_DOWNLOADED audit mỗi lần download</t>
        </is>
      </c>
      <c r="F568" s="40" t="inlineStr">
        <is>
          <t>REQ-CASE-DOCUMENTS-565</t>
        </is>
      </c>
      <c r="G568" s="40" t="inlineStr">
        <is>
          <t>Use case testing</t>
        </is>
      </c>
      <c r="H568" s="40" t="inlineStr">
        <is>
          <t>Cao</t>
        </is>
      </c>
      <c r="I568" s="43" t="inlineStr">
        <is>
          <t>1. User đã login
2. Token JWT hợp lệ</t>
        </is>
      </c>
      <c r="J568" s="43" t="inlineStr">
        <is>
          <t>GET download</t>
        </is>
      </c>
      <c r="K568" s="43" t="inlineStr">
        <is>
          <t>-</t>
        </is>
      </c>
      <c r="L568" s="43" t="inlineStr">
        <is>
          <t>-</t>
        </is>
      </c>
      <c r="M568" s="43" t="inlineStr">
        <is>
          <t>-</t>
        </is>
      </c>
      <c r="N568" s="43" t="inlineStr">
        <is>
          <t>audit row DOCUMENT_DOWNLOADED với userId + ip + ua</t>
        </is>
      </c>
      <c r="O568" s="40" t="inlineStr">
        <is>
          <t>High</t>
        </is>
      </c>
      <c r="P568" s="43" t="inlineStr">
        <is>
          <t>Thời gian: 792ms</t>
        </is>
      </c>
      <c r="Q568" s="40" t="inlineStr">
        <is>
          <t>Không đạt</t>
        </is>
      </c>
      <c r="R568" s="40" t="inlineStr">
        <is>
          <t>BUG-197</t>
        </is>
      </c>
      <c r="S568" s="40" t="inlineStr">
        <is>
          <t>23/05/2026 19:06</t>
        </is>
      </c>
      <c r="T568" s="43" t="inlineStr">
        <is>
          <t>R1:Không đạt</t>
        </is>
      </c>
      <c r="U568" s="40" t="inlineStr"/>
      <c r="V568" s="43" t="inlineStr">
        <is>
          <t>PII access tracking</t>
        </is>
      </c>
    </row>
    <row r="569" ht="80" customHeight="1">
      <c r="A569" s="40" t="inlineStr">
        <is>
          <t>TC-566</t>
        </is>
      </c>
      <c r="B569" s="58" t="inlineStr">
        <is>
          <t>AUDIT</t>
        </is>
      </c>
      <c r="C569" s="42" t="inlineStr">
        <is>
          <t>P0</t>
        </is>
      </c>
      <c r="D569" s="43" t="inlineStr">
        <is>
          <t>Documents</t>
        </is>
      </c>
      <c r="E569" s="43" t="inlineStr">
        <is>
          <t>DOCUMENT_DELETED có original fileName</t>
        </is>
      </c>
      <c r="F569" s="40" t="inlineStr">
        <is>
          <t>REQ-CASE-DOCUMENTS-566</t>
        </is>
      </c>
      <c r="G569" s="40" t="inlineStr">
        <is>
          <t>Use case testing</t>
        </is>
      </c>
      <c r="H569" s="40" t="inlineStr">
        <is>
          <t>Cao</t>
        </is>
      </c>
      <c r="I569" s="43" t="inlineStr">
        <is>
          <t>1. User đã login
2. Token JWT hợp lệ</t>
        </is>
      </c>
      <c r="J569" s="43" t="inlineStr">
        <is>
          <t>DELETE</t>
        </is>
      </c>
      <c r="K569" s="43" t="inlineStr">
        <is>
          <t>-</t>
        </is>
      </c>
      <c r="L569" s="43" t="inlineStr">
        <is>
          <t>-</t>
        </is>
      </c>
      <c r="M569" s="43" t="inlineStr">
        <is>
          <t>-</t>
        </is>
      </c>
      <c r="N569" s="43" t="inlineStr">
        <is>
          <t>-</t>
        </is>
      </c>
      <c r="O569" s="40" t="inlineStr">
        <is>
          <t>High</t>
        </is>
      </c>
      <c r="P569" s="43" t="inlineStr">
        <is>
          <t>Thời gian: 897ms</t>
        </is>
      </c>
      <c r="Q569" s="40" t="inlineStr">
        <is>
          <t>Không đạt</t>
        </is>
      </c>
      <c r="R569" s="40" t="inlineStr">
        <is>
          <t>BUG-198</t>
        </is>
      </c>
      <c r="S569" s="40" t="inlineStr">
        <is>
          <t>23/05/2026 19:06</t>
        </is>
      </c>
      <c r="T569" s="43" t="inlineStr">
        <is>
          <t>R1:Không đạt</t>
        </is>
      </c>
      <c r="U569" s="40" t="inlineStr"/>
      <c r="V569" s="43" t="inlineStr"/>
    </row>
    <row r="570" ht="80" customHeight="1">
      <c r="A570" s="40" t="inlineStr">
        <is>
          <t>TC-567</t>
        </is>
      </c>
      <c r="B570" s="48" t="inlineStr">
        <is>
          <t>A11Y</t>
        </is>
      </c>
      <c r="C570" s="44" t="inlineStr">
        <is>
          <t>P1</t>
        </is>
      </c>
      <c r="D570" s="43" t="inlineStr">
        <is>
          <t>Documents</t>
        </is>
      </c>
      <c r="E570" s="43" t="inlineStr">
        <is>
          <t>File input có aria-label</t>
        </is>
      </c>
      <c r="F570" s="40" t="inlineStr">
        <is>
          <t>REQ-CASE-DOCUMENTS-567</t>
        </is>
      </c>
      <c r="G570" s="40" t="inlineStr">
        <is>
          <t>Use case testing</t>
        </is>
      </c>
      <c r="H570" s="40" t="inlineStr">
        <is>
          <t>TB</t>
        </is>
      </c>
      <c r="I570" s="43" t="inlineStr">
        <is>
          <t>1. User đã login
2. Token JWT hợp lệ</t>
        </is>
      </c>
      <c r="J570" s="43" t="inlineStr">
        <is>
          <t>-</t>
        </is>
      </c>
      <c r="K570" s="43" t="inlineStr">
        <is>
          <t>-</t>
        </is>
      </c>
      <c r="L570" s="43" t="inlineStr">
        <is>
          <t>-</t>
        </is>
      </c>
      <c r="M570" s="43" t="inlineStr">
        <is>
          <t>-</t>
        </is>
      </c>
      <c r="N570" s="43" t="inlineStr">
        <is>
          <t>-</t>
        </is>
      </c>
      <c r="O570" s="40" t="inlineStr">
        <is>
          <t>Low</t>
        </is>
      </c>
      <c r="P570" s="43" t="inlineStr">
        <is>
          <t>Thời gian: 204ms</t>
        </is>
      </c>
      <c r="Q570" s="40" t="inlineStr">
        <is>
          <t>Không đạt</t>
        </is>
      </c>
      <c r="R570" s="40" t="inlineStr">
        <is>
          <t>BUG-199</t>
        </is>
      </c>
      <c r="S570" s="40" t="inlineStr">
        <is>
          <t>23/05/2026 19:06</t>
        </is>
      </c>
      <c r="T570" s="43" t="inlineStr">
        <is>
          <t>R1:Không đạt</t>
        </is>
      </c>
      <c r="U570" s="40" t="inlineStr"/>
      <c r="V570" s="43" t="inlineStr"/>
    </row>
    <row r="571" ht="80" customHeight="1">
      <c r="A571" s="40" t="inlineStr">
        <is>
          <t>TC-568</t>
        </is>
      </c>
      <c r="B571" s="48" t="inlineStr">
        <is>
          <t>A11Y</t>
        </is>
      </c>
      <c r="C571" s="44" t="inlineStr">
        <is>
          <t>P1</t>
        </is>
      </c>
      <c r="D571" s="43" t="inlineStr">
        <is>
          <t>Documents</t>
        </is>
      </c>
      <c r="E571" s="43" t="inlineStr">
        <is>
          <t>Upload progress có aria-live='polite' announce</t>
        </is>
      </c>
      <c r="F571" s="40" t="inlineStr">
        <is>
          <t>REQ-CASE-DOCUMENTS-568</t>
        </is>
      </c>
      <c r="G571" s="40" t="inlineStr">
        <is>
          <t>Use case testing</t>
        </is>
      </c>
      <c r="H571" s="40" t="inlineStr">
        <is>
          <t>TB</t>
        </is>
      </c>
      <c r="I571" s="43" t="inlineStr">
        <is>
          <t>1. User đã login
2. Token JWT hợp lệ</t>
        </is>
      </c>
      <c r="J571" s="43" t="inlineStr">
        <is>
          <t>-</t>
        </is>
      </c>
      <c r="K571" s="43" t="inlineStr">
        <is>
          <t>-</t>
        </is>
      </c>
      <c r="L571" s="43" t="inlineStr">
        <is>
          <t>-</t>
        </is>
      </c>
      <c r="M571" s="43" t="inlineStr">
        <is>
          <t>-</t>
        </is>
      </c>
      <c r="N571" s="43" t="inlineStr">
        <is>
          <t>-</t>
        </is>
      </c>
      <c r="O571" s="40" t="inlineStr">
        <is>
          <t>Medium</t>
        </is>
      </c>
      <c r="P571" s="43" t="inlineStr">
        <is>
          <t>Thời gian: 165ms</t>
        </is>
      </c>
      <c r="Q571" s="40" t="inlineStr">
        <is>
          <t>Không đạt</t>
        </is>
      </c>
      <c r="R571" s="40" t="inlineStr">
        <is>
          <t>BUG-200</t>
        </is>
      </c>
      <c r="S571" s="40" t="inlineStr">
        <is>
          <t>23/05/2026 19:06</t>
        </is>
      </c>
      <c r="T571" s="43" t="inlineStr">
        <is>
          <t>R1:Không đạt</t>
        </is>
      </c>
      <c r="U571" s="40" t="inlineStr"/>
      <c r="V571" s="43" t="inlineStr"/>
    </row>
    <row r="572" ht="80" customHeight="1">
      <c r="A572" s="40" t="inlineStr">
        <is>
          <t>TC-569</t>
        </is>
      </c>
      <c r="B572" s="50" t="inlineStr">
        <is>
          <t>COMPAT</t>
        </is>
      </c>
      <c r="C572" s="44" t="inlineStr">
        <is>
          <t>P1</t>
        </is>
      </c>
      <c r="D572" s="43" t="inlineStr">
        <is>
          <t>Documents</t>
        </is>
      </c>
      <c r="E572" s="43" t="inlineStr">
        <is>
          <t>Drag-drop upload trên Chrome</t>
        </is>
      </c>
      <c r="F572" s="40" t="inlineStr">
        <is>
          <t>REQ-CASE-DOCUMENTS-569</t>
        </is>
      </c>
      <c r="G572" s="40" t="inlineStr">
        <is>
          <t>Use case testing</t>
        </is>
      </c>
      <c r="H572" s="40" t="inlineStr">
        <is>
          <t>TB</t>
        </is>
      </c>
      <c r="I572" s="43" t="inlineStr">
        <is>
          <t>1. User đã login
2. Token JWT hợp lệ</t>
        </is>
      </c>
      <c r="J572" s="43" t="inlineStr">
        <is>
          <t>-</t>
        </is>
      </c>
      <c r="K572" s="43" t="inlineStr">
        <is>
          <t>-</t>
        </is>
      </c>
      <c r="L572" s="43" t="inlineStr">
        <is>
          <t>-</t>
        </is>
      </c>
      <c r="M572" s="43" t="inlineStr">
        <is>
          <t>-</t>
        </is>
      </c>
      <c r="N572" s="43" t="inlineStr">
        <is>
          <t>-</t>
        </is>
      </c>
      <c r="O572" s="40" t="inlineStr">
        <is>
          <t>Medium</t>
        </is>
      </c>
      <c r="P572" s="43" t="inlineStr">
        <is>
          <t>Thời gian: 156ms</t>
        </is>
      </c>
      <c r="Q572" s="40" t="inlineStr">
        <is>
          <t>Không đạt</t>
        </is>
      </c>
      <c r="R572" s="40" t="inlineStr">
        <is>
          <t>BUG-201</t>
        </is>
      </c>
      <c r="S572" s="40" t="inlineStr">
        <is>
          <t>23/05/2026 19:06</t>
        </is>
      </c>
      <c r="T572" s="43" t="inlineStr">
        <is>
          <t>R1:Không đạt</t>
        </is>
      </c>
      <c r="U572" s="40" t="inlineStr"/>
      <c r="V572" s="43" t="inlineStr"/>
    </row>
    <row r="573" ht="80" customHeight="1">
      <c r="A573" s="40" t="inlineStr">
        <is>
          <t>TC-570</t>
        </is>
      </c>
      <c r="B573" s="50" t="inlineStr">
        <is>
          <t>COMPAT</t>
        </is>
      </c>
      <c r="C573" s="44" t="inlineStr">
        <is>
          <t>P1</t>
        </is>
      </c>
      <c r="D573" s="43" t="inlineStr">
        <is>
          <t>Documents</t>
        </is>
      </c>
      <c r="E573" s="43" t="inlineStr">
        <is>
          <t>File picker mobile (iOS Safari)</t>
        </is>
      </c>
      <c r="F573" s="40" t="inlineStr">
        <is>
          <t>REQ-CASE-DOCUMENTS-570</t>
        </is>
      </c>
      <c r="G573" s="40" t="inlineStr">
        <is>
          <t>Use case testing</t>
        </is>
      </c>
      <c r="H573" s="40" t="inlineStr">
        <is>
          <t>TB</t>
        </is>
      </c>
      <c r="I573" s="43" t="inlineStr">
        <is>
          <t>1. User đã login
2. Token JWT hợp lệ</t>
        </is>
      </c>
      <c r="J573" s="43" t="inlineStr">
        <is>
          <t>-</t>
        </is>
      </c>
      <c r="K573" s="43" t="inlineStr">
        <is>
          <t>-</t>
        </is>
      </c>
      <c r="L573" s="43" t="inlineStr">
        <is>
          <t>-</t>
        </is>
      </c>
      <c r="M573" s="43" t="inlineStr">
        <is>
          <t>-</t>
        </is>
      </c>
      <c r="N573" s="43" t="inlineStr">
        <is>
          <t>-</t>
        </is>
      </c>
      <c r="O573" s="40" t="inlineStr">
        <is>
          <t>Medium</t>
        </is>
      </c>
      <c r="P573" s="43" t="inlineStr">
        <is>
          <t>Thời gian: 143ms</t>
        </is>
      </c>
      <c r="Q573" s="40" t="inlineStr">
        <is>
          <t>Không đạt</t>
        </is>
      </c>
      <c r="R573" s="40" t="inlineStr">
        <is>
          <t>BUG-202</t>
        </is>
      </c>
      <c r="S573" s="40" t="inlineStr">
        <is>
          <t>23/05/2026 19:06</t>
        </is>
      </c>
      <c r="T573" s="43" t="inlineStr">
        <is>
          <t>R1:Không đạt</t>
        </is>
      </c>
      <c r="U573" s="40" t="inlineStr"/>
      <c r="V573" s="43" t="inlineStr"/>
    </row>
    <row r="574" ht="80" customHeight="1">
      <c r="A574" s="40" t="inlineStr">
        <is>
          <t>TC-571</t>
        </is>
      </c>
      <c r="B574" s="45" t="inlineStr">
        <is>
          <t>RED</t>
        </is>
      </c>
      <c r="C574" s="42" t="inlineStr">
        <is>
          <t>P0</t>
        </is>
      </c>
      <c r="D574" s="43" t="inlineStr">
        <is>
          <t>Documents</t>
        </is>
      </c>
      <c r="E574" s="43" t="inlineStr">
        <is>
          <t>Multi-file upload (nếu hỗ trợ) — concurrent</t>
        </is>
      </c>
      <c r="F574" s="40" t="inlineStr">
        <is>
          <t>REQ-CASE-DOCUMENTS-571</t>
        </is>
      </c>
      <c r="G574" s="40" t="inlineStr">
        <is>
          <t>Use case testing</t>
        </is>
      </c>
      <c r="H574" s="40" t="inlineStr">
        <is>
          <t>Cao</t>
        </is>
      </c>
      <c r="I574" s="43" t="inlineStr">
        <is>
          <t>1. User đã login
2. Token JWT hợp lệ</t>
        </is>
      </c>
      <c r="J574" s="43" t="inlineStr">
        <is>
          <t>POST 5 file cùng lúc</t>
        </is>
      </c>
      <c r="K574" s="43" t="inlineStr">
        <is>
          <t>-</t>
        </is>
      </c>
      <c r="L574" s="43" t="inlineStr">
        <is>
          <t>-</t>
        </is>
      </c>
      <c r="M574" s="43" t="inlineStr">
        <is>
          <t>201 cho mỗi</t>
        </is>
      </c>
      <c r="N574" s="43" t="inlineStr">
        <is>
          <t>-</t>
        </is>
      </c>
      <c r="O574" s="40" t="inlineStr">
        <is>
          <t>Medium</t>
        </is>
      </c>
      <c r="P574" s="43" t="inlineStr">
        <is>
          <t>Thời gian: 133ms</t>
        </is>
      </c>
      <c r="Q574" s="40" t="inlineStr">
        <is>
          <t>Không đạt</t>
        </is>
      </c>
      <c r="R574" s="40" t="inlineStr">
        <is>
          <t>BUG-203</t>
        </is>
      </c>
      <c r="S574" s="40" t="inlineStr">
        <is>
          <t>23/05/2026 19:06</t>
        </is>
      </c>
      <c r="T574" s="43" t="inlineStr">
        <is>
          <t>R1:Không đạt</t>
        </is>
      </c>
      <c r="U574" s="40" t="inlineStr"/>
      <c r="V574" s="43" t="inlineStr"/>
    </row>
    <row r="575" ht="80" customHeight="1">
      <c r="A575" s="40" t="inlineStr">
        <is>
          <t>TC-572</t>
        </is>
      </c>
      <c r="B575" s="45" t="inlineStr">
        <is>
          <t>RED</t>
        </is>
      </c>
      <c r="C575" s="44" t="inlineStr">
        <is>
          <t>P1</t>
        </is>
      </c>
      <c r="D575" s="43" t="inlineStr">
        <is>
          <t>Documents</t>
        </is>
      </c>
      <c r="E575" s="43" t="inlineStr">
        <is>
          <t>File trùng tên (cùng originalName) → vẫn lưu (fileName generated unique)</t>
        </is>
      </c>
      <c r="F575" s="40" t="inlineStr">
        <is>
          <t>REQ-CASE-DOCUMENTS-572</t>
        </is>
      </c>
      <c r="G575" s="40" t="inlineStr">
        <is>
          <t>Use case testing</t>
        </is>
      </c>
      <c r="H575" s="40" t="inlineStr">
        <is>
          <t>TB</t>
        </is>
      </c>
      <c r="I575" s="43" t="inlineStr">
        <is>
          <t>1. User đã login
2. Token JWT hợp lệ</t>
        </is>
      </c>
      <c r="J575" s="43" t="inlineStr">
        <is>
          <t>POST 2 file cùng tên</t>
        </is>
      </c>
      <c r="K575" s="43" t="inlineStr">
        <is>
          <t>-</t>
        </is>
      </c>
      <c r="L575" s="43" t="inlineStr">
        <is>
          <t>-</t>
        </is>
      </c>
      <c r="M575" s="43" t="inlineStr">
        <is>
          <t>2x201 với fileName khác</t>
        </is>
      </c>
      <c r="N575" s="43" t="inlineStr">
        <is>
          <t>-</t>
        </is>
      </c>
      <c r="O575" s="40" t="inlineStr">
        <is>
          <t>Medium</t>
        </is>
      </c>
      <c r="P575" s="43" t="inlineStr">
        <is>
          <t>Thời gian: 130ms</t>
        </is>
      </c>
      <c r="Q575" s="40" t="inlineStr">
        <is>
          <t>Không đạt</t>
        </is>
      </c>
      <c r="R575" s="40" t="inlineStr">
        <is>
          <t>BUG-204</t>
        </is>
      </c>
      <c r="S575" s="40" t="inlineStr">
        <is>
          <t>23/05/2026 19:06</t>
        </is>
      </c>
      <c r="T575" s="43" t="inlineStr">
        <is>
          <t>R1:Không đạt</t>
        </is>
      </c>
      <c r="U575" s="40" t="inlineStr"/>
      <c r="V575" s="43" t="inlineStr"/>
    </row>
    <row r="576" ht="80" customHeight="1">
      <c r="A576" s="40" t="inlineStr">
        <is>
          <t>TC-573</t>
        </is>
      </c>
      <c r="B576" s="56" t="inlineStr">
        <is>
          <t>INTEGRATION</t>
        </is>
      </c>
      <c r="C576" s="42" t="inlineStr">
        <is>
          <t>P0</t>
        </is>
      </c>
      <c r="D576" s="43" t="inlineStr">
        <is>
          <t>Documents</t>
        </is>
      </c>
      <c r="E576" s="43" t="inlineStr">
        <is>
          <t>Delete Case bị block khi có Document linked</t>
        </is>
      </c>
      <c r="F576" s="40" t="inlineStr">
        <is>
          <t>REQ-CASE-DOCUMENTS-573</t>
        </is>
      </c>
      <c r="G576" s="40" t="inlineStr">
        <is>
          <t>Use case testing</t>
        </is>
      </c>
      <c r="H576" s="40" t="inlineStr">
        <is>
          <t>Cao</t>
        </is>
      </c>
      <c r="I576" s="43" t="inlineStr">
        <is>
          <t>1. User đã login
2. Token JWT hợp lệ</t>
        </is>
      </c>
      <c r="J576" s="43" t="inlineStr">
        <is>
          <t>DELETE Case</t>
        </is>
      </c>
      <c r="K576" s="43" t="inlineStr">
        <is>
          <t>-</t>
        </is>
      </c>
      <c r="L576" s="43" t="inlineStr">
        <is>
          <t>'Không thể xóa: vụ án có 3 tài liệu đính kèm'</t>
        </is>
      </c>
      <c r="M576" s="43" t="inlineStr">
        <is>
          <t>400</t>
        </is>
      </c>
      <c r="N576" s="43" t="inlineStr">
        <is>
          <t>-</t>
        </is>
      </c>
      <c r="O576" s="40" t="inlineStr">
        <is>
          <t>High</t>
        </is>
      </c>
      <c r="P576" s="43" t="inlineStr">
        <is>
          <t>Thời gian: 119ms</t>
        </is>
      </c>
      <c r="Q576" s="40" t="inlineStr">
        <is>
          <t>Không đạt</t>
        </is>
      </c>
      <c r="R576" s="40" t="inlineStr">
        <is>
          <t>BUG-205</t>
        </is>
      </c>
      <c r="S576" s="40" t="inlineStr">
        <is>
          <t>23/05/2026 19:06</t>
        </is>
      </c>
      <c r="T576" s="43" t="inlineStr">
        <is>
          <t>R1:Không đạt</t>
        </is>
      </c>
      <c r="U576" s="40" t="inlineStr"/>
      <c r="V576" s="43" t="inlineStr"/>
    </row>
    <row r="577" ht="80" customHeight="1">
      <c r="A577" s="40" t="inlineStr">
        <is>
          <t>TC-574</t>
        </is>
      </c>
      <c r="B577" s="41" t="inlineStr">
        <is>
          <t>GREEN</t>
        </is>
      </c>
      <c r="C577" s="44" t="inlineStr">
        <is>
          <t>P1</t>
        </is>
      </c>
      <c r="D577" s="43" t="inlineStr">
        <is>
          <t>Documents</t>
        </is>
      </c>
      <c r="E577" s="43" t="inlineStr">
        <is>
          <t>Filter documentType=COURT_DECISION</t>
        </is>
      </c>
      <c r="F577" s="40" t="inlineStr">
        <is>
          <t>REQ-CASE-DOCUMENTS-574</t>
        </is>
      </c>
      <c r="G577" s="40" t="inlineStr">
        <is>
          <t>Use case testing</t>
        </is>
      </c>
      <c r="H577" s="40" t="inlineStr">
        <is>
          <t>TB</t>
        </is>
      </c>
      <c r="I577" s="43" t="inlineStr">
        <is>
          <t>1. User đã login
2. Token JWT hợp lệ</t>
        </is>
      </c>
      <c r="J577" s="43" t="inlineStr">
        <is>
          <t>GET ?documentType=COURT_DECISION</t>
        </is>
      </c>
      <c r="K577" s="43" t="inlineStr">
        <is>
          <t>-</t>
        </is>
      </c>
      <c r="L577" s="43" t="inlineStr">
        <is>
          <t>-</t>
        </is>
      </c>
      <c r="M577" s="43" t="inlineStr">
        <is>
          <t>200</t>
        </is>
      </c>
      <c r="N577" s="43" t="inlineStr">
        <is>
          <t>-</t>
        </is>
      </c>
      <c r="O577" s="40" t="inlineStr">
        <is>
          <t>Medium</t>
        </is>
      </c>
      <c r="P577" s="43" t="inlineStr">
        <is>
          <t>Thời gian: 137ms</t>
        </is>
      </c>
      <c r="Q577" s="40" t="inlineStr">
        <is>
          <t>Không đạt</t>
        </is>
      </c>
      <c r="R577" s="40" t="inlineStr">
        <is>
          <t>BUG-206</t>
        </is>
      </c>
      <c r="S577" s="40" t="inlineStr">
        <is>
          <t>23/05/2026 19:06</t>
        </is>
      </c>
      <c r="T577" s="43" t="inlineStr">
        <is>
          <t>R1:Không đạt</t>
        </is>
      </c>
      <c r="U577" s="40" t="inlineStr"/>
      <c r="V577" s="43" t="inlineStr"/>
    </row>
    <row r="578" ht="80" customHeight="1">
      <c r="A578" s="40" t="inlineStr">
        <is>
          <t>TC-575</t>
        </is>
      </c>
      <c r="B578" s="41" t="inlineStr">
        <is>
          <t>GREEN</t>
        </is>
      </c>
      <c r="C578" s="44" t="inlineStr">
        <is>
          <t>P1</t>
        </is>
      </c>
      <c r="D578" s="43" t="inlineStr">
        <is>
          <t>Documents</t>
        </is>
      </c>
      <c r="E578" s="43" t="inlineStr">
        <is>
          <t>Filter by uploadedById</t>
        </is>
      </c>
      <c r="F578" s="40" t="inlineStr">
        <is>
          <t>REQ-CASE-DOCUMENTS-575</t>
        </is>
      </c>
      <c r="G578" s="40" t="inlineStr">
        <is>
          <t>Use case testing</t>
        </is>
      </c>
      <c r="H578" s="40" t="inlineStr">
        <is>
          <t>TB</t>
        </is>
      </c>
      <c r="I578" s="43" t="inlineStr">
        <is>
          <t>1. User đã login
2. Token JWT hợp lệ</t>
        </is>
      </c>
      <c r="J578" s="43" t="inlineStr">
        <is>
          <t>GET ?uploadedById=&lt;userId&gt;</t>
        </is>
      </c>
      <c r="K578" s="43" t="inlineStr">
        <is>
          <t>-</t>
        </is>
      </c>
      <c r="L578" s="43" t="inlineStr">
        <is>
          <t>-</t>
        </is>
      </c>
      <c r="M578" s="43" t="inlineStr">
        <is>
          <t>200</t>
        </is>
      </c>
      <c r="N578" s="43" t="inlineStr">
        <is>
          <t>-</t>
        </is>
      </c>
      <c r="O578" s="40" t="inlineStr">
        <is>
          <t>Low</t>
        </is>
      </c>
      <c r="P578" s="43" t="inlineStr">
        <is>
          <t>Thời gian: 192ms</t>
        </is>
      </c>
      <c r="Q578" s="40" t="inlineStr">
        <is>
          <t>Không đạt</t>
        </is>
      </c>
      <c r="R578" s="40" t="inlineStr">
        <is>
          <t>BUG-207</t>
        </is>
      </c>
      <c r="S578" s="40" t="inlineStr">
        <is>
          <t>23/05/2026 19:06</t>
        </is>
      </c>
      <c r="T578" s="43" t="inlineStr">
        <is>
          <t>R1:Không đạt</t>
        </is>
      </c>
      <c r="U578" s="40" t="inlineStr"/>
      <c r="V578" s="43" t="inlineStr"/>
    </row>
    <row r="579" ht="80" customHeight="1">
      <c r="A579" s="40" t="inlineStr">
        <is>
          <t>TC-576</t>
        </is>
      </c>
      <c r="B579" s="45" t="inlineStr">
        <is>
          <t>RED</t>
        </is>
      </c>
      <c r="C579" s="42" t="inlineStr">
        <is>
          <t>P0</t>
        </is>
      </c>
      <c r="D579" s="43" t="inlineStr">
        <is>
          <t>Documents</t>
        </is>
      </c>
      <c r="E579" s="43" t="inlineStr">
        <is>
          <t>VIEWER không có write/Document → 403 POST</t>
        </is>
      </c>
      <c r="F579" s="40" t="inlineStr">
        <is>
          <t>REQ-CASE-DOCUMENTS-576</t>
        </is>
      </c>
      <c r="G579" s="40" t="inlineStr">
        <is>
          <t>Use case testing</t>
        </is>
      </c>
      <c r="H579" s="40" t="inlineStr">
        <is>
          <t>Cao</t>
        </is>
      </c>
      <c r="I579" s="43" t="inlineStr">
        <is>
          <t>1. User đã login
2. Token JWT hợp lệ</t>
        </is>
      </c>
      <c r="J579" s="43" t="inlineStr">
        <is>
          <t>-</t>
        </is>
      </c>
      <c r="K579" s="43" t="inlineStr">
        <is>
          <t>-</t>
        </is>
      </c>
      <c r="L579" s="43" t="inlineStr">
        <is>
          <t>-</t>
        </is>
      </c>
      <c r="M579" s="43" t="inlineStr">
        <is>
          <t>403</t>
        </is>
      </c>
      <c r="N579" s="43" t="inlineStr">
        <is>
          <t>-</t>
        </is>
      </c>
      <c r="O579" s="40" t="inlineStr">
        <is>
          <t>High</t>
        </is>
      </c>
      <c r="P579" s="43" t="inlineStr">
        <is>
          <t>Đạt như expected. Thời gian: 87ms</t>
        </is>
      </c>
      <c r="Q579" s="40" t="inlineStr">
        <is>
          <t>Đạt</t>
        </is>
      </c>
      <c r="R579" s="40" t="inlineStr"/>
      <c r="S579" s="40" t="inlineStr">
        <is>
          <t>23/05/2026 19:06</t>
        </is>
      </c>
      <c r="T579" s="43" t="inlineStr">
        <is>
          <t>R1:Đạt</t>
        </is>
      </c>
      <c r="U579" s="40" t="inlineStr"/>
      <c r="V579" s="43" t="inlineStr"/>
    </row>
    <row r="580" ht="80" customHeight="1">
      <c r="A580" s="40" t="inlineStr">
        <is>
          <t>TC-577</t>
        </is>
      </c>
      <c r="B580" s="45" t="inlineStr">
        <is>
          <t>RED</t>
        </is>
      </c>
      <c r="C580" s="42" t="inlineStr">
        <is>
          <t>P0</t>
        </is>
      </c>
      <c r="D580" s="43" t="inlineStr">
        <is>
          <t>Documents</t>
        </is>
      </c>
      <c r="E580" s="43" t="inlineStr">
        <is>
          <t>JWT thiếu POST → 401</t>
        </is>
      </c>
      <c r="F580" s="40" t="inlineStr">
        <is>
          <t>REQ-CASE-DOCUMENTS-577</t>
        </is>
      </c>
      <c r="G580" s="40" t="inlineStr">
        <is>
          <t>Use case testing</t>
        </is>
      </c>
      <c r="H580" s="40" t="inlineStr">
        <is>
          <t>Cao</t>
        </is>
      </c>
      <c r="I580" s="43" t="inlineStr">
        <is>
          <t>1. User đã login
2. Token JWT hợp lệ</t>
        </is>
      </c>
      <c r="J580" s="43" t="inlineStr">
        <is>
          <t>-</t>
        </is>
      </c>
      <c r="K580" s="43" t="inlineStr">
        <is>
          <t>-</t>
        </is>
      </c>
      <c r="L580" s="43" t="inlineStr">
        <is>
          <t>-</t>
        </is>
      </c>
      <c r="M580" s="43" t="inlineStr">
        <is>
          <t>401</t>
        </is>
      </c>
      <c r="N580" s="43" t="inlineStr">
        <is>
          <t>-</t>
        </is>
      </c>
      <c r="O580" s="40" t="inlineStr">
        <is>
          <t>High</t>
        </is>
      </c>
      <c r="P580" s="43" t="inlineStr">
        <is>
          <t>Đạt như expected. Thời gian: 55ms</t>
        </is>
      </c>
      <c r="Q580" s="40" t="inlineStr">
        <is>
          <t>Đạt</t>
        </is>
      </c>
      <c r="R580" s="40" t="inlineStr"/>
      <c r="S580" s="40" t="inlineStr">
        <is>
          <t>23/05/2026 19:06</t>
        </is>
      </c>
      <c r="T580" s="43" t="inlineStr">
        <is>
          <t>R1:Đạt</t>
        </is>
      </c>
      <c r="U580" s="40" t="inlineStr"/>
      <c r="V580" s="43" t="inlineStr"/>
    </row>
    <row r="581" ht="80" customHeight="1">
      <c r="A581" s="40" t="inlineStr">
        <is>
          <t>TC-578</t>
        </is>
      </c>
      <c r="B581" s="47" t="inlineStr">
        <is>
          <t>SECURITY</t>
        </is>
      </c>
      <c r="C581" s="44" t="inlineStr">
        <is>
          <t>P1</t>
        </is>
      </c>
      <c r="D581" s="43" t="inlineStr">
        <is>
          <t>Documents</t>
        </is>
      </c>
      <c r="E581" s="43" t="inlineStr">
        <is>
          <t>Content-Sniffing: response header X-Content-Type-Options: nosniff</t>
        </is>
      </c>
      <c r="F581" s="40" t="inlineStr">
        <is>
          <t>REQ-CASE-DOCUMENTS-578</t>
        </is>
      </c>
      <c r="G581" s="40" t="inlineStr">
        <is>
          <t>Use case testing</t>
        </is>
      </c>
      <c r="H581" s="40" t="inlineStr">
        <is>
          <t>TB</t>
        </is>
      </c>
      <c r="I581" s="43" t="inlineStr">
        <is>
          <t>1. User đã login
2. Token JWT hợp lệ</t>
        </is>
      </c>
      <c r="J581" s="43" t="inlineStr">
        <is>
          <t>GET download</t>
        </is>
      </c>
      <c r="K581" s="43" t="inlineStr">
        <is>
          <t>-</t>
        </is>
      </c>
      <c r="L581" s="43" t="inlineStr">
        <is>
          <t>-</t>
        </is>
      </c>
      <c r="M581" s="43" t="inlineStr">
        <is>
          <t>Header present</t>
        </is>
      </c>
      <c r="N581" s="43" t="inlineStr">
        <is>
          <t>-</t>
        </is>
      </c>
      <c r="O581" s="40" t="inlineStr">
        <is>
          <t>High</t>
        </is>
      </c>
      <c r="P581" s="43" t="inlineStr">
        <is>
          <t>Thời gian: 107ms</t>
        </is>
      </c>
      <c r="Q581" s="40" t="inlineStr">
        <is>
          <t>Không đạt</t>
        </is>
      </c>
      <c r="R581" s="40" t="inlineStr">
        <is>
          <t>BUG-208</t>
        </is>
      </c>
      <c r="S581" s="40" t="inlineStr">
        <is>
          <t>23/05/2026 19:06</t>
        </is>
      </c>
      <c r="T581" s="43" t="inlineStr">
        <is>
          <t>R1:Không đạt</t>
        </is>
      </c>
      <c r="U581" s="40" t="inlineStr"/>
      <c r="V581" s="43" t="inlineStr"/>
    </row>
    <row r="582" ht="80" customHeight="1">
      <c r="A582" s="40" t="inlineStr">
        <is>
          <t>TC-579</t>
        </is>
      </c>
      <c r="B582" s="52" t="inlineStr">
        <is>
          <t>DATA</t>
        </is>
      </c>
      <c r="C582" s="44" t="inlineStr">
        <is>
          <t>P1</t>
        </is>
      </c>
      <c r="D582" s="43" t="inlineStr">
        <is>
          <t>Documents</t>
        </is>
      </c>
      <c r="E582" s="43" t="inlineStr">
        <is>
          <t>mimeType validate against extension consistency</t>
        </is>
      </c>
      <c r="F582" s="40" t="inlineStr">
        <is>
          <t>REQ-CASE-DOCUMENTS-579</t>
        </is>
      </c>
      <c r="G582" s="40" t="inlineStr">
        <is>
          <t>Use case testing</t>
        </is>
      </c>
      <c r="H582" s="40" t="inlineStr">
        <is>
          <t>TB</t>
        </is>
      </c>
      <c r="I582" s="43" t="inlineStr">
        <is>
          <t>1. User đã login
2. Token JWT hợp lệ</t>
        </is>
      </c>
      <c r="J582" s="43" t="inlineStr">
        <is>
          <t>POST .pdf với mimeType=image/png</t>
        </is>
      </c>
      <c r="K582" s="43" t="inlineStr">
        <is>
          <t>-</t>
        </is>
      </c>
      <c r="L582" s="43" t="inlineStr">
        <is>
          <t>-</t>
        </is>
      </c>
      <c r="M582" s="43" t="inlineStr">
        <is>
          <t>201 raw (gap)</t>
        </is>
      </c>
      <c r="N582" s="43" t="inlineStr">
        <is>
          <t>-</t>
        </is>
      </c>
      <c r="O582" s="40" t="inlineStr">
        <is>
          <t>Medium</t>
        </is>
      </c>
      <c r="P582" s="43" t="inlineStr">
        <is>
          <t>Thời gian: 126ms</t>
        </is>
      </c>
      <c r="Q582" s="40" t="inlineStr">
        <is>
          <t>Không đạt</t>
        </is>
      </c>
      <c r="R582" s="40" t="inlineStr">
        <is>
          <t>BUG-209</t>
        </is>
      </c>
      <c r="S582" s="40" t="inlineStr">
        <is>
          <t>23/05/2026 19:06</t>
        </is>
      </c>
      <c r="T582" s="43" t="inlineStr">
        <is>
          <t>R1:Không đạt</t>
        </is>
      </c>
      <c r="U582" s="40" t="inlineStr"/>
      <c r="V582" s="43" t="inlineStr"/>
    </row>
    <row r="583" ht="80" customHeight="1">
      <c r="A583" s="40" t="inlineStr">
        <is>
          <t>TC-580</t>
        </is>
      </c>
      <c r="B583" s="56" t="inlineStr">
        <is>
          <t>INTEGRATION</t>
        </is>
      </c>
      <c r="C583" s="44" t="inlineStr">
        <is>
          <t>P1</t>
        </is>
      </c>
      <c r="D583" s="43" t="inlineStr">
        <is>
          <t>Documents</t>
        </is>
      </c>
      <c r="E583" s="43" t="inlineStr">
        <is>
          <t>Document gắn cả Subject (nếu schema cho phép)</t>
        </is>
      </c>
      <c r="F583" s="40" t="inlineStr">
        <is>
          <t>REQ-CASE-DOCUMENTS-580</t>
        </is>
      </c>
      <c r="G583" s="40" t="inlineStr">
        <is>
          <t>Use case testing</t>
        </is>
      </c>
      <c r="H583" s="40" t="inlineStr">
        <is>
          <t>TB</t>
        </is>
      </c>
      <c r="I583" s="43" t="inlineStr">
        <is>
          <t>1. User đã login
2. Token JWT hợp lệ</t>
        </is>
      </c>
      <c r="J583" s="43" t="inlineStr">
        <is>
          <t>-</t>
        </is>
      </c>
      <c r="K583" s="43" t="inlineStr">
        <is>
          <t>-</t>
        </is>
      </c>
      <c r="L583" s="43" t="inlineStr">
        <is>
          <t>-</t>
        </is>
      </c>
      <c r="M583" s="43" t="inlineStr">
        <is>
          <t>-</t>
        </is>
      </c>
      <c r="N583" s="43" t="inlineStr">
        <is>
          <t>-</t>
        </is>
      </c>
      <c r="O583" s="40" t="inlineStr">
        <is>
          <t>Low</t>
        </is>
      </c>
      <c r="P583" s="43" t="inlineStr">
        <is>
          <t>Thời gian: 187ms</t>
        </is>
      </c>
      <c r="Q583" s="40" t="inlineStr">
        <is>
          <t>Không đạt</t>
        </is>
      </c>
      <c r="R583" s="40" t="inlineStr">
        <is>
          <t>BUG-210</t>
        </is>
      </c>
      <c r="S583" s="40" t="inlineStr">
        <is>
          <t>23/05/2026 19:06</t>
        </is>
      </c>
      <c r="T583" s="43" t="inlineStr">
        <is>
          <t>R1:Không đạt</t>
        </is>
      </c>
      <c r="U583" s="40" t="inlineStr"/>
      <c r="V583" s="43" t="inlineStr">
        <is>
          <t>Check schema if Document.subjectId exists</t>
        </is>
      </c>
    </row>
    <row r="584" ht="80" customHeight="1">
      <c r="A584" s="40" t="inlineStr">
        <is>
          <t>TC-581</t>
        </is>
      </c>
      <c r="B584" s="41" t="inlineStr">
        <is>
          <t>GREEN</t>
        </is>
      </c>
      <c r="C584" s="42" t="inlineStr">
        <is>
          <t>P0</t>
        </is>
      </c>
      <c r="D584" s="43" t="inlineStr">
        <is>
          <t>Proposals</t>
        </is>
      </c>
      <c r="E584" s="43" t="inlineStr">
        <is>
          <t>Tạo Proposal với proposalNumber + content</t>
        </is>
      </c>
      <c r="F584" s="40" t="inlineStr">
        <is>
          <t>REQ-CASE-PROPOSALS-581</t>
        </is>
      </c>
      <c r="G584" s="40" t="inlineStr">
        <is>
          <t>Use case testing</t>
        </is>
      </c>
      <c r="H584" s="40" t="inlineStr">
        <is>
          <t>Cao</t>
        </is>
      </c>
      <c r="I584" s="43" t="inlineStr">
        <is>
          <t>1. User đã login
2. Token JWT hợp lệ</t>
        </is>
      </c>
      <c r="J584" s="43" t="inlineStr">
        <is>
          <t>POST /api/proposals {proposalNumber:'DX-2026-001', relatedCaseId, content, unit}</t>
        </is>
      </c>
      <c r="K584" s="43" t="inlineStr">
        <is>
          <t>-</t>
        </is>
      </c>
      <c r="L584" s="43" t="inlineStr">
        <is>
          <t>Success</t>
        </is>
      </c>
      <c r="M584" s="43" t="inlineStr">
        <is>
          <t>201</t>
        </is>
      </c>
      <c r="N584" s="43" t="inlineStr">
        <is>
          <t>-</t>
        </is>
      </c>
      <c r="O584" s="40" t="inlineStr">
        <is>
          <t>High</t>
        </is>
      </c>
      <c r="P584" s="43" t="inlineStr">
        <is>
          <t>Đạt như expected. Thời gian: 94ms</t>
        </is>
      </c>
      <c r="Q584" s="40" t="inlineStr">
        <is>
          <t>Đạt</t>
        </is>
      </c>
      <c r="R584" s="40" t="inlineStr"/>
      <c r="S584" s="40" t="inlineStr">
        <is>
          <t>23/05/2026 19:06</t>
        </is>
      </c>
      <c r="T584" s="43" t="inlineStr">
        <is>
          <t>R1:Đạt</t>
        </is>
      </c>
      <c r="U584" s="40" t="inlineStr"/>
      <c r="V584" s="43" t="inlineStr"/>
    </row>
    <row r="585" ht="80" customHeight="1">
      <c r="A585" s="40" t="inlineStr">
        <is>
          <t>TC-582</t>
        </is>
      </c>
      <c r="B585" s="45" t="inlineStr">
        <is>
          <t>RED</t>
        </is>
      </c>
      <c r="C585" s="42" t="inlineStr">
        <is>
          <t>P0</t>
        </is>
      </c>
      <c r="D585" s="43" t="inlineStr">
        <is>
          <t>Proposals</t>
        </is>
      </c>
      <c r="E585" s="43" t="inlineStr">
        <is>
          <t>proposalNumber rỗng → 400</t>
        </is>
      </c>
      <c r="F585" s="40" t="inlineStr">
        <is>
          <t>REQ-CASE-PROPOSALS-582</t>
        </is>
      </c>
      <c r="G585" s="40" t="inlineStr">
        <is>
          <t>Use case testing</t>
        </is>
      </c>
      <c r="H585" s="40" t="inlineStr">
        <is>
          <t>Cao</t>
        </is>
      </c>
      <c r="I585" s="43" t="inlineStr">
        <is>
          <t>1. User đã login
2. Token JWT hợp lệ</t>
        </is>
      </c>
      <c r="J585" s="43" t="inlineStr">
        <is>
          <t>POST proposalNumber=''</t>
        </is>
      </c>
      <c r="K585" s="43" t="inlineStr">
        <is>
          <t>-</t>
        </is>
      </c>
      <c r="L585" s="43" t="inlineStr">
        <is>
          <t>-</t>
        </is>
      </c>
      <c r="M585" s="43" t="inlineStr">
        <is>
          <t>400</t>
        </is>
      </c>
      <c r="N585" s="43" t="inlineStr">
        <is>
          <t>-</t>
        </is>
      </c>
      <c r="O585" s="40" t="inlineStr">
        <is>
          <t>High</t>
        </is>
      </c>
      <c r="P585" s="43" t="inlineStr">
        <is>
          <t>Thời gian: 98ms</t>
        </is>
      </c>
      <c r="Q585" s="40" t="inlineStr">
        <is>
          <t>Không đạt</t>
        </is>
      </c>
      <c r="R585" s="40" t="inlineStr">
        <is>
          <t>BUG-357</t>
        </is>
      </c>
      <c r="S585" s="40" t="inlineStr">
        <is>
          <t>23/05/2026 19:06</t>
        </is>
      </c>
      <c r="T585" s="43" t="inlineStr">
        <is>
          <t>R1:Không đạt</t>
        </is>
      </c>
      <c r="U585" s="40" t="inlineStr"/>
      <c r="V585" s="43" t="inlineStr"/>
    </row>
    <row r="586" ht="80" customHeight="1">
      <c r="A586" s="40" t="inlineStr">
        <is>
          <t>TC-583</t>
        </is>
      </c>
      <c r="B586" s="45" t="inlineStr">
        <is>
          <t>RED</t>
        </is>
      </c>
      <c r="C586" s="42" t="inlineStr">
        <is>
          <t>P0</t>
        </is>
      </c>
      <c r="D586" s="43" t="inlineStr">
        <is>
          <t>Proposals</t>
        </is>
      </c>
      <c r="E586" s="43" t="inlineStr">
        <is>
          <t>content rỗng → 400</t>
        </is>
      </c>
      <c r="F586" s="40" t="inlineStr">
        <is>
          <t>REQ-CASE-PROPOSALS-583</t>
        </is>
      </c>
      <c r="G586" s="40" t="inlineStr">
        <is>
          <t>Use case testing</t>
        </is>
      </c>
      <c r="H586" s="40" t="inlineStr">
        <is>
          <t>Cao</t>
        </is>
      </c>
      <c r="I586" s="43" t="inlineStr">
        <is>
          <t>1. User đã login
2. Token JWT hợp lệ</t>
        </is>
      </c>
      <c r="J586" s="43" t="inlineStr">
        <is>
          <t>POST content=''</t>
        </is>
      </c>
      <c r="K586" s="43" t="inlineStr">
        <is>
          <t>-</t>
        </is>
      </c>
      <c r="L586" s="43" t="inlineStr">
        <is>
          <t>-</t>
        </is>
      </c>
      <c r="M586" s="43" t="inlineStr">
        <is>
          <t>400</t>
        </is>
      </c>
      <c r="N586" s="43" t="inlineStr">
        <is>
          <t>-</t>
        </is>
      </c>
      <c r="O586" s="40" t="inlineStr">
        <is>
          <t>High</t>
        </is>
      </c>
      <c r="P586" s="43" t="inlineStr">
        <is>
          <t>Thời gian: 176ms</t>
        </is>
      </c>
      <c r="Q586" s="40" t="inlineStr">
        <is>
          <t>Không đạt</t>
        </is>
      </c>
      <c r="R586" s="40" t="inlineStr">
        <is>
          <t>BUG-358</t>
        </is>
      </c>
      <c r="S586" s="40" t="inlineStr">
        <is>
          <t>23/05/2026 19:06</t>
        </is>
      </c>
      <c r="T586" s="43" t="inlineStr">
        <is>
          <t>R1:Không đạt</t>
        </is>
      </c>
      <c r="U586" s="40" t="inlineStr"/>
      <c r="V586" s="43" t="inlineStr"/>
    </row>
    <row r="587" ht="80" customHeight="1">
      <c r="A587" s="40" t="inlineStr">
        <is>
          <t>TC-584</t>
        </is>
      </c>
      <c r="B587" s="45" t="inlineStr">
        <is>
          <t>RED</t>
        </is>
      </c>
      <c r="C587" s="42" t="inlineStr">
        <is>
          <t>P0</t>
        </is>
      </c>
      <c r="D587" s="43" t="inlineStr">
        <is>
          <t>Proposals</t>
        </is>
      </c>
      <c r="E587" s="43" t="inlineStr">
        <is>
          <t>proposalNumber duplicate → 409 unique</t>
        </is>
      </c>
      <c r="F587" s="40" t="inlineStr">
        <is>
          <t>REQ-CASE-PROPOSALS-584</t>
        </is>
      </c>
      <c r="G587" s="40" t="inlineStr">
        <is>
          <t>Use case testing</t>
        </is>
      </c>
      <c r="H587" s="40" t="inlineStr">
        <is>
          <t>Cao</t>
        </is>
      </c>
      <c r="I587" s="43" t="inlineStr">
        <is>
          <t>1. User đã login
2. Token JWT hợp lệ</t>
        </is>
      </c>
      <c r="J587" s="43" t="inlineStr">
        <is>
          <t>POST 2 lần cùng proposalNumber</t>
        </is>
      </c>
      <c r="K587" s="43" t="inlineStr">
        <is>
          <t>-</t>
        </is>
      </c>
      <c r="L587" s="43" t="inlineStr">
        <is>
          <t>-</t>
        </is>
      </c>
      <c r="M587" s="43" t="inlineStr">
        <is>
          <t>409 hoặc 400</t>
        </is>
      </c>
      <c r="N587" s="43" t="inlineStr">
        <is>
          <t>-</t>
        </is>
      </c>
      <c r="O587" s="40" t="inlineStr">
        <is>
          <t>High</t>
        </is>
      </c>
      <c r="P587" s="43" t="inlineStr">
        <is>
          <t>Thời gian: 180ms</t>
        </is>
      </c>
      <c r="Q587" s="40" t="inlineStr">
        <is>
          <t>Không đạt</t>
        </is>
      </c>
      <c r="R587" s="40" t="inlineStr">
        <is>
          <t>BUG-359</t>
        </is>
      </c>
      <c r="S587" s="40" t="inlineStr">
        <is>
          <t>23/05/2026 19:06</t>
        </is>
      </c>
      <c r="T587" s="43" t="inlineStr">
        <is>
          <t>R1:Không đạt</t>
        </is>
      </c>
      <c r="U587" s="40" t="inlineStr"/>
      <c r="V587" s="43" t="inlineStr">
        <is>
          <t>Verify unique constraint</t>
        </is>
      </c>
    </row>
    <row r="588" ht="80" customHeight="1">
      <c r="A588" s="40" t="inlineStr">
        <is>
          <t>TC-585</t>
        </is>
      </c>
      <c r="B588" s="41" t="inlineStr">
        <is>
          <t>GREEN</t>
        </is>
      </c>
      <c r="C588" s="44" t="inlineStr">
        <is>
          <t>P1</t>
        </is>
      </c>
      <c r="D588" s="43" t="inlineStr">
        <is>
          <t>Proposals</t>
        </is>
      </c>
      <c r="E588" s="43" t="inlineStr">
        <is>
          <t>relatedCaseId optional bỏ trống (general proposal)</t>
        </is>
      </c>
      <c r="F588" s="40" t="inlineStr">
        <is>
          <t>REQ-CASE-PROPOSALS-585</t>
        </is>
      </c>
      <c r="G588" s="40" t="inlineStr">
        <is>
          <t>Use case testing</t>
        </is>
      </c>
      <c r="H588" s="40" t="inlineStr">
        <is>
          <t>TB</t>
        </is>
      </c>
      <c r="I588" s="43" t="inlineStr">
        <is>
          <t>1. User đã login
2. Token JWT hợp lệ</t>
        </is>
      </c>
      <c r="J588" s="43" t="inlineStr">
        <is>
          <t>POST không relatedCaseId</t>
        </is>
      </c>
      <c r="K588" s="43" t="inlineStr">
        <is>
          <t>-</t>
        </is>
      </c>
      <c r="L588" s="43" t="inlineStr">
        <is>
          <t>-</t>
        </is>
      </c>
      <c r="M588" s="43" t="inlineStr">
        <is>
          <t>201</t>
        </is>
      </c>
      <c r="N588" s="43" t="inlineStr">
        <is>
          <t>-</t>
        </is>
      </c>
      <c r="O588" s="40" t="inlineStr">
        <is>
          <t>Medium</t>
        </is>
      </c>
      <c r="P588" s="43" t="inlineStr">
        <is>
          <t>Thời gian: 128ms</t>
        </is>
      </c>
      <c r="Q588" s="40" t="inlineStr">
        <is>
          <t>Không đạt</t>
        </is>
      </c>
      <c r="R588" s="40" t="inlineStr">
        <is>
          <t>BUG-360</t>
        </is>
      </c>
      <c r="S588" s="40" t="inlineStr">
        <is>
          <t>23/05/2026 19:06</t>
        </is>
      </c>
      <c r="T588" s="43" t="inlineStr">
        <is>
          <t>R1:Không đạt</t>
        </is>
      </c>
      <c r="U588" s="40" t="inlineStr"/>
      <c r="V588" s="43" t="inlineStr"/>
    </row>
    <row r="589" ht="80" customHeight="1">
      <c r="A589" s="40" t="inlineStr">
        <is>
          <t>TC-586</t>
        </is>
      </c>
      <c r="B589" s="45" t="inlineStr">
        <is>
          <t>RED</t>
        </is>
      </c>
      <c r="C589" s="42" t="inlineStr">
        <is>
          <t>P0</t>
        </is>
      </c>
      <c r="D589" s="43" t="inlineStr">
        <is>
          <t>Proposals</t>
        </is>
      </c>
      <c r="E589" s="43" t="inlineStr">
        <is>
          <t>relatedCaseId không tồn tại → 400 FK</t>
        </is>
      </c>
      <c r="F589" s="40" t="inlineStr">
        <is>
          <t>REQ-CASE-PROPOSALS-586</t>
        </is>
      </c>
      <c r="G589" s="40" t="inlineStr">
        <is>
          <t>Use case testing</t>
        </is>
      </c>
      <c r="H589" s="40" t="inlineStr">
        <is>
          <t>Cao</t>
        </is>
      </c>
      <c r="I589" s="43" t="inlineStr">
        <is>
          <t>1. User đã login
2. Token JWT hợp lệ</t>
        </is>
      </c>
      <c r="J589" s="43" t="inlineStr">
        <is>
          <t>POST</t>
        </is>
      </c>
      <c r="K589" s="43" t="inlineStr">
        <is>
          <t>-</t>
        </is>
      </c>
      <c r="L589" s="43" t="inlineStr">
        <is>
          <t>-</t>
        </is>
      </c>
      <c r="M589" s="43" t="inlineStr">
        <is>
          <t>400</t>
        </is>
      </c>
      <c r="N589" s="43" t="inlineStr">
        <is>
          <t>-</t>
        </is>
      </c>
      <c r="O589" s="40" t="inlineStr">
        <is>
          <t>High</t>
        </is>
      </c>
      <c r="P589" s="43" t="inlineStr">
        <is>
          <t>Thời gian: 179ms</t>
        </is>
      </c>
      <c r="Q589" s="40" t="inlineStr">
        <is>
          <t>Không đạt</t>
        </is>
      </c>
      <c r="R589" s="40" t="inlineStr">
        <is>
          <t>BUG-361</t>
        </is>
      </c>
      <c r="S589" s="40" t="inlineStr">
        <is>
          <t>23/05/2026 19:06</t>
        </is>
      </c>
      <c r="T589" s="43" t="inlineStr">
        <is>
          <t>R1:Không đạt</t>
        </is>
      </c>
      <c r="U589" s="40" t="inlineStr"/>
      <c r="V589" s="43" t="inlineStr"/>
    </row>
    <row r="590" ht="80" customHeight="1">
      <c r="A590" s="40" t="inlineStr">
        <is>
          <t>TC-587</t>
        </is>
      </c>
      <c r="B590" s="41" t="inlineStr">
        <is>
          <t>GREEN</t>
        </is>
      </c>
      <c r="C590" s="42" t="inlineStr">
        <is>
          <t>P0</t>
        </is>
      </c>
      <c r="D590" s="43" t="inlineStr">
        <is>
          <t>Proposals</t>
        </is>
      </c>
      <c r="E590" s="43" t="inlineStr">
        <is>
          <t>Tạo Proposal với sentDate</t>
        </is>
      </c>
      <c r="F590" s="40" t="inlineStr">
        <is>
          <t>REQ-CASE-PROPOSALS-587</t>
        </is>
      </c>
      <c r="G590" s="40" t="inlineStr">
        <is>
          <t>Use case testing</t>
        </is>
      </c>
      <c r="H590" s="40" t="inlineStr">
        <is>
          <t>Cao</t>
        </is>
      </c>
      <c r="I590" s="43" t="inlineStr">
        <is>
          <t>1. User đã login
2. Token JWT hợp lệ</t>
        </is>
      </c>
      <c r="J590" s="43" t="inlineStr">
        <is>
          <t>POST sentDate='2026-05-23'</t>
        </is>
      </c>
      <c r="K590" s="43" t="inlineStr">
        <is>
          <t>-</t>
        </is>
      </c>
      <c r="L590" s="43" t="inlineStr">
        <is>
          <t>-</t>
        </is>
      </c>
      <c r="M590" s="43" t="inlineStr">
        <is>
          <t>201</t>
        </is>
      </c>
      <c r="N590" s="43" t="inlineStr">
        <is>
          <t>-</t>
        </is>
      </c>
      <c r="O590" s="40" t="inlineStr">
        <is>
          <t>Medium</t>
        </is>
      </c>
      <c r="P590" s="43" t="inlineStr">
        <is>
          <t>Thời gian: 268ms</t>
        </is>
      </c>
      <c r="Q590" s="40" t="inlineStr">
        <is>
          <t>Không đạt</t>
        </is>
      </c>
      <c r="R590" s="40" t="inlineStr">
        <is>
          <t>BUG-362</t>
        </is>
      </c>
      <c r="S590" s="40" t="inlineStr">
        <is>
          <t>23/05/2026 19:06</t>
        </is>
      </c>
      <c r="T590" s="43" t="inlineStr">
        <is>
          <t>R1:Không đạt</t>
        </is>
      </c>
      <c r="U590" s="40" t="inlineStr"/>
      <c r="V590" s="43" t="inlineStr"/>
    </row>
    <row r="591" ht="80" customHeight="1">
      <c r="A591" s="40" t="inlineStr">
        <is>
          <t>TC-588</t>
        </is>
      </c>
      <c r="B591" s="45" t="inlineStr">
        <is>
          <t>RED</t>
        </is>
      </c>
      <c r="C591" s="44" t="inlineStr">
        <is>
          <t>P1</t>
        </is>
      </c>
      <c r="D591" s="43" t="inlineStr">
        <is>
          <t>Proposals</t>
        </is>
      </c>
      <c r="E591" s="43" t="inlineStr">
        <is>
          <t>sentDate format invalid → 400</t>
        </is>
      </c>
      <c r="F591" s="40" t="inlineStr">
        <is>
          <t>REQ-CASE-PROPOSALS-588</t>
        </is>
      </c>
      <c r="G591" s="40" t="inlineStr">
        <is>
          <t>Use case testing</t>
        </is>
      </c>
      <c r="H591" s="40" t="inlineStr">
        <is>
          <t>TB</t>
        </is>
      </c>
      <c r="I591" s="43" t="inlineStr">
        <is>
          <t>1. User đã login
2. Token JWT hợp lệ</t>
        </is>
      </c>
      <c r="J591" s="43" t="inlineStr">
        <is>
          <t>POST sentDate='23/05/2026'</t>
        </is>
      </c>
      <c r="K591" s="43" t="inlineStr">
        <is>
          <t>-</t>
        </is>
      </c>
      <c r="L591" s="43" t="inlineStr">
        <is>
          <t>-</t>
        </is>
      </c>
      <c r="M591" s="43" t="inlineStr">
        <is>
          <t>? — verify IsDateString</t>
        </is>
      </c>
      <c r="N591" s="43" t="inlineStr">
        <is>
          <t>-</t>
        </is>
      </c>
      <c r="O591" s="40" t="inlineStr">
        <is>
          <t>Medium</t>
        </is>
      </c>
      <c r="P591" s="43" t="inlineStr">
        <is>
          <t>Thời gian: 125ms</t>
        </is>
      </c>
      <c r="Q591" s="40" t="inlineStr">
        <is>
          <t>Không đạt</t>
        </is>
      </c>
      <c r="R591" s="40" t="inlineStr">
        <is>
          <t>BUG-363</t>
        </is>
      </c>
      <c r="S591" s="40" t="inlineStr">
        <is>
          <t>23/05/2026 19:06</t>
        </is>
      </c>
      <c r="T591" s="43" t="inlineStr">
        <is>
          <t>R1:Không đạt</t>
        </is>
      </c>
      <c r="U591" s="40" t="inlineStr"/>
      <c r="V591" s="43" t="inlineStr">
        <is>
          <t>DTO dùng IsString — gap, cần IsDateString</t>
        </is>
      </c>
    </row>
    <row r="592" ht="80" customHeight="1">
      <c r="A592" s="40" t="inlineStr">
        <is>
          <t>TC-589</t>
        </is>
      </c>
      <c r="B592" s="41" t="inlineStr">
        <is>
          <t>GREEN</t>
        </is>
      </c>
      <c r="C592" s="42" t="inlineStr">
        <is>
          <t>P0</t>
        </is>
      </c>
      <c r="D592" s="43" t="inlineStr">
        <is>
          <t>Proposals</t>
        </is>
      </c>
      <c r="E592" s="43" t="inlineStr">
        <is>
          <t>GET /proposals list paginated</t>
        </is>
      </c>
      <c r="F592" s="40" t="inlineStr">
        <is>
          <t>REQ-CASE-PROPOSALS-589</t>
        </is>
      </c>
      <c r="G592" s="40" t="inlineStr">
        <is>
          <t>Use case testing</t>
        </is>
      </c>
      <c r="H592" s="40" t="inlineStr">
        <is>
          <t>Cao</t>
        </is>
      </c>
      <c r="I592" s="43" t="inlineStr">
        <is>
          <t>1. User đã login
2. Token JWT hợp lệ</t>
        </is>
      </c>
      <c r="J592" s="43" t="inlineStr">
        <is>
          <t>GET</t>
        </is>
      </c>
      <c r="K592" s="43" t="inlineStr">
        <is>
          <t>-</t>
        </is>
      </c>
      <c r="L592" s="43" t="inlineStr">
        <is>
          <t>-</t>
        </is>
      </c>
      <c r="M592" s="43" t="inlineStr">
        <is>
          <t>200</t>
        </is>
      </c>
      <c r="N592" s="43" t="inlineStr">
        <is>
          <t>-</t>
        </is>
      </c>
      <c r="O592" s="40" t="inlineStr">
        <is>
          <t>High</t>
        </is>
      </c>
      <c r="P592" s="43" t="inlineStr">
        <is>
          <t>Thời gian: 159ms</t>
        </is>
      </c>
      <c r="Q592" s="40" t="inlineStr">
        <is>
          <t>Không đạt</t>
        </is>
      </c>
      <c r="R592" s="40" t="inlineStr">
        <is>
          <t>BUG-364</t>
        </is>
      </c>
      <c r="S592" s="40" t="inlineStr">
        <is>
          <t>23/05/2026 19:06</t>
        </is>
      </c>
      <c r="T592" s="43" t="inlineStr">
        <is>
          <t>R1:Không đạt</t>
        </is>
      </c>
      <c r="U592" s="40" t="inlineStr"/>
      <c r="V592" s="43" t="inlineStr"/>
    </row>
    <row r="593" ht="80" customHeight="1">
      <c r="A593" s="40" t="inlineStr">
        <is>
          <t>TC-590</t>
        </is>
      </c>
      <c r="B593" s="41" t="inlineStr">
        <is>
          <t>GREEN</t>
        </is>
      </c>
      <c r="C593" s="42" t="inlineStr">
        <is>
          <t>P0</t>
        </is>
      </c>
      <c r="D593" s="43" t="inlineStr">
        <is>
          <t>Proposals</t>
        </is>
      </c>
      <c r="E593" s="43" t="inlineStr">
        <is>
          <t>GET /proposals/:id detail</t>
        </is>
      </c>
      <c r="F593" s="40" t="inlineStr">
        <is>
          <t>REQ-CASE-PROPOSALS-590</t>
        </is>
      </c>
      <c r="G593" s="40" t="inlineStr">
        <is>
          <t>Use case testing</t>
        </is>
      </c>
      <c r="H593" s="40" t="inlineStr">
        <is>
          <t>Cao</t>
        </is>
      </c>
      <c r="I593" s="43" t="inlineStr">
        <is>
          <t>1. User đã login
2. Token JWT hợp lệ</t>
        </is>
      </c>
      <c r="J593" s="43" t="inlineStr">
        <is>
          <t>GET</t>
        </is>
      </c>
      <c r="K593" s="43" t="inlineStr">
        <is>
          <t>-</t>
        </is>
      </c>
      <c r="L593" s="43" t="inlineStr">
        <is>
          <t>-</t>
        </is>
      </c>
      <c r="M593" s="43" t="inlineStr">
        <is>
          <t>200</t>
        </is>
      </c>
      <c r="N593" s="43" t="inlineStr">
        <is>
          <t>-</t>
        </is>
      </c>
      <c r="O593" s="40" t="inlineStr">
        <is>
          <t>High</t>
        </is>
      </c>
      <c r="P593" s="43" t="inlineStr">
        <is>
          <t>Thời gian: 134ms</t>
        </is>
      </c>
      <c r="Q593" s="40" t="inlineStr">
        <is>
          <t>Không đạt</t>
        </is>
      </c>
      <c r="R593" s="40" t="inlineStr">
        <is>
          <t>BUG-365</t>
        </is>
      </c>
      <c r="S593" s="40" t="inlineStr">
        <is>
          <t>23/05/2026 19:06</t>
        </is>
      </c>
      <c r="T593" s="43" t="inlineStr">
        <is>
          <t>R1:Không đạt</t>
        </is>
      </c>
      <c r="U593" s="40" t="inlineStr"/>
      <c r="V593" s="43" t="inlineStr"/>
    </row>
    <row r="594" ht="80" customHeight="1">
      <c r="A594" s="40" t="inlineStr">
        <is>
          <t>TC-591</t>
        </is>
      </c>
      <c r="B594" s="45" t="inlineStr">
        <is>
          <t>RED</t>
        </is>
      </c>
      <c r="C594" s="42" t="inlineStr">
        <is>
          <t>P0</t>
        </is>
      </c>
      <c r="D594" s="43" t="inlineStr">
        <is>
          <t>Proposals</t>
        </is>
      </c>
      <c r="E594" s="43" t="inlineStr">
        <is>
          <t>GET proposal ngoài scope → 403</t>
        </is>
      </c>
      <c r="F594" s="40" t="inlineStr">
        <is>
          <t>REQ-CASE-PROPOSALS-591</t>
        </is>
      </c>
      <c r="G594" s="40" t="inlineStr">
        <is>
          <t>Use case testing</t>
        </is>
      </c>
      <c r="H594" s="40" t="inlineStr">
        <is>
          <t>Cao</t>
        </is>
      </c>
      <c r="I594" s="43" t="inlineStr">
        <is>
          <t>1. User đã login
2. Token JWT hợp lệ</t>
        </is>
      </c>
      <c r="J594" s="43" t="inlineStr">
        <is>
          <t>GET</t>
        </is>
      </c>
      <c r="K594" s="43" t="inlineStr">
        <is>
          <t>-</t>
        </is>
      </c>
      <c r="L594" s="43" t="inlineStr">
        <is>
          <t>-</t>
        </is>
      </c>
      <c r="M594" s="43" t="inlineStr">
        <is>
          <t>403</t>
        </is>
      </c>
      <c r="N594" s="43" t="inlineStr">
        <is>
          <t>-</t>
        </is>
      </c>
      <c r="O594" s="40" t="inlineStr">
        <is>
          <t>Critical</t>
        </is>
      </c>
      <c r="P594" s="43" t="inlineStr">
        <is>
          <t>Thời gian: 155ms</t>
        </is>
      </c>
      <c r="Q594" s="40" t="inlineStr">
        <is>
          <t>Không đạt</t>
        </is>
      </c>
      <c r="R594" s="40" t="inlineStr">
        <is>
          <t>BUG-366</t>
        </is>
      </c>
      <c r="S594" s="40" t="inlineStr">
        <is>
          <t>23/05/2026 19:06</t>
        </is>
      </c>
      <c r="T594" s="43" t="inlineStr">
        <is>
          <t>R1:Không đạt</t>
        </is>
      </c>
      <c r="U594" s="40" t="inlineStr"/>
      <c r="V594" s="43" t="inlineStr"/>
    </row>
    <row r="595" ht="80" customHeight="1">
      <c r="A595" s="40" t="inlineStr">
        <is>
          <t>TC-592</t>
        </is>
      </c>
      <c r="B595" s="45" t="inlineStr">
        <is>
          <t>RED</t>
        </is>
      </c>
      <c r="C595" s="42" t="inlineStr">
        <is>
          <t>P0</t>
        </is>
      </c>
      <c r="D595" s="43" t="inlineStr">
        <is>
          <t>Proposals</t>
        </is>
      </c>
      <c r="E595" s="43" t="inlineStr">
        <is>
          <t>GET /proposals/NOT_EXIST → 404</t>
        </is>
      </c>
      <c r="F595" s="40" t="inlineStr">
        <is>
          <t>REQ-CASE-PROPOSALS-592</t>
        </is>
      </c>
      <c r="G595" s="40" t="inlineStr">
        <is>
          <t>Use case testing</t>
        </is>
      </c>
      <c r="H595" s="40" t="inlineStr">
        <is>
          <t>Cao</t>
        </is>
      </c>
      <c r="I595" s="43" t="inlineStr">
        <is>
          <t>1. User đã login
2. Token JWT hợp lệ</t>
        </is>
      </c>
      <c r="J595" s="43" t="inlineStr">
        <is>
          <t>GET</t>
        </is>
      </c>
      <c r="K595" s="43" t="inlineStr">
        <is>
          <t>-</t>
        </is>
      </c>
      <c r="L595" s="43" t="inlineStr">
        <is>
          <t>-</t>
        </is>
      </c>
      <c r="M595" s="43" t="inlineStr">
        <is>
          <t>404</t>
        </is>
      </c>
      <c r="N595" s="43" t="inlineStr">
        <is>
          <t>-</t>
        </is>
      </c>
      <c r="O595" s="40" t="inlineStr">
        <is>
          <t>High</t>
        </is>
      </c>
      <c r="P595" s="43" t="inlineStr">
        <is>
          <t>Thời gian: 109ms</t>
        </is>
      </c>
      <c r="Q595" s="40" t="inlineStr">
        <is>
          <t>Không đạt</t>
        </is>
      </c>
      <c r="R595" s="40" t="inlineStr">
        <is>
          <t>BUG-367</t>
        </is>
      </c>
      <c r="S595" s="40" t="inlineStr">
        <is>
          <t>23/05/2026 19:06</t>
        </is>
      </c>
      <c r="T595" s="43" t="inlineStr">
        <is>
          <t>R1:Không đạt</t>
        </is>
      </c>
      <c r="U595" s="40" t="inlineStr"/>
      <c r="V595" s="43" t="inlineStr"/>
    </row>
    <row r="596" ht="80" customHeight="1">
      <c r="A596" s="40" t="inlineStr">
        <is>
          <t>TC-593</t>
        </is>
      </c>
      <c r="B596" s="41" t="inlineStr">
        <is>
          <t>GREEN</t>
        </is>
      </c>
      <c r="C596" s="42" t="inlineStr">
        <is>
          <t>P0</t>
        </is>
      </c>
      <c r="D596" s="43" t="inlineStr">
        <is>
          <t>Proposals</t>
        </is>
      </c>
      <c r="E596" s="43" t="inlineStr">
        <is>
          <t>PUT update response + responseDate</t>
        </is>
      </c>
      <c r="F596" s="40" t="inlineStr">
        <is>
          <t>REQ-CASE-PROPOSALS-593</t>
        </is>
      </c>
      <c r="G596" s="40" t="inlineStr">
        <is>
          <t>Use case testing</t>
        </is>
      </c>
      <c r="H596" s="40" t="inlineStr">
        <is>
          <t>Cao</t>
        </is>
      </c>
      <c r="I596" s="43" t="inlineStr">
        <is>
          <t>1. User đã login
2. Token JWT hợp lệ</t>
        </is>
      </c>
      <c r="J596" s="43" t="inlineStr">
        <is>
          <t>PUT {response, responseDate}</t>
        </is>
      </c>
      <c r="K596" s="43" t="inlineStr">
        <is>
          <t>-</t>
        </is>
      </c>
      <c r="L596" s="43" t="inlineStr">
        <is>
          <t>-</t>
        </is>
      </c>
      <c r="M596" s="43" t="inlineStr">
        <is>
          <t>200</t>
        </is>
      </c>
      <c r="N596" s="43" t="inlineStr">
        <is>
          <t>Audit diff</t>
        </is>
      </c>
      <c r="O596" s="40" t="inlineStr">
        <is>
          <t>High</t>
        </is>
      </c>
      <c r="P596" s="43" t="inlineStr">
        <is>
          <t>Thời gian: 199ms</t>
        </is>
      </c>
      <c r="Q596" s="40" t="inlineStr">
        <is>
          <t>Không đạt</t>
        </is>
      </c>
      <c r="R596" s="40" t="inlineStr">
        <is>
          <t>BUG-368</t>
        </is>
      </c>
      <c r="S596" s="40" t="inlineStr">
        <is>
          <t>23/05/2026 19:06</t>
        </is>
      </c>
      <c r="T596" s="43" t="inlineStr">
        <is>
          <t>R1:Không đạt</t>
        </is>
      </c>
      <c r="U596" s="40" t="inlineStr"/>
      <c r="V596" s="43" t="inlineStr"/>
    </row>
    <row r="597" ht="80" customHeight="1">
      <c r="A597" s="40" t="inlineStr">
        <is>
          <t>TC-594</t>
        </is>
      </c>
      <c r="B597" s="41" t="inlineStr">
        <is>
          <t>GREEN</t>
        </is>
      </c>
      <c r="C597" s="42" t="inlineStr">
        <is>
          <t>P0</t>
        </is>
      </c>
      <c r="D597" s="43" t="inlineStr">
        <is>
          <t>Proposals</t>
        </is>
      </c>
      <c r="E597" s="43" t="inlineStr">
        <is>
          <t>DELETE soft delete</t>
        </is>
      </c>
      <c r="F597" s="40" t="inlineStr">
        <is>
          <t>REQ-CASE-PROPOSALS-594</t>
        </is>
      </c>
      <c r="G597" s="40" t="inlineStr">
        <is>
          <t>Use case testing</t>
        </is>
      </c>
      <c r="H597" s="40" t="inlineStr">
        <is>
          <t>Cao</t>
        </is>
      </c>
      <c r="I597" s="43" t="inlineStr">
        <is>
          <t>1. User đã login
2. Token JWT hợp lệ</t>
        </is>
      </c>
      <c r="J597" s="43" t="inlineStr">
        <is>
          <t>DELETE</t>
        </is>
      </c>
      <c r="K597" s="43" t="inlineStr">
        <is>
          <t>-</t>
        </is>
      </c>
      <c r="L597" s="43" t="inlineStr">
        <is>
          <t>-</t>
        </is>
      </c>
      <c r="M597" s="43" t="inlineStr">
        <is>
          <t>200</t>
        </is>
      </c>
      <c r="N597" s="43" t="inlineStr">
        <is>
          <t>-</t>
        </is>
      </c>
      <c r="O597" s="40" t="inlineStr">
        <is>
          <t>High</t>
        </is>
      </c>
      <c r="P597" s="43" t="inlineStr">
        <is>
          <t>Thời gian: 151ms</t>
        </is>
      </c>
      <c r="Q597" s="40" t="inlineStr">
        <is>
          <t>Không đạt</t>
        </is>
      </c>
      <c r="R597" s="40" t="inlineStr">
        <is>
          <t>BUG-369</t>
        </is>
      </c>
      <c r="S597" s="40" t="inlineStr">
        <is>
          <t>23/05/2026 19:06</t>
        </is>
      </c>
      <c r="T597" s="43" t="inlineStr">
        <is>
          <t>R1:Không đạt</t>
        </is>
      </c>
      <c r="U597" s="40" t="inlineStr"/>
      <c r="V597" s="43" t="inlineStr"/>
    </row>
    <row r="598" ht="80" customHeight="1">
      <c r="A598" s="40" t="inlineStr">
        <is>
          <t>TC-595</t>
        </is>
      </c>
      <c r="B598" s="46" t="inlineStr">
        <is>
          <t>STATE</t>
        </is>
      </c>
      <c r="C598" s="42" t="inlineStr">
        <is>
          <t>P0</t>
        </is>
      </c>
      <c r="D598" s="43" t="inlineStr">
        <is>
          <t>Proposals</t>
        </is>
      </c>
      <c r="E598" s="43" t="inlineStr">
        <is>
          <t>Transition PENDING → SENT → RESPONDED</t>
        </is>
      </c>
      <c r="F598" s="40" t="inlineStr">
        <is>
          <t>REQ-CASE-PROPOSALS-595</t>
        </is>
      </c>
      <c r="G598" s="40" t="inlineStr">
        <is>
          <t>Use case testing</t>
        </is>
      </c>
      <c r="H598" s="40" t="inlineStr">
        <is>
          <t>Cao</t>
        </is>
      </c>
      <c r="I598" s="43" t="inlineStr">
        <is>
          <t>1. User đã login
2. Token JWT hợp lệ</t>
        </is>
      </c>
      <c r="J598" s="43" t="inlineStr">
        <is>
          <t>2x PUT status</t>
        </is>
      </c>
      <c r="K598" s="43" t="inlineStr">
        <is>
          <t>-</t>
        </is>
      </c>
      <c r="L598" s="43" t="inlineStr">
        <is>
          <t>-</t>
        </is>
      </c>
      <c r="M598" s="43" t="inlineStr">
        <is>
          <t>200</t>
        </is>
      </c>
      <c r="N598" s="43" t="inlineStr">
        <is>
          <t>-</t>
        </is>
      </c>
      <c r="O598" s="40" t="inlineStr">
        <is>
          <t>High</t>
        </is>
      </c>
      <c r="P598" s="43" t="inlineStr">
        <is>
          <t>Thời gian: 143ms</t>
        </is>
      </c>
      <c r="Q598" s="40" t="inlineStr">
        <is>
          <t>Không đạt</t>
        </is>
      </c>
      <c r="R598" s="40" t="inlineStr">
        <is>
          <t>BUG-370</t>
        </is>
      </c>
      <c r="S598" s="40" t="inlineStr">
        <is>
          <t>23/05/2026 19:06</t>
        </is>
      </c>
      <c r="T598" s="43" t="inlineStr">
        <is>
          <t>R1:Không đạt</t>
        </is>
      </c>
      <c r="U598" s="40" t="inlineStr"/>
      <c r="V598" s="43" t="inlineStr"/>
    </row>
    <row r="599" ht="80" customHeight="1">
      <c r="A599" s="40" t="inlineStr">
        <is>
          <t>TC-596</t>
        </is>
      </c>
      <c r="B599" s="46" t="inlineStr">
        <is>
          <t>STATE</t>
        </is>
      </c>
      <c r="C599" s="42" t="inlineStr">
        <is>
          <t>P0</t>
        </is>
      </c>
      <c r="D599" s="43" t="inlineStr">
        <is>
          <t>Proposals</t>
        </is>
      </c>
      <c r="E599" s="43" t="inlineStr">
        <is>
          <t>Transition SENT → CANCELLED</t>
        </is>
      </c>
      <c r="F599" s="40" t="inlineStr">
        <is>
          <t>REQ-CASE-PROPOSALS-596</t>
        </is>
      </c>
      <c r="G599" s="40" t="inlineStr">
        <is>
          <t>Use case testing</t>
        </is>
      </c>
      <c r="H599" s="40" t="inlineStr">
        <is>
          <t>Cao</t>
        </is>
      </c>
      <c r="I599" s="43" t="inlineStr">
        <is>
          <t>1. User đã login
2. Token JWT hợp lệ</t>
        </is>
      </c>
      <c r="J599" s="43" t="inlineStr">
        <is>
          <t>PUT status='CANCELLED'</t>
        </is>
      </c>
      <c r="K599" s="43" t="inlineStr">
        <is>
          <t>-</t>
        </is>
      </c>
      <c r="L599" s="43" t="inlineStr">
        <is>
          <t>-</t>
        </is>
      </c>
      <c r="M599" s="43" t="inlineStr">
        <is>
          <t>200</t>
        </is>
      </c>
      <c r="N599" s="43" t="inlineStr">
        <is>
          <t>-</t>
        </is>
      </c>
      <c r="O599" s="40" t="inlineStr">
        <is>
          <t>Medium</t>
        </is>
      </c>
      <c r="P599" s="43" t="inlineStr">
        <is>
          <t>Thời gian: 175ms</t>
        </is>
      </c>
      <c r="Q599" s="40" t="inlineStr">
        <is>
          <t>Không đạt</t>
        </is>
      </c>
      <c r="R599" s="40" t="inlineStr">
        <is>
          <t>BUG-371</t>
        </is>
      </c>
      <c r="S599" s="40" t="inlineStr">
        <is>
          <t>23/05/2026 19:06</t>
        </is>
      </c>
      <c r="T599" s="43" t="inlineStr">
        <is>
          <t>R1:Không đạt</t>
        </is>
      </c>
      <c r="U599" s="40" t="inlineStr"/>
      <c r="V599" s="43" t="inlineStr"/>
    </row>
    <row r="600" ht="80" customHeight="1">
      <c r="A600" s="40" t="inlineStr">
        <is>
          <t>TC-597</t>
        </is>
      </c>
      <c r="B600" s="45" t="inlineStr">
        <is>
          <t>RED</t>
        </is>
      </c>
      <c r="C600" s="44" t="inlineStr">
        <is>
          <t>P1</t>
        </is>
      </c>
      <c r="D600" s="43" t="inlineStr">
        <is>
          <t>Proposals</t>
        </is>
      </c>
      <c r="E600" s="43" t="inlineStr">
        <is>
          <t>status='INVALID' → 400 IsEnum</t>
        </is>
      </c>
      <c r="F600" s="40" t="inlineStr">
        <is>
          <t>REQ-CASE-PROPOSALS-597</t>
        </is>
      </c>
      <c r="G600" s="40" t="inlineStr">
        <is>
          <t>Use case testing</t>
        </is>
      </c>
      <c r="H600" s="40" t="inlineStr">
        <is>
          <t>TB</t>
        </is>
      </c>
      <c r="I600" s="43" t="inlineStr">
        <is>
          <t>1. User đã login
2. Token JWT hợp lệ</t>
        </is>
      </c>
      <c r="J600" s="43" t="inlineStr">
        <is>
          <t>-</t>
        </is>
      </c>
      <c r="K600" s="43" t="inlineStr">
        <is>
          <t>-</t>
        </is>
      </c>
      <c r="L600" s="43" t="inlineStr">
        <is>
          <t>-</t>
        </is>
      </c>
      <c r="M600" s="43" t="inlineStr">
        <is>
          <t>400</t>
        </is>
      </c>
      <c r="N600" s="43" t="inlineStr">
        <is>
          <t>-</t>
        </is>
      </c>
      <c r="O600" s="40" t="inlineStr">
        <is>
          <t>Medium</t>
        </is>
      </c>
      <c r="P600" s="43" t="inlineStr">
        <is>
          <t>Thời gian: 136ms</t>
        </is>
      </c>
      <c r="Q600" s="40" t="inlineStr">
        <is>
          <t>Không đạt</t>
        </is>
      </c>
      <c r="R600" s="40" t="inlineStr">
        <is>
          <t>BUG-372</t>
        </is>
      </c>
      <c r="S600" s="40" t="inlineStr">
        <is>
          <t>23/05/2026 19:06</t>
        </is>
      </c>
      <c r="T600" s="43" t="inlineStr">
        <is>
          <t>R1:Không đạt</t>
        </is>
      </c>
      <c r="U600" s="40" t="inlineStr"/>
      <c r="V600" s="43" t="inlineStr"/>
    </row>
    <row r="601" ht="80" customHeight="1">
      <c r="A601" s="40" t="inlineStr">
        <is>
          <t>TC-598</t>
        </is>
      </c>
      <c r="B601" s="47" t="inlineStr">
        <is>
          <t>SECURITY</t>
        </is>
      </c>
      <c r="C601" s="42" t="inlineStr">
        <is>
          <t>P0</t>
        </is>
      </c>
      <c r="D601" s="43" t="inlineStr">
        <is>
          <t>Proposals</t>
        </is>
      </c>
      <c r="E601" s="43" t="inlineStr">
        <is>
          <t>IDOR: POST relatedCaseId của team khác → 403</t>
        </is>
      </c>
      <c r="F601" s="40" t="inlineStr">
        <is>
          <t>REQ-CASE-PROPOSALS-598</t>
        </is>
      </c>
      <c r="G601" s="40" t="inlineStr">
        <is>
          <t>Use case testing</t>
        </is>
      </c>
      <c r="H601" s="40" t="inlineStr">
        <is>
          <t>Cao</t>
        </is>
      </c>
      <c r="I601" s="43" t="inlineStr">
        <is>
          <t>1. User đã login
2. Token JWT hợp lệ</t>
        </is>
      </c>
      <c r="J601" s="43" t="inlineStr">
        <is>
          <t>-</t>
        </is>
      </c>
      <c r="K601" s="43" t="inlineStr">
        <is>
          <t>-</t>
        </is>
      </c>
      <c r="L601" s="43" t="inlineStr">
        <is>
          <t>-</t>
        </is>
      </c>
      <c r="M601" s="43" t="inlineStr">
        <is>
          <t>403</t>
        </is>
      </c>
      <c r="N601" s="43" t="inlineStr">
        <is>
          <t>-</t>
        </is>
      </c>
      <c r="O601" s="40" t="inlineStr">
        <is>
          <t>Critical</t>
        </is>
      </c>
      <c r="P601" s="43" t="inlineStr">
        <is>
          <t>Thời gian: 141ms</t>
        </is>
      </c>
      <c r="Q601" s="40" t="inlineStr">
        <is>
          <t>Không đạt</t>
        </is>
      </c>
      <c r="R601" s="40" t="inlineStr">
        <is>
          <t>BUG-373</t>
        </is>
      </c>
      <c r="S601" s="40" t="inlineStr">
        <is>
          <t>23/05/2026 19:06</t>
        </is>
      </c>
      <c r="T601" s="43" t="inlineStr">
        <is>
          <t>R1:Không đạt</t>
        </is>
      </c>
      <c r="U601" s="40" t="inlineStr"/>
      <c r="V601" s="43" t="inlineStr"/>
    </row>
    <row r="602" ht="80" customHeight="1">
      <c r="A602" s="40" t="inlineStr">
        <is>
          <t>TC-599</t>
        </is>
      </c>
      <c r="B602" s="47" t="inlineStr">
        <is>
          <t>SECURITY</t>
        </is>
      </c>
      <c r="C602" s="42" t="inlineStr">
        <is>
          <t>P0</t>
        </is>
      </c>
      <c r="D602" s="43" t="inlineStr">
        <is>
          <t>Proposals</t>
        </is>
      </c>
      <c r="E602" s="43" t="inlineStr">
        <is>
          <t>XSS qua content</t>
        </is>
      </c>
      <c r="F602" s="40" t="inlineStr">
        <is>
          <t>REQ-CASE-PROPOSALS-599</t>
        </is>
      </c>
      <c r="G602" s="40" t="inlineStr">
        <is>
          <t>Use case testing</t>
        </is>
      </c>
      <c r="H602" s="40" t="inlineStr">
        <is>
          <t>Cao</t>
        </is>
      </c>
      <c r="I602" s="43" t="inlineStr">
        <is>
          <t>1. User đã login
2. Token JWT hợp lệ</t>
        </is>
      </c>
      <c r="J602" s="43" t="inlineStr">
        <is>
          <t>POST content='&lt;script&gt;'</t>
        </is>
      </c>
      <c r="K602" s="43" t="inlineStr">
        <is>
          <t>-</t>
        </is>
      </c>
      <c r="L602" s="43" t="inlineStr">
        <is>
          <t>Escape</t>
        </is>
      </c>
      <c r="M602" s="43" t="inlineStr">
        <is>
          <t>201</t>
        </is>
      </c>
      <c r="N602" s="43" t="inlineStr">
        <is>
          <t>-</t>
        </is>
      </c>
      <c r="O602" s="40" t="inlineStr">
        <is>
          <t>High</t>
        </is>
      </c>
      <c r="P602" s="43" t="inlineStr">
        <is>
          <t>Thời gian: 172ms</t>
        </is>
      </c>
      <c r="Q602" s="40" t="inlineStr">
        <is>
          <t>Không đạt</t>
        </is>
      </c>
      <c r="R602" s="40" t="inlineStr">
        <is>
          <t>BUG-374</t>
        </is>
      </c>
      <c r="S602" s="40" t="inlineStr">
        <is>
          <t>23/05/2026 19:06</t>
        </is>
      </c>
      <c r="T602" s="43" t="inlineStr">
        <is>
          <t>R1:Không đạt</t>
        </is>
      </c>
      <c r="U602" s="40" t="inlineStr"/>
      <c r="V602" s="43" t="inlineStr"/>
    </row>
    <row r="603" ht="80" customHeight="1">
      <c r="A603" s="40" t="inlineStr">
        <is>
          <t>TC-600</t>
        </is>
      </c>
      <c r="B603" s="52" t="inlineStr">
        <is>
          <t>DATA</t>
        </is>
      </c>
      <c r="C603" s="44" t="inlineStr">
        <is>
          <t>P1</t>
        </is>
      </c>
      <c r="D603" s="43" t="inlineStr">
        <is>
          <t>Proposals</t>
        </is>
      </c>
      <c r="E603" s="43" t="inlineStr">
        <is>
          <t>content rất dài (50K chars)</t>
        </is>
      </c>
      <c r="F603" s="40" t="inlineStr">
        <is>
          <t>REQ-CASE-PROPOSALS-600</t>
        </is>
      </c>
      <c r="G603" s="40" t="inlineStr">
        <is>
          <t>Use case testing</t>
        </is>
      </c>
      <c r="H603" s="40" t="inlineStr">
        <is>
          <t>TB</t>
        </is>
      </c>
      <c r="I603" s="43" t="inlineStr">
        <is>
          <t>1. User đã login
2. Token JWT hợp lệ</t>
        </is>
      </c>
      <c r="J603" s="43" t="inlineStr">
        <is>
          <t>-</t>
        </is>
      </c>
      <c r="K603" s="43" t="inlineStr">
        <is>
          <t>-</t>
        </is>
      </c>
      <c r="L603" s="43" t="inlineStr">
        <is>
          <t>-</t>
        </is>
      </c>
      <c r="M603" s="43" t="inlineStr">
        <is>
          <t>201</t>
        </is>
      </c>
      <c r="N603" s="43" t="inlineStr">
        <is>
          <t>-</t>
        </is>
      </c>
      <c r="O603" s="40" t="inlineStr">
        <is>
          <t>Low</t>
        </is>
      </c>
      <c r="P603" s="43" t="inlineStr">
        <is>
          <t>Thời gian: 197ms</t>
        </is>
      </c>
      <c r="Q603" s="40" t="inlineStr">
        <is>
          <t>Không đạt</t>
        </is>
      </c>
      <c r="R603" s="40" t="inlineStr">
        <is>
          <t>BUG-375</t>
        </is>
      </c>
      <c r="S603" s="40" t="inlineStr">
        <is>
          <t>23/05/2026 19:06</t>
        </is>
      </c>
      <c r="T603" s="43" t="inlineStr">
        <is>
          <t>R1:Không đạt</t>
        </is>
      </c>
      <c r="U603" s="40" t="inlineStr"/>
      <c r="V603" s="43" t="inlineStr"/>
    </row>
    <row r="604" ht="80" customHeight="1">
      <c r="A604" s="40" t="inlineStr">
        <is>
          <t>TC-601</t>
        </is>
      </c>
      <c r="B604" s="52" t="inlineStr">
        <is>
          <t>DATA</t>
        </is>
      </c>
      <c r="C604" s="44" t="inlineStr">
        <is>
          <t>P1</t>
        </is>
      </c>
      <c r="D604" s="43" t="inlineStr">
        <is>
          <t>Proposals</t>
        </is>
      </c>
      <c r="E604" s="43" t="inlineStr">
        <is>
          <t>content tiếng Việt có dấu</t>
        </is>
      </c>
      <c r="F604" s="40" t="inlineStr">
        <is>
          <t>REQ-CASE-PROPOSALS-601</t>
        </is>
      </c>
      <c r="G604" s="40" t="inlineStr">
        <is>
          <t>Use case testing</t>
        </is>
      </c>
      <c r="H604" s="40" t="inlineStr">
        <is>
          <t>TB</t>
        </is>
      </c>
      <c r="I604" s="43" t="inlineStr">
        <is>
          <t>1. User đã login
2. Token JWT hợp lệ</t>
        </is>
      </c>
      <c r="J604" s="43" t="inlineStr">
        <is>
          <t>-</t>
        </is>
      </c>
      <c r="K604" s="43" t="inlineStr">
        <is>
          <t>-</t>
        </is>
      </c>
      <c r="L604" s="43" t="inlineStr">
        <is>
          <t>-</t>
        </is>
      </c>
      <c r="M604" s="43" t="inlineStr">
        <is>
          <t>201</t>
        </is>
      </c>
      <c r="N604" s="43" t="inlineStr">
        <is>
          <t>-</t>
        </is>
      </c>
      <c r="O604" s="40" t="inlineStr">
        <is>
          <t>Low</t>
        </is>
      </c>
      <c r="P604" s="43" t="inlineStr">
        <is>
          <t>Thời gian: 176ms</t>
        </is>
      </c>
      <c r="Q604" s="40" t="inlineStr">
        <is>
          <t>Không đạt</t>
        </is>
      </c>
      <c r="R604" s="40" t="inlineStr">
        <is>
          <t>BUG-376</t>
        </is>
      </c>
      <c r="S604" s="40" t="inlineStr">
        <is>
          <t>23/05/2026 19:06</t>
        </is>
      </c>
      <c r="T604" s="43" t="inlineStr">
        <is>
          <t>R1:Không đạt</t>
        </is>
      </c>
      <c r="U604" s="40" t="inlineStr"/>
      <c r="V604" s="43" t="inlineStr"/>
    </row>
    <row r="605" ht="80" customHeight="1">
      <c r="A605" s="40" t="inlineStr">
        <is>
          <t>TC-602</t>
        </is>
      </c>
      <c r="B605" s="58" t="inlineStr">
        <is>
          <t>AUDIT</t>
        </is>
      </c>
      <c r="C605" s="42" t="inlineStr">
        <is>
          <t>P0</t>
        </is>
      </c>
      <c r="D605" s="43" t="inlineStr">
        <is>
          <t>Proposals</t>
        </is>
      </c>
      <c r="E605" s="43" t="inlineStr">
        <is>
          <t>PROPOSAL_CREATED audit log</t>
        </is>
      </c>
      <c r="F605" s="40" t="inlineStr">
        <is>
          <t>REQ-CASE-PROPOSALS-602</t>
        </is>
      </c>
      <c r="G605" s="40" t="inlineStr">
        <is>
          <t>Use case testing</t>
        </is>
      </c>
      <c r="H605" s="40" t="inlineStr">
        <is>
          <t>Cao</t>
        </is>
      </c>
      <c r="I605" s="43" t="inlineStr">
        <is>
          <t>1. User đã login
2. Token JWT hợp lệ</t>
        </is>
      </c>
      <c r="J605" s="43" t="inlineStr">
        <is>
          <t>POST</t>
        </is>
      </c>
      <c r="K605" s="43" t="inlineStr">
        <is>
          <t>-</t>
        </is>
      </c>
      <c r="L605" s="43" t="inlineStr">
        <is>
          <t>-</t>
        </is>
      </c>
      <c r="M605" s="43" t="inlineStr">
        <is>
          <t>-</t>
        </is>
      </c>
      <c r="N605" s="43" t="inlineStr">
        <is>
          <t>metadata.proposalNumber</t>
        </is>
      </c>
      <c r="O605" s="40" t="inlineStr">
        <is>
          <t>High</t>
        </is>
      </c>
      <c r="P605" s="43" t="inlineStr">
        <is>
          <t>Thời gian: 141ms</t>
        </is>
      </c>
      <c r="Q605" s="40" t="inlineStr">
        <is>
          <t>Không đạt</t>
        </is>
      </c>
      <c r="R605" s="40" t="inlineStr">
        <is>
          <t>BUG-377</t>
        </is>
      </c>
      <c r="S605" s="40" t="inlineStr">
        <is>
          <t>23/05/2026 19:06</t>
        </is>
      </c>
      <c r="T605" s="43" t="inlineStr">
        <is>
          <t>R1:Không đạt</t>
        </is>
      </c>
      <c r="U605" s="40" t="inlineStr"/>
      <c r="V605" s="43" t="inlineStr"/>
    </row>
    <row r="606" ht="80" customHeight="1">
      <c r="A606" s="40" t="inlineStr">
        <is>
          <t>TC-603</t>
        </is>
      </c>
      <c r="B606" s="58" t="inlineStr">
        <is>
          <t>AUDIT</t>
        </is>
      </c>
      <c r="C606" s="42" t="inlineStr">
        <is>
          <t>P0</t>
        </is>
      </c>
      <c r="D606" s="43" t="inlineStr">
        <is>
          <t>Proposals</t>
        </is>
      </c>
      <c r="E606" s="43" t="inlineStr">
        <is>
          <t>PROPOSAL_RESPONDED log với response timestamp</t>
        </is>
      </c>
      <c r="F606" s="40" t="inlineStr">
        <is>
          <t>REQ-CASE-PROPOSALS-603</t>
        </is>
      </c>
      <c r="G606" s="40" t="inlineStr">
        <is>
          <t>Use case testing</t>
        </is>
      </c>
      <c r="H606" s="40" t="inlineStr">
        <is>
          <t>Cao</t>
        </is>
      </c>
      <c r="I606" s="43" t="inlineStr">
        <is>
          <t>1. User đã login
2. Token JWT hợp lệ</t>
        </is>
      </c>
      <c r="J606" s="43" t="inlineStr">
        <is>
          <t>PUT</t>
        </is>
      </c>
      <c r="K606" s="43" t="inlineStr">
        <is>
          <t>-</t>
        </is>
      </c>
      <c r="L606" s="43" t="inlineStr">
        <is>
          <t>-</t>
        </is>
      </c>
      <c r="M606" s="43" t="inlineStr">
        <is>
          <t>-</t>
        </is>
      </c>
      <c r="N606" s="43" t="inlineStr">
        <is>
          <t>-</t>
        </is>
      </c>
      <c r="O606" s="40" t="inlineStr">
        <is>
          <t>High</t>
        </is>
      </c>
      <c r="P606" s="43" t="inlineStr">
        <is>
          <t>Thời gian: 187ms</t>
        </is>
      </c>
      <c r="Q606" s="40" t="inlineStr">
        <is>
          <t>Không đạt</t>
        </is>
      </c>
      <c r="R606" s="40" t="inlineStr">
        <is>
          <t>BUG-378</t>
        </is>
      </c>
      <c r="S606" s="40" t="inlineStr">
        <is>
          <t>23/05/2026 19:06</t>
        </is>
      </c>
      <c r="T606" s="43" t="inlineStr">
        <is>
          <t>R1:Không đạt</t>
        </is>
      </c>
      <c r="U606" s="40" t="inlineStr"/>
      <c r="V606" s="43" t="inlineStr"/>
    </row>
    <row r="607" ht="80" customHeight="1">
      <c r="A607" s="40" t="inlineStr">
        <is>
          <t>TC-604</t>
        </is>
      </c>
      <c r="B607" s="53" t="inlineStr">
        <is>
          <t>BOUNDARY</t>
        </is>
      </c>
      <c r="C607" s="44" t="inlineStr">
        <is>
          <t>P1</t>
        </is>
      </c>
      <c r="D607" s="43" t="inlineStr">
        <is>
          <t>Proposals</t>
        </is>
      </c>
      <c r="E607" s="43" t="inlineStr">
        <is>
          <t>proposalNumber 1 ký tự</t>
        </is>
      </c>
      <c r="F607" s="40" t="inlineStr">
        <is>
          <t>REQ-CASE-PROPOSALS-604</t>
        </is>
      </c>
      <c r="G607" s="40" t="inlineStr">
        <is>
          <t>Use case testing</t>
        </is>
      </c>
      <c r="H607" s="40" t="inlineStr">
        <is>
          <t>TB</t>
        </is>
      </c>
      <c r="I607" s="43" t="inlineStr">
        <is>
          <t>1. User đã login
2. Token JWT hợp lệ</t>
        </is>
      </c>
      <c r="J607" s="43" t="inlineStr">
        <is>
          <t>POST proposalNumber='X'</t>
        </is>
      </c>
      <c r="K607" s="43" t="inlineStr">
        <is>
          <t>-</t>
        </is>
      </c>
      <c r="L607" s="43" t="inlineStr">
        <is>
          <t>-</t>
        </is>
      </c>
      <c r="M607" s="43" t="inlineStr">
        <is>
          <t>201</t>
        </is>
      </c>
      <c r="N607" s="43" t="inlineStr">
        <is>
          <t>-</t>
        </is>
      </c>
      <c r="O607" s="40" t="inlineStr">
        <is>
          <t>Low</t>
        </is>
      </c>
      <c r="P607" s="43" t="inlineStr">
        <is>
          <t>Đạt như expected. Thời gian: 772ms</t>
        </is>
      </c>
      <c r="Q607" s="40" t="inlineStr">
        <is>
          <t>Đạt</t>
        </is>
      </c>
      <c r="R607" s="40" t="inlineStr"/>
      <c r="S607" s="40" t="inlineStr">
        <is>
          <t>23/05/2026 19:06</t>
        </is>
      </c>
      <c r="T607" s="43" t="inlineStr">
        <is>
          <t>R1:Đạt</t>
        </is>
      </c>
      <c r="U607" s="40" t="inlineStr"/>
      <c r="V607" s="43" t="inlineStr"/>
    </row>
    <row r="608" ht="80" customHeight="1">
      <c r="A608" s="40" t="inlineStr">
        <is>
          <t>TC-605</t>
        </is>
      </c>
      <c r="B608" s="53" t="inlineStr">
        <is>
          <t>BOUNDARY</t>
        </is>
      </c>
      <c r="C608" s="44" t="inlineStr">
        <is>
          <t>P1</t>
        </is>
      </c>
      <c r="D608" s="43" t="inlineStr">
        <is>
          <t>Proposals</t>
        </is>
      </c>
      <c r="E608" s="43" t="inlineStr">
        <is>
          <t>proposalNumber 500 ký tự</t>
        </is>
      </c>
      <c r="F608" s="40" t="inlineStr">
        <is>
          <t>REQ-CASE-PROPOSALS-605</t>
        </is>
      </c>
      <c r="G608" s="40" t="inlineStr">
        <is>
          <t>Use case testing</t>
        </is>
      </c>
      <c r="H608" s="40" t="inlineStr">
        <is>
          <t>TB</t>
        </is>
      </c>
      <c r="I608" s="43" t="inlineStr">
        <is>
          <t>1. User đã login
2. Token JWT hợp lệ</t>
        </is>
      </c>
      <c r="J608" s="43" t="inlineStr">
        <is>
          <t>-</t>
        </is>
      </c>
      <c r="K608" s="43" t="inlineStr">
        <is>
          <t>-</t>
        </is>
      </c>
      <c r="L608" s="43" t="inlineStr">
        <is>
          <t>-</t>
        </is>
      </c>
      <c r="M608" s="43" t="inlineStr">
        <is>
          <t>-</t>
        </is>
      </c>
      <c r="N608" s="43" t="inlineStr">
        <is>
          <t>-</t>
        </is>
      </c>
      <c r="O608" s="40" t="inlineStr">
        <is>
          <t>Low</t>
        </is>
      </c>
      <c r="P608" s="43" t="inlineStr">
        <is>
          <t>Đạt như expected. Thời gian: 104ms</t>
        </is>
      </c>
      <c r="Q608" s="40" t="inlineStr">
        <is>
          <t>Đạt</t>
        </is>
      </c>
      <c r="R608" s="40" t="inlineStr"/>
      <c r="S608" s="40" t="inlineStr">
        <is>
          <t>23/05/2026 19:06</t>
        </is>
      </c>
      <c r="T608" s="43" t="inlineStr">
        <is>
          <t>R1:Đạt</t>
        </is>
      </c>
      <c r="U608" s="40" t="inlineStr"/>
      <c r="V608" s="43" t="inlineStr"/>
    </row>
    <row r="609" ht="80" customHeight="1">
      <c r="A609" s="40" t="inlineStr">
        <is>
          <t>TC-606</t>
        </is>
      </c>
      <c r="B609" s="51" t="inlineStr">
        <is>
          <t>PERFORMANCE</t>
        </is>
      </c>
      <c r="C609" s="44" t="inlineStr">
        <is>
          <t>P1</t>
        </is>
      </c>
      <c r="D609" s="43" t="inlineStr">
        <is>
          <t>Proposals</t>
        </is>
      </c>
      <c r="E609" s="43" t="inlineStr">
        <is>
          <t>List 100 proposals &lt; 500ms</t>
        </is>
      </c>
      <c r="F609" s="40" t="inlineStr">
        <is>
          <t>REQ-CASE-PROPOSALS-606</t>
        </is>
      </c>
      <c r="G609" s="40" t="inlineStr">
        <is>
          <t>Use case testing</t>
        </is>
      </c>
      <c r="H609" s="40" t="inlineStr">
        <is>
          <t>TB</t>
        </is>
      </c>
      <c r="I609" s="43" t="inlineStr">
        <is>
          <t>1. User đã login
2. Token JWT hợp lệ</t>
        </is>
      </c>
      <c r="J609" s="43" t="inlineStr">
        <is>
          <t>-</t>
        </is>
      </c>
      <c r="K609" s="43" t="inlineStr">
        <is>
          <t>-</t>
        </is>
      </c>
      <c r="L609" s="43" t="inlineStr">
        <is>
          <t>-</t>
        </is>
      </c>
      <c r="M609" s="43" t="inlineStr">
        <is>
          <t>&lt;500ms</t>
        </is>
      </c>
      <c r="N609" s="43" t="inlineStr">
        <is>
          <t>-</t>
        </is>
      </c>
      <c r="O609" s="40" t="inlineStr">
        <is>
          <t>Medium</t>
        </is>
      </c>
      <c r="P609" s="43" t="inlineStr">
        <is>
          <t>Đạt như expected. Thời gian: 78ms</t>
        </is>
      </c>
      <c r="Q609" s="40" t="inlineStr">
        <is>
          <t>Đạt</t>
        </is>
      </c>
      <c r="R609" s="40" t="inlineStr"/>
      <c r="S609" s="40" t="inlineStr">
        <is>
          <t>23/05/2026 19:06</t>
        </is>
      </c>
      <c r="T609" s="43" t="inlineStr">
        <is>
          <t>R1:Đạt</t>
        </is>
      </c>
      <c r="U609" s="40" t="inlineStr"/>
      <c r="V609" s="43" t="inlineStr"/>
    </row>
    <row r="610" ht="80" customHeight="1">
      <c r="A610" s="40" t="inlineStr">
        <is>
          <t>TC-607</t>
        </is>
      </c>
      <c r="B610" s="48" t="inlineStr">
        <is>
          <t>A11Y</t>
        </is>
      </c>
      <c r="C610" s="44" t="inlineStr">
        <is>
          <t>P1</t>
        </is>
      </c>
      <c r="D610" s="43" t="inlineStr">
        <is>
          <t>Proposals</t>
        </is>
      </c>
      <c r="E610" s="43" t="inlineStr">
        <is>
          <t>Form input có label</t>
        </is>
      </c>
      <c r="F610" s="40" t="inlineStr">
        <is>
          <t>REQ-CASE-PROPOSALS-607</t>
        </is>
      </c>
      <c r="G610" s="40" t="inlineStr">
        <is>
          <t>Use case testing</t>
        </is>
      </c>
      <c r="H610" s="40" t="inlineStr">
        <is>
          <t>TB</t>
        </is>
      </c>
      <c r="I610" s="43" t="inlineStr">
        <is>
          <t>1. User đã login
2. Token JWT hợp lệ</t>
        </is>
      </c>
      <c r="J610" s="43" t="inlineStr">
        <is>
          <t>-</t>
        </is>
      </c>
      <c r="K610" s="43" t="inlineStr">
        <is>
          <t>-</t>
        </is>
      </c>
      <c r="L610" s="43" t="inlineStr">
        <is>
          <t>-</t>
        </is>
      </c>
      <c r="M610" s="43" t="inlineStr">
        <is>
          <t>-</t>
        </is>
      </c>
      <c r="N610" s="43" t="inlineStr">
        <is>
          <t>-</t>
        </is>
      </c>
      <c r="O610" s="40" t="inlineStr">
        <is>
          <t>Low</t>
        </is>
      </c>
      <c r="P610" s="43" t="inlineStr">
        <is>
          <t>Đạt như expected. Thời gian: 89ms</t>
        </is>
      </c>
      <c r="Q610" s="40" t="inlineStr">
        <is>
          <t>Đạt</t>
        </is>
      </c>
      <c r="R610" s="40" t="inlineStr"/>
      <c r="S610" s="40" t="inlineStr">
        <is>
          <t>23/05/2026 19:06</t>
        </is>
      </c>
      <c r="T610" s="43" t="inlineStr">
        <is>
          <t>R1:Đạt</t>
        </is>
      </c>
      <c r="U610" s="40" t="inlineStr"/>
      <c r="V610" s="43" t="inlineStr"/>
    </row>
    <row r="611" ht="80" customHeight="1">
      <c r="A611" s="40" t="inlineStr">
        <is>
          <t>TC-608</t>
        </is>
      </c>
      <c r="B611" s="50" t="inlineStr">
        <is>
          <t>COMPAT</t>
        </is>
      </c>
      <c r="C611" s="44" t="inlineStr">
        <is>
          <t>P1</t>
        </is>
      </c>
      <c r="D611" s="43" t="inlineStr">
        <is>
          <t>Proposals</t>
        </is>
      </c>
      <c r="E611" s="43" t="inlineStr">
        <is>
          <t>Chrome mobile OK</t>
        </is>
      </c>
      <c r="F611" s="40" t="inlineStr">
        <is>
          <t>REQ-CASE-PROPOSALS-608</t>
        </is>
      </c>
      <c r="G611" s="40" t="inlineStr">
        <is>
          <t>Use case testing</t>
        </is>
      </c>
      <c r="H611" s="40" t="inlineStr">
        <is>
          <t>TB</t>
        </is>
      </c>
      <c r="I611" s="43" t="inlineStr">
        <is>
          <t>1. User đã login
2. Token JWT hợp lệ</t>
        </is>
      </c>
      <c r="J611" s="43" t="inlineStr">
        <is>
          <t>-</t>
        </is>
      </c>
      <c r="K611" s="43" t="inlineStr">
        <is>
          <t>-</t>
        </is>
      </c>
      <c r="L611" s="43" t="inlineStr">
        <is>
          <t>-</t>
        </is>
      </c>
      <c r="M611" s="43" t="inlineStr">
        <is>
          <t>-</t>
        </is>
      </c>
      <c r="N611" s="43" t="inlineStr">
        <is>
          <t>-</t>
        </is>
      </c>
      <c r="O611" s="40" t="inlineStr">
        <is>
          <t>Medium</t>
        </is>
      </c>
      <c r="P611" s="43" t="inlineStr">
        <is>
          <t>Đạt như expected. Thời gian: 80ms</t>
        </is>
      </c>
      <c r="Q611" s="40" t="inlineStr">
        <is>
          <t>Đạt</t>
        </is>
      </c>
      <c r="R611" s="40" t="inlineStr"/>
      <c r="S611" s="40" t="inlineStr">
        <is>
          <t>23/05/2026 19:06</t>
        </is>
      </c>
      <c r="T611" s="43" t="inlineStr">
        <is>
          <t>R1:Đạt</t>
        </is>
      </c>
      <c r="U611" s="40" t="inlineStr"/>
      <c r="V611" s="43" t="inlineStr"/>
    </row>
    <row r="612" ht="80" customHeight="1">
      <c r="A612" s="40" t="inlineStr">
        <is>
          <t>TC-609</t>
        </is>
      </c>
      <c r="B612" s="56" t="inlineStr">
        <is>
          <t>INTEGRATION</t>
        </is>
      </c>
      <c r="C612" s="44" t="inlineStr">
        <is>
          <t>P1</t>
        </is>
      </c>
      <c r="D612" s="43" t="inlineStr">
        <is>
          <t>Proposals</t>
        </is>
      </c>
      <c r="E612" s="43" t="inlineStr">
        <is>
          <t>Proposal sent → notification gửi đến receiver</t>
        </is>
      </c>
      <c r="F612" s="40" t="inlineStr">
        <is>
          <t>REQ-CASE-PROPOSALS-609</t>
        </is>
      </c>
      <c r="G612" s="40" t="inlineStr">
        <is>
          <t>Use case testing</t>
        </is>
      </c>
      <c r="H612" s="40" t="inlineStr">
        <is>
          <t>TB</t>
        </is>
      </c>
      <c r="I612" s="43" t="inlineStr">
        <is>
          <t>1. User đã login
2. Token JWT hợp lệ</t>
        </is>
      </c>
      <c r="J612" s="43" t="inlineStr">
        <is>
          <t>PUT status='SENT'</t>
        </is>
      </c>
      <c r="K612" s="43" t="inlineStr">
        <is>
          <t>-</t>
        </is>
      </c>
      <c r="L612" s="43" t="inlineStr">
        <is>
          <t>-</t>
        </is>
      </c>
      <c r="M612" s="43" t="inlineStr">
        <is>
          <t>-</t>
        </is>
      </c>
      <c r="N612" s="43" t="inlineStr">
        <is>
          <t>Notification dispatched (nếu có integration)</t>
        </is>
      </c>
      <c r="O612" s="40" t="inlineStr">
        <is>
          <t>Medium</t>
        </is>
      </c>
      <c r="P612" s="43" t="inlineStr">
        <is>
          <t>Đạt như expected. Thời gian: 81ms</t>
        </is>
      </c>
      <c r="Q612" s="40" t="inlineStr">
        <is>
          <t>Đạt</t>
        </is>
      </c>
      <c r="R612" s="40" t="inlineStr"/>
      <c r="S612" s="40" t="inlineStr">
        <is>
          <t>23/05/2026 19:06</t>
        </is>
      </c>
      <c r="T612" s="43" t="inlineStr">
        <is>
          <t>R1:Đạt</t>
        </is>
      </c>
      <c r="U612" s="40" t="inlineStr"/>
      <c r="V612" s="43" t="inlineStr">
        <is>
          <t>Verify workflow</t>
        </is>
      </c>
    </row>
    <row r="613" ht="80" customHeight="1">
      <c r="A613" s="40" t="inlineStr">
        <is>
          <t>TC-610</t>
        </is>
      </c>
      <c r="B613" s="45" t="inlineStr">
        <is>
          <t>RED</t>
        </is>
      </c>
      <c r="C613" s="42" t="inlineStr">
        <is>
          <t>P0</t>
        </is>
      </c>
      <c r="D613" s="43" t="inlineStr">
        <is>
          <t>Proposals</t>
        </is>
      </c>
      <c r="E613" s="43" t="inlineStr">
        <is>
          <t>VIEWER POST → 403</t>
        </is>
      </c>
      <c r="F613" s="40" t="inlineStr">
        <is>
          <t>REQ-CASE-PROPOSALS-610</t>
        </is>
      </c>
      <c r="G613" s="40" t="inlineStr">
        <is>
          <t>Use case testing</t>
        </is>
      </c>
      <c r="H613" s="40" t="inlineStr">
        <is>
          <t>Cao</t>
        </is>
      </c>
      <c r="I613" s="43" t="inlineStr">
        <is>
          <t>1. User đã login
2. Token JWT hợp lệ</t>
        </is>
      </c>
      <c r="J613" s="43" t="inlineStr">
        <is>
          <t>-</t>
        </is>
      </c>
      <c r="K613" s="43" t="inlineStr">
        <is>
          <t>-</t>
        </is>
      </c>
      <c r="L613" s="43" t="inlineStr">
        <is>
          <t>-</t>
        </is>
      </c>
      <c r="M613" s="43" t="inlineStr">
        <is>
          <t>403</t>
        </is>
      </c>
      <c r="N613" s="43" t="inlineStr">
        <is>
          <t>-</t>
        </is>
      </c>
      <c r="O613" s="40" t="inlineStr">
        <is>
          <t>High</t>
        </is>
      </c>
      <c r="P613" s="43" t="inlineStr">
        <is>
          <t>Đạt như expected. Thời gian: 78ms</t>
        </is>
      </c>
      <c r="Q613" s="40" t="inlineStr">
        <is>
          <t>Đạt</t>
        </is>
      </c>
      <c r="R613" s="40" t="inlineStr"/>
      <c r="S613" s="40" t="inlineStr">
        <is>
          <t>23/05/2026 19:06</t>
        </is>
      </c>
      <c r="T613" s="43" t="inlineStr">
        <is>
          <t>R1:Đạt</t>
        </is>
      </c>
      <c r="U613" s="40" t="inlineStr"/>
      <c r="V613" s="43" t="inlineStr"/>
    </row>
    <row r="614" ht="80" customHeight="1">
      <c r="A614" s="40" t="inlineStr">
        <is>
          <t>TC-611</t>
        </is>
      </c>
      <c r="B614" s="45" t="inlineStr">
        <is>
          <t>RED</t>
        </is>
      </c>
      <c r="C614" s="42" t="inlineStr">
        <is>
          <t>P0</t>
        </is>
      </c>
      <c r="D614" s="43" t="inlineStr">
        <is>
          <t>Proposals</t>
        </is>
      </c>
      <c r="E614" s="43" t="inlineStr">
        <is>
          <t>JWT thiếu → 401</t>
        </is>
      </c>
      <c r="F614" s="40" t="inlineStr">
        <is>
          <t>REQ-CASE-PROPOSALS-611</t>
        </is>
      </c>
      <c r="G614" s="40" t="inlineStr">
        <is>
          <t>Use case testing</t>
        </is>
      </c>
      <c r="H614" s="40" t="inlineStr">
        <is>
          <t>Cao</t>
        </is>
      </c>
      <c r="I614" s="43" t="inlineStr">
        <is>
          <t>1. User đã login
2. Token JWT hợp lệ</t>
        </is>
      </c>
      <c r="J614" s="43" t="inlineStr">
        <is>
          <t>-</t>
        </is>
      </c>
      <c r="K614" s="43" t="inlineStr">
        <is>
          <t>-</t>
        </is>
      </c>
      <c r="L614" s="43" t="inlineStr">
        <is>
          <t>-</t>
        </is>
      </c>
      <c r="M614" s="43" t="inlineStr">
        <is>
          <t>401</t>
        </is>
      </c>
      <c r="N614" s="43" t="inlineStr">
        <is>
          <t>-</t>
        </is>
      </c>
      <c r="O614" s="40" t="inlineStr">
        <is>
          <t>High</t>
        </is>
      </c>
      <c r="P614" s="43" t="inlineStr">
        <is>
          <t>Đạt như expected. Thời gian: 68ms</t>
        </is>
      </c>
      <c r="Q614" s="40" t="inlineStr">
        <is>
          <t>Đạt</t>
        </is>
      </c>
      <c r="R614" s="40" t="inlineStr"/>
      <c r="S614" s="40" t="inlineStr">
        <is>
          <t>23/05/2026 19:06</t>
        </is>
      </c>
      <c r="T614" s="43" t="inlineStr">
        <is>
          <t>R1:Đạt</t>
        </is>
      </c>
      <c r="U614" s="40" t="inlineStr"/>
      <c r="V614" s="43" t="inlineStr"/>
    </row>
    <row r="615" ht="80" customHeight="1">
      <c r="A615" s="40" t="inlineStr">
        <is>
          <t>TC-612</t>
        </is>
      </c>
      <c r="B615" s="57" t="inlineStr">
        <is>
          <t>RECOVERY</t>
        </is>
      </c>
      <c r="C615" s="44" t="inlineStr">
        <is>
          <t>P1</t>
        </is>
      </c>
      <c r="D615" s="43" t="inlineStr">
        <is>
          <t>Proposals</t>
        </is>
      </c>
      <c r="E615" s="43" t="inlineStr">
        <is>
          <t>Atomic rollback nếu audit fail</t>
        </is>
      </c>
      <c r="F615" s="40" t="inlineStr">
        <is>
          <t>REQ-CASE-PROPOSALS-612</t>
        </is>
      </c>
      <c r="G615" s="40" t="inlineStr">
        <is>
          <t>Use case testing</t>
        </is>
      </c>
      <c r="H615" s="40" t="inlineStr">
        <is>
          <t>TB</t>
        </is>
      </c>
      <c r="I615" s="43" t="inlineStr">
        <is>
          <t>1. User đã login
2. Token JWT hợp lệ</t>
        </is>
      </c>
      <c r="J615" s="43" t="inlineStr">
        <is>
          <t>-</t>
        </is>
      </c>
      <c r="K615" s="43" t="inlineStr">
        <is>
          <t>-</t>
        </is>
      </c>
      <c r="L615" s="43" t="inlineStr">
        <is>
          <t>-</t>
        </is>
      </c>
      <c r="M615" s="43" t="inlineStr">
        <is>
          <t>500</t>
        </is>
      </c>
      <c r="N615" s="43" t="inlineStr">
        <is>
          <t>No partial</t>
        </is>
      </c>
      <c r="O615" s="40" t="inlineStr">
        <is>
          <t>High</t>
        </is>
      </c>
      <c r="P615" s="43" t="inlineStr">
        <is>
          <t>Thời gian: 113ms</t>
        </is>
      </c>
      <c r="Q615" s="40" t="inlineStr">
        <is>
          <t>Không đạt</t>
        </is>
      </c>
      <c r="R615" s="40" t="inlineStr">
        <is>
          <t>BUG-379</t>
        </is>
      </c>
      <c r="S615" s="40" t="inlineStr">
        <is>
          <t>23/05/2026 19:06</t>
        </is>
      </c>
      <c r="T615" s="43" t="inlineStr">
        <is>
          <t>R1:Không đạt</t>
        </is>
      </c>
      <c r="U615" s="40" t="inlineStr"/>
      <c r="V615" s="43" t="inlineStr"/>
    </row>
    <row r="616" ht="80" customHeight="1">
      <c r="A616" s="40" t="inlineStr">
        <is>
          <t>TC-613</t>
        </is>
      </c>
      <c r="B616" s="41" t="inlineStr">
        <is>
          <t>GREEN</t>
        </is>
      </c>
      <c r="C616" s="44" t="inlineStr">
        <is>
          <t>P1</t>
        </is>
      </c>
      <c r="D616" s="43" t="inlineStr">
        <is>
          <t>Proposals</t>
        </is>
      </c>
      <c r="E616" s="43" t="inlineStr">
        <is>
          <t>Filter status=PENDING</t>
        </is>
      </c>
      <c r="F616" s="40" t="inlineStr">
        <is>
          <t>REQ-CASE-PROPOSALS-613</t>
        </is>
      </c>
      <c r="G616" s="40" t="inlineStr">
        <is>
          <t>Use case testing</t>
        </is>
      </c>
      <c r="H616" s="40" t="inlineStr">
        <is>
          <t>TB</t>
        </is>
      </c>
      <c r="I616" s="43" t="inlineStr">
        <is>
          <t>1. User đã login
2. Token JWT hợp lệ</t>
        </is>
      </c>
      <c r="J616" s="43" t="inlineStr">
        <is>
          <t>GET ?status=PENDING</t>
        </is>
      </c>
      <c r="K616" s="43" t="inlineStr">
        <is>
          <t>-</t>
        </is>
      </c>
      <c r="L616" s="43" t="inlineStr">
        <is>
          <t>-</t>
        </is>
      </c>
      <c r="M616" s="43" t="inlineStr">
        <is>
          <t>200</t>
        </is>
      </c>
      <c r="N616" s="43" t="inlineStr">
        <is>
          <t>-</t>
        </is>
      </c>
      <c r="O616" s="40" t="inlineStr">
        <is>
          <t>Medium</t>
        </is>
      </c>
      <c r="P616" s="43" t="inlineStr">
        <is>
          <t>Đạt như expected. Thời gian: 795ms</t>
        </is>
      </c>
      <c r="Q616" s="40" t="inlineStr">
        <is>
          <t>Đạt</t>
        </is>
      </c>
      <c r="R616" s="40" t="inlineStr"/>
      <c r="S616" s="40" t="inlineStr">
        <is>
          <t>23/05/2026 19:06</t>
        </is>
      </c>
      <c r="T616" s="43" t="inlineStr">
        <is>
          <t>R1:Đạt</t>
        </is>
      </c>
      <c r="U616" s="40" t="inlineStr"/>
      <c r="V616" s="43" t="inlineStr"/>
    </row>
    <row r="617" ht="80" customHeight="1">
      <c r="A617" s="40" t="inlineStr">
        <is>
          <t>TC-614</t>
        </is>
      </c>
      <c r="B617" s="41" t="inlineStr">
        <is>
          <t>GREEN</t>
        </is>
      </c>
      <c r="C617" s="44" t="inlineStr">
        <is>
          <t>P1</t>
        </is>
      </c>
      <c r="D617" s="43" t="inlineStr">
        <is>
          <t>Proposals</t>
        </is>
      </c>
      <c r="E617" s="43" t="inlineStr">
        <is>
          <t>Pagination</t>
        </is>
      </c>
      <c r="F617" s="40" t="inlineStr">
        <is>
          <t>REQ-CASE-PROPOSALS-614</t>
        </is>
      </c>
      <c r="G617" s="40" t="inlineStr">
        <is>
          <t>Use case testing</t>
        </is>
      </c>
      <c r="H617" s="40" t="inlineStr">
        <is>
          <t>TB</t>
        </is>
      </c>
      <c r="I617" s="43" t="inlineStr">
        <is>
          <t>1. User đã login
2. Token JWT hợp lệ</t>
        </is>
      </c>
      <c r="J617" s="43" t="inlineStr">
        <is>
          <t>GET ?limit=10&amp;offset=20</t>
        </is>
      </c>
      <c r="K617" s="43" t="inlineStr">
        <is>
          <t>-</t>
        </is>
      </c>
      <c r="L617" s="43" t="inlineStr">
        <is>
          <t>-</t>
        </is>
      </c>
      <c r="M617" s="43" t="inlineStr">
        <is>
          <t>200</t>
        </is>
      </c>
      <c r="N617" s="43" t="inlineStr">
        <is>
          <t>-</t>
        </is>
      </c>
      <c r="O617" s="40" t="inlineStr">
        <is>
          <t>Medium</t>
        </is>
      </c>
      <c r="P617" s="43" t="inlineStr">
        <is>
          <t>Đạt như expected. Thời gian: 114ms</t>
        </is>
      </c>
      <c r="Q617" s="40" t="inlineStr">
        <is>
          <t>Đạt</t>
        </is>
      </c>
      <c r="R617" s="40" t="inlineStr"/>
      <c r="S617" s="40" t="inlineStr">
        <is>
          <t>23/05/2026 19:06</t>
        </is>
      </c>
      <c r="T617" s="43" t="inlineStr">
        <is>
          <t>R1:Đạt</t>
        </is>
      </c>
      <c r="U617" s="40" t="inlineStr"/>
      <c r="V617" s="43" t="inlineStr"/>
    </row>
    <row r="618" ht="80" customHeight="1">
      <c r="A618" s="40" t="inlineStr">
        <is>
          <t>TC-615</t>
        </is>
      </c>
      <c r="B618" s="41" t="inlineStr">
        <is>
          <t>GREEN</t>
        </is>
      </c>
      <c r="C618" s="44" t="inlineStr">
        <is>
          <t>P1</t>
        </is>
      </c>
      <c r="D618" s="43" t="inlineStr">
        <is>
          <t>Proposals</t>
        </is>
      </c>
      <c r="E618" s="43" t="inlineStr">
        <is>
          <t>Filter relatedCaseId</t>
        </is>
      </c>
      <c r="F618" s="40" t="inlineStr">
        <is>
          <t>REQ-CASE-PROPOSALS-615</t>
        </is>
      </c>
      <c r="G618" s="40" t="inlineStr">
        <is>
          <t>Use case testing</t>
        </is>
      </c>
      <c r="H618" s="40" t="inlineStr">
        <is>
          <t>TB</t>
        </is>
      </c>
      <c r="I618" s="43" t="inlineStr">
        <is>
          <t>1. User đã login
2. Token JWT hợp lệ</t>
        </is>
      </c>
      <c r="J618" s="43" t="inlineStr">
        <is>
          <t>GET ?relatedCaseId=C001</t>
        </is>
      </c>
      <c r="K618" s="43" t="inlineStr">
        <is>
          <t>-</t>
        </is>
      </c>
      <c r="L618" s="43" t="inlineStr">
        <is>
          <t>-</t>
        </is>
      </c>
      <c r="M618" s="43" t="inlineStr">
        <is>
          <t>200</t>
        </is>
      </c>
      <c r="N618" s="43" t="inlineStr">
        <is>
          <t>-</t>
        </is>
      </c>
      <c r="O618" s="40" t="inlineStr">
        <is>
          <t>Medium</t>
        </is>
      </c>
      <c r="P618" s="43" t="inlineStr">
        <is>
          <t>Đạt như expected. Thời gian: 67ms</t>
        </is>
      </c>
      <c r="Q618" s="40" t="inlineStr">
        <is>
          <t>Đạt</t>
        </is>
      </c>
      <c r="R618" s="40" t="inlineStr"/>
      <c r="S618" s="40" t="inlineStr">
        <is>
          <t>23/05/2026 19:06</t>
        </is>
      </c>
      <c r="T618" s="43" t="inlineStr">
        <is>
          <t>R1:Đạt</t>
        </is>
      </c>
      <c r="U618" s="40" t="inlineStr"/>
      <c r="V618" s="43" t="inlineStr"/>
    </row>
    <row r="619" ht="80" customHeight="1">
      <c r="A619" s="40" t="inlineStr">
        <is>
          <t>TC-616</t>
        </is>
      </c>
      <c r="B619" s="41" t="inlineStr">
        <is>
          <t>GREEN</t>
        </is>
      </c>
      <c r="C619" s="42" t="inlineStr">
        <is>
          <t>P0</t>
        </is>
      </c>
      <c r="D619" s="43" t="inlineStr">
        <is>
          <t>Delegations</t>
        </is>
      </c>
      <c r="E619" s="43" t="inlineStr">
        <is>
          <t>Tạo Delegation với delegationNumber + receivingUnit</t>
        </is>
      </c>
      <c r="F619" s="40" t="inlineStr">
        <is>
          <t>REQ-CASE-DELEGATIONS-616</t>
        </is>
      </c>
      <c r="G619" s="40" t="inlineStr">
        <is>
          <t>Use case testing</t>
        </is>
      </c>
      <c r="H619" s="40" t="inlineStr">
        <is>
          <t>Cao</t>
        </is>
      </c>
      <c r="I619" s="43" t="inlineStr">
        <is>
          <t>1. User đã login
2. Token JWT hợp lệ</t>
        </is>
      </c>
      <c r="J619" s="43" t="inlineStr">
        <is>
          <t>POST /api/delegations {delegationNumber:'UT-2026-001', receivingUnit:'PC02-Hà Nội', content}</t>
        </is>
      </c>
      <c r="K619" s="43" t="inlineStr">
        <is>
          <t>-</t>
        </is>
      </c>
      <c r="L619" s="43" t="inlineStr">
        <is>
          <t>Success</t>
        </is>
      </c>
      <c r="M619" s="43" t="inlineStr">
        <is>
          <t>201</t>
        </is>
      </c>
      <c r="N619" s="43" t="inlineStr">
        <is>
          <t>-</t>
        </is>
      </c>
      <c r="O619" s="40" t="inlineStr">
        <is>
          <t>High</t>
        </is>
      </c>
      <c r="P619" s="43" t="inlineStr">
        <is>
          <t>Thời gian: 117ms</t>
        </is>
      </c>
      <c r="Q619" s="40" t="inlineStr">
        <is>
          <t>Không đạt</t>
        </is>
      </c>
      <c r="R619" s="40" t="inlineStr">
        <is>
          <t>BUG-099</t>
        </is>
      </c>
      <c r="S619" s="40" t="inlineStr">
        <is>
          <t>23/05/2026 19:06</t>
        </is>
      </c>
      <c r="T619" s="43" t="inlineStr">
        <is>
          <t>R1:Không đạt</t>
        </is>
      </c>
      <c r="U619" s="40" t="inlineStr"/>
      <c r="V619" s="43" t="inlineStr"/>
    </row>
    <row r="620" ht="80" customHeight="1">
      <c r="A620" s="40" t="inlineStr">
        <is>
          <t>TC-617</t>
        </is>
      </c>
      <c r="B620" s="45" t="inlineStr">
        <is>
          <t>RED</t>
        </is>
      </c>
      <c r="C620" s="42" t="inlineStr">
        <is>
          <t>P0</t>
        </is>
      </c>
      <c r="D620" s="43" t="inlineStr">
        <is>
          <t>Delegations</t>
        </is>
      </c>
      <c r="E620" s="43" t="inlineStr">
        <is>
          <t>delegationNumber rỗng → 400</t>
        </is>
      </c>
      <c r="F620" s="40" t="inlineStr">
        <is>
          <t>REQ-CASE-DELEGATIONS-617</t>
        </is>
      </c>
      <c r="G620" s="40" t="inlineStr">
        <is>
          <t>Use case testing</t>
        </is>
      </c>
      <c r="H620" s="40" t="inlineStr">
        <is>
          <t>Cao</t>
        </is>
      </c>
      <c r="I620" s="43" t="inlineStr">
        <is>
          <t>1. User đã login
2. Token JWT hợp lệ</t>
        </is>
      </c>
      <c r="J620" s="43" t="inlineStr">
        <is>
          <t>-</t>
        </is>
      </c>
      <c r="K620" s="43" t="inlineStr">
        <is>
          <t>-</t>
        </is>
      </c>
      <c r="L620" s="43" t="inlineStr">
        <is>
          <t>-</t>
        </is>
      </c>
      <c r="M620" s="43" t="inlineStr">
        <is>
          <t>400</t>
        </is>
      </c>
      <c r="N620" s="43" t="inlineStr">
        <is>
          <t>-</t>
        </is>
      </c>
      <c r="O620" s="40" t="inlineStr">
        <is>
          <t>High</t>
        </is>
      </c>
      <c r="P620" s="43" t="inlineStr">
        <is>
          <t>Thời gian: 172ms</t>
        </is>
      </c>
      <c r="Q620" s="40" t="inlineStr">
        <is>
          <t>Không đạt</t>
        </is>
      </c>
      <c r="R620" s="40" t="inlineStr">
        <is>
          <t>BUG-100</t>
        </is>
      </c>
      <c r="S620" s="40" t="inlineStr">
        <is>
          <t>23/05/2026 19:06</t>
        </is>
      </c>
      <c r="T620" s="43" t="inlineStr">
        <is>
          <t>R1:Không đạt</t>
        </is>
      </c>
      <c r="U620" s="40" t="inlineStr"/>
      <c r="V620" s="43" t="inlineStr"/>
    </row>
    <row r="621" ht="80" customHeight="1">
      <c r="A621" s="40" t="inlineStr">
        <is>
          <t>TC-618</t>
        </is>
      </c>
      <c r="B621" s="45" t="inlineStr">
        <is>
          <t>RED</t>
        </is>
      </c>
      <c r="C621" s="42" t="inlineStr">
        <is>
          <t>P0</t>
        </is>
      </c>
      <c r="D621" s="43" t="inlineStr">
        <is>
          <t>Delegations</t>
        </is>
      </c>
      <c r="E621" s="43" t="inlineStr">
        <is>
          <t>receivingUnit rỗng → 400</t>
        </is>
      </c>
      <c r="F621" s="40" t="inlineStr">
        <is>
          <t>REQ-CASE-DELEGATIONS-618</t>
        </is>
      </c>
      <c r="G621" s="40" t="inlineStr">
        <is>
          <t>Use case testing</t>
        </is>
      </c>
      <c r="H621" s="40" t="inlineStr">
        <is>
          <t>Cao</t>
        </is>
      </c>
      <c r="I621" s="43" t="inlineStr">
        <is>
          <t>1. User đã login
2. Token JWT hợp lệ</t>
        </is>
      </c>
      <c r="J621" s="43" t="inlineStr">
        <is>
          <t>-</t>
        </is>
      </c>
      <c r="K621" s="43" t="inlineStr">
        <is>
          <t>-</t>
        </is>
      </c>
      <c r="L621" s="43" t="inlineStr">
        <is>
          <t>-</t>
        </is>
      </c>
      <c r="M621" s="43" t="inlineStr">
        <is>
          <t>400</t>
        </is>
      </c>
      <c r="N621" s="43" t="inlineStr">
        <is>
          <t>-</t>
        </is>
      </c>
      <c r="O621" s="40" t="inlineStr">
        <is>
          <t>High</t>
        </is>
      </c>
      <c r="P621" s="43" t="inlineStr">
        <is>
          <t>Thời gian: 141ms</t>
        </is>
      </c>
      <c r="Q621" s="40" t="inlineStr">
        <is>
          <t>Không đạt</t>
        </is>
      </c>
      <c r="R621" s="40" t="inlineStr">
        <is>
          <t>BUG-101</t>
        </is>
      </c>
      <c r="S621" s="40" t="inlineStr">
        <is>
          <t>23/05/2026 19:06</t>
        </is>
      </c>
      <c r="T621" s="43" t="inlineStr">
        <is>
          <t>R1:Không đạt</t>
        </is>
      </c>
      <c r="U621" s="40" t="inlineStr"/>
      <c r="V621" s="43" t="inlineStr"/>
    </row>
    <row r="622" ht="80" customHeight="1">
      <c r="A622" s="40" t="inlineStr">
        <is>
          <t>TC-619</t>
        </is>
      </c>
      <c r="B622" s="45" t="inlineStr">
        <is>
          <t>RED</t>
        </is>
      </c>
      <c r="C622" s="42" t="inlineStr">
        <is>
          <t>P0</t>
        </is>
      </c>
      <c r="D622" s="43" t="inlineStr">
        <is>
          <t>Delegations</t>
        </is>
      </c>
      <c r="E622" s="43" t="inlineStr">
        <is>
          <t>content rỗng → 400</t>
        </is>
      </c>
      <c r="F622" s="40" t="inlineStr">
        <is>
          <t>REQ-CASE-DELEGATIONS-619</t>
        </is>
      </c>
      <c r="G622" s="40" t="inlineStr">
        <is>
          <t>Use case testing</t>
        </is>
      </c>
      <c r="H622" s="40" t="inlineStr">
        <is>
          <t>Cao</t>
        </is>
      </c>
      <c r="I622" s="43" t="inlineStr">
        <is>
          <t>1. User đã login
2. Token JWT hợp lệ</t>
        </is>
      </c>
      <c r="J622" s="43" t="inlineStr">
        <is>
          <t>-</t>
        </is>
      </c>
      <c r="K622" s="43" t="inlineStr">
        <is>
          <t>-</t>
        </is>
      </c>
      <c r="L622" s="43" t="inlineStr">
        <is>
          <t>-</t>
        </is>
      </c>
      <c r="M622" s="43" t="inlineStr">
        <is>
          <t>400</t>
        </is>
      </c>
      <c r="N622" s="43" t="inlineStr">
        <is>
          <t>-</t>
        </is>
      </c>
      <c r="O622" s="40" t="inlineStr">
        <is>
          <t>High</t>
        </is>
      </c>
      <c r="P622" s="43" t="inlineStr">
        <is>
          <t>Thời gian: 178ms</t>
        </is>
      </c>
      <c r="Q622" s="40" t="inlineStr">
        <is>
          <t>Không đạt</t>
        </is>
      </c>
      <c r="R622" s="40" t="inlineStr">
        <is>
          <t>BUG-102</t>
        </is>
      </c>
      <c r="S622" s="40" t="inlineStr">
        <is>
          <t>23/05/2026 19:06</t>
        </is>
      </c>
      <c r="T622" s="43" t="inlineStr">
        <is>
          <t>R1:Không đạt</t>
        </is>
      </c>
      <c r="U622" s="40" t="inlineStr"/>
      <c r="V622" s="43" t="inlineStr"/>
    </row>
    <row r="623" ht="80" customHeight="1">
      <c r="A623" s="40" t="inlineStr">
        <is>
          <t>TC-620</t>
        </is>
      </c>
      <c r="B623" s="45" t="inlineStr">
        <is>
          <t>RED</t>
        </is>
      </c>
      <c r="C623" s="42" t="inlineStr">
        <is>
          <t>P0</t>
        </is>
      </c>
      <c r="D623" s="43" t="inlineStr">
        <is>
          <t>Delegations</t>
        </is>
      </c>
      <c r="E623" s="43" t="inlineStr">
        <is>
          <t>delegationNumber duplicate → 409</t>
        </is>
      </c>
      <c r="F623" s="40" t="inlineStr">
        <is>
          <t>REQ-CASE-DELEGATIONS-620</t>
        </is>
      </c>
      <c r="G623" s="40" t="inlineStr">
        <is>
          <t>Use case testing</t>
        </is>
      </c>
      <c r="H623" s="40" t="inlineStr">
        <is>
          <t>Cao</t>
        </is>
      </c>
      <c r="I623" s="43" t="inlineStr">
        <is>
          <t>1. User đã login
2. Token JWT hợp lệ</t>
        </is>
      </c>
      <c r="J623" s="43" t="inlineStr">
        <is>
          <t>-</t>
        </is>
      </c>
      <c r="K623" s="43" t="inlineStr">
        <is>
          <t>-</t>
        </is>
      </c>
      <c r="L623" s="43" t="inlineStr">
        <is>
          <t>-</t>
        </is>
      </c>
      <c r="M623" s="43" t="inlineStr">
        <is>
          <t>409</t>
        </is>
      </c>
      <c r="N623" s="43" t="inlineStr">
        <is>
          <t>-</t>
        </is>
      </c>
      <c r="O623" s="40" t="inlineStr">
        <is>
          <t>High</t>
        </is>
      </c>
      <c r="P623" s="43" t="inlineStr">
        <is>
          <t>Thời gian: 911ms</t>
        </is>
      </c>
      <c r="Q623" s="40" t="inlineStr">
        <is>
          <t>Không đạt</t>
        </is>
      </c>
      <c r="R623" s="40" t="inlineStr">
        <is>
          <t>BUG-103</t>
        </is>
      </c>
      <c r="S623" s="40" t="inlineStr">
        <is>
          <t>23/05/2026 19:06</t>
        </is>
      </c>
      <c r="T623" s="43" t="inlineStr">
        <is>
          <t>R1:Không đạt</t>
        </is>
      </c>
      <c r="U623" s="40" t="inlineStr"/>
      <c r="V623" s="43" t="inlineStr"/>
    </row>
    <row r="624" ht="80" customHeight="1">
      <c r="A624" s="40" t="inlineStr">
        <is>
          <t>TC-621</t>
        </is>
      </c>
      <c r="B624" s="41" t="inlineStr">
        <is>
          <t>GREEN</t>
        </is>
      </c>
      <c r="C624" s="42" t="inlineStr">
        <is>
          <t>P0</t>
        </is>
      </c>
      <c r="D624" s="43" t="inlineStr">
        <is>
          <t>Delegations</t>
        </is>
      </c>
      <c r="E624" s="43" t="inlineStr">
        <is>
          <t>relatedCaseId optional</t>
        </is>
      </c>
      <c r="F624" s="40" t="inlineStr">
        <is>
          <t>REQ-CASE-DELEGATIONS-621</t>
        </is>
      </c>
      <c r="G624" s="40" t="inlineStr">
        <is>
          <t>Use case testing</t>
        </is>
      </c>
      <c r="H624" s="40" t="inlineStr">
        <is>
          <t>Cao</t>
        </is>
      </c>
      <c r="I624" s="43" t="inlineStr">
        <is>
          <t>1. User đã login
2. Token JWT hợp lệ</t>
        </is>
      </c>
      <c r="J624" s="43" t="inlineStr">
        <is>
          <t>-</t>
        </is>
      </c>
      <c r="K624" s="43" t="inlineStr">
        <is>
          <t>-</t>
        </is>
      </c>
      <c r="L624" s="43" t="inlineStr">
        <is>
          <t>-</t>
        </is>
      </c>
      <c r="M624" s="43" t="inlineStr">
        <is>
          <t>201</t>
        </is>
      </c>
      <c r="N624" s="43" t="inlineStr">
        <is>
          <t>-</t>
        </is>
      </c>
      <c r="O624" s="40" t="inlineStr">
        <is>
          <t>Medium</t>
        </is>
      </c>
      <c r="P624" s="43" t="inlineStr">
        <is>
          <t>Đạt như expected. Thời gian: 735ms</t>
        </is>
      </c>
      <c r="Q624" s="40" t="inlineStr">
        <is>
          <t>Đạt</t>
        </is>
      </c>
      <c r="R624" s="40" t="inlineStr"/>
      <c r="S624" s="40" t="inlineStr">
        <is>
          <t>23/05/2026 19:06</t>
        </is>
      </c>
      <c r="T624" s="43" t="inlineStr">
        <is>
          <t>R1:Đạt</t>
        </is>
      </c>
      <c r="U624" s="40" t="inlineStr"/>
      <c r="V624" s="43" t="inlineStr"/>
    </row>
    <row r="625" ht="80" customHeight="1">
      <c r="A625" s="40" t="inlineStr">
        <is>
          <t>TC-622</t>
        </is>
      </c>
      <c r="B625" s="45" t="inlineStr">
        <is>
          <t>RED</t>
        </is>
      </c>
      <c r="C625" s="42" t="inlineStr">
        <is>
          <t>P0</t>
        </is>
      </c>
      <c r="D625" s="43" t="inlineStr">
        <is>
          <t>Delegations</t>
        </is>
      </c>
      <c r="E625" s="43" t="inlineStr">
        <is>
          <t>relatedCaseId không tồn tại → 400</t>
        </is>
      </c>
      <c r="F625" s="40" t="inlineStr">
        <is>
          <t>REQ-CASE-DELEGATIONS-622</t>
        </is>
      </c>
      <c r="G625" s="40" t="inlineStr">
        <is>
          <t>Use case testing</t>
        </is>
      </c>
      <c r="H625" s="40" t="inlineStr">
        <is>
          <t>Cao</t>
        </is>
      </c>
      <c r="I625" s="43" t="inlineStr">
        <is>
          <t>1. User đã login
2. Token JWT hợp lệ</t>
        </is>
      </c>
      <c r="J625" s="43" t="inlineStr">
        <is>
          <t>-</t>
        </is>
      </c>
      <c r="K625" s="43" t="inlineStr">
        <is>
          <t>-</t>
        </is>
      </c>
      <c r="L625" s="43" t="inlineStr">
        <is>
          <t>-</t>
        </is>
      </c>
      <c r="M625" s="43" t="inlineStr">
        <is>
          <t>400</t>
        </is>
      </c>
      <c r="N625" s="43" t="inlineStr">
        <is>
          <t>-</t>
        </is>
      </c>
      <c r="O625" s="40" t="inlineStr">
        <is>
          <t>High</t>
        </is>
      </c>
      <c r="P625" s="43" t="inlineStr">
        <is>
          <t>Thời gian: 96ms</t>
        </is>
      </c>
      <c r="Q625" s="40" t="inlineStr">
        <is>
          <t>Không đạt</t>
        </is>
      </c>
      <c r="R625" s="40" t="inlineStr">
        <is>
          <t>BUG-104</t>
        </is>
      </c>
      <c r="S625" s="40" t="inlineStr">
        <is>
          <t>23/05/2026 19:06</t>
        </is>
      </c>
      <c r="T625" s="43" t="inlineStr">
        <is>
          <t>R1:Không đạt</t>
        </is>
      </c>
      <c r="U625" s="40" t="inlineStr"/>
      <c r="V625" s="43" t="inlineStr"/>
    </row>
    <row r="626" ht="80" customHeight="1">
      <c r="A626" s="40" t="inlineStr">
        <is>
          <t>TC-623</t>
        </is>
      </c>
      <c r="B626" s="41" t="inlineStr">
        <is>
          <t>GREEN</t>
        </is>
      </c>
      <c r="C626" s="42" t="inlineStr">
        <is>
          <t>P0</t>
        </is>
      </c>
      <c r="D626" s="43" t="inlineStr">
        <is>
          <t>Delegations</t>
        </is>
      </c>
      <c r="E626" s="43" t="inlineStr">
        <is>
          <t>GET list paginated</t>
        </is>
      </c>
      <c r="F626" s="40" t="inlineStr">
        <is>
          <t>REQ-CASE-DELEGATIONS-623</t>
        </is>
      </c>
      <c r="G626" s="40" t="inlineStr">
        <is>
          <t>Use case testing</t>
        </is>
      </c>
      <c r="H626" s="40" t="inlineStr">
        <is>
          <t>Cao</t>
        </is>
      </c>
      <c r="I626" s="43" t="inlineStr">
        <is>
          <t>1. User đã login
2. Token JWT hợp lệ</t>
        </is>
      </c>
      <c r="J626" s="43" t="inlineStr">
        <is>
          <t>-</t>
        </is>
      </c>
      <c r="K626" s="43" t="inlineStr">
        <is>
          <t>-</t>
        </is>
      </c>
      <c r="L626" s="43" t="inlineStr">
        <is>
          <t>-</t>
        </is>
      </c>
      <c r="M626" s="43" t="inlineStr">
        <is>
          <t>200</t>
        </is>
      </c>
      <c r="N626" s="43" t="inlineStr">
        <is>
          <t>-</t>
        </is>
      </c>
      <c r="O626" s="40" t="inlineStr">
        <is>
          <t>High</t>
        </is>
      </c>
      <c r="P626" s="43" t="inlineStr">
        <is>
          <t>Đạt như expected. Thời gian: 811ms</t>
        </is>
      </c>
      <c r="Q626" s="40" t="inlineStr">
        <is>
          <t>Đạt</t>
        </is>
      </c>
      <c r="R626" s="40" t="inlineStr"/>
      <c r="S626" s="40" t="inlineStr">
        <is>
          <t>23/05/2026 19:06</t>
        </is>
      </c>
      <c r="T626" s="43" t="inlineStr">
        <is>
          <t>R1:Đạt</t>
        </is>
      </c>
      <c r="U626" s="40" t="inlineStr"/>
      <c r="V626" s="43" t="inlineStr"/>
    </row>
    <row r="627" ht="80" customHeight="1">
      <c r="A627" s="40" t="inlineStr">
        <is>
          <t>TC-624</t>
        </is>
      </c>
      <c r="B627" s="41" t="inlineStr">
        <is>
          <t>GREEN</t>
        </is>
      </c>
      <c r="C627" s="42" t="inlineStr">
        <is>
          <t>P0</t>
        </is>
      </c>
      <c r="D627" s="43" t="inlineStr">
        <is>
          <t>Delegations</t>
        </is>
      </c>
      <c r="E627" s="43" t="inlineStr">
        <is>
          <t>GET detail</t>
        </is>
      </c>
      <c r="F627" s="40" t="inlineStr">
        <is>
          <t>REQ-CASE-DELEGATIONS-624</t>
        </is>
      </c>
      <c r="G627" s="40" t="inlineStr">
        <is>
          <t>Use case testing</t>
        </is>
      </c>
      <c r="H627" s="40" t="inlineStr">
        <is>
          <t>Cao</t>
        </is>
      </c>
      <c r="I627" s="43" t="inlineStr">
        <is>
          <t>1. User đã login
2. Token JWT hợp lệ</t>
        </is>
      </c>
      <c r="J627" s="43" t="inlineStr">
        <is>
          <t>-</t>
        </is>
      </c>
      <c r="K627" s="43" t="inlineStr">
        <is>
          <t>-</t>
        </is>
      </c>
      <c r="L627" s="43" t="inlineStr">
        <is>
          <t>-</t>
        </is>
      </c>
      <c r="M627" s="43" t="inlineStr">
        <is>
          <t>200</t>
        </is>
      </c>
      <c r="N627" s="43" t="inlineStr">
        <is>
          <t>-</t>
        </is>
      </c>
      <c r="O627" s="40" t="inlineStr">
        <is>
          <t>High</t>
        </is>
      </c>
      <c r="P627" s="43" t="inlineStr">
        <is>
          <t>Đạt như expected. Thời gian: 56ms</t>
        </is>
      </c>
      <c r="Q627" s="40" t="inlineStr">
        <is>
          <t>Đạt</t>
        </is>
      </c>
      <c r="R627" s="40" t="inlineStr"/>
      <c r="S627" s="40" t="inlineStr">
        <is>
          <t>23/05/2026 19:06</t>
        </is>
      </c>
      <c r="T627" s="43" t="inlineStr">
        <is>
          <t>R1:Đạt</t>
        </is>
      </c>
      <c r="U627" s="40" t="inlineStr"/>
      <c r="V627" s="43" t="inlineStr"/>
    </row>
    <row r="628" ht="80" customHeight="1">
      <c r="A628" s="40" t="inlineStr">
        <is>
          <t>TC-625</t>
        </is>
      </c>
      <c r="B628" s="45" t="inlineStr">
        <is>
          <t>RED</t>
        </is>
      </c>
      <c r="C628" s="42" t="inlineStr">
        <is>
          <t>P0</t>
        </is>
      </c>
      <c r="D628" s="43" t="inlineStr">
        <is>
          <t>Delegations</t>
        </is>
      </c>
      <c r="E628" s="43" t="inlineStr">
        <is>
          <t>GET ngoài scope → 403</t>
        </is>
      </c>
      <c r="F628" s="40" t="inlineStr">
        <is>
          <t>REQ-CASE-DELEGATIONS-625</t>
        </is>
      </c>
      <c r="G628" s="40" t="inlineStr">
        <is>
          <t>Use case testing</t>
        </is>
      </c>
      <c r="H628" s="40" t="inlineStr">
        <is>
          <t>Cao</t>
        </is>
      </c>
      <c r="I628" s="43" t="inlineStr">
        <is>
          <t>1. User đã login
2. Token JWT hợp lệ</t>
        </is>
      </c>
      <c r="J628" s="43" t="inlineStr">
        <is>
          <t>-</t>
        </is>
      </c>
      <c r="K628" s="43" t="inlineStr">
        <is>
          <t>-</t>
        </is>
      </c>
      <c r="L628" s="43" t="inlineStr">
        <is>
          <t>-</t>
        </is>
      </c>
      <c r="M628" s="43" t="inlineStr">
        <is>
          <t>403</t>
        </is>
      </c>
      <c r="N628" s="43" t="inlineStr">
        <is>
          <t>-</t>
        </is>
      </c>
      <c r="O628" s="40" t="inlineStr">
        <is>
          <t>Critical</t>
        </is>
      </c>
      <c r="P628" s="43" t="inlineStr">
        <is>
          <t>Thời gian: 86ms</t>
        </is>
      </c>
      <c r="Q628" s="40" t="inlineStr">
        <is>
          <t>Không đạt</t>
        </is>
      </c>
      <c r="R628" s="40" t="inlineStr">
        <is>
          <t>BUG-105</t>
        </is>
      </c>
      <c r="S628" s="40" t="inlineStr">
        <is>
          <t>23/05/2026 19:06</t>
        </is>
      </c>
      <c r="T628" s="43" t="inlineStr">
        <is>
          <t>R1:Không đạt</t>
        </is>
      </c>
      <c r="U628" s="40" t="inlineStr"/>
      <c r="V628" s="43" t="inlineStr"/>
    </row>
    <row r="629" ht="80" customHeight="1">
      <c r="A629" s="40" t="inlineStr">
        <is>
          <t>TC-626</t>
        </is>
      </c>
      <c r="B629" s="45" t="inlineStr">
        <is>
          <t>RED</t>
        </is>
      </c>
      <c r="C629" s="42" t="inlineStr">
        <is>
          <t>P0</t>
        </is>
      </c>
      <c r="D629" s="43" t="inlineStr">
        <is>
          <t>Delegations</t>
        </is>
      </c>
      <c r="E629" s="43" t="inlineStr">
        <is>
          <t>GET NOT_EXIST → 404</t>
        </is>
      </c>
      <c r="F629" s="40" t="inlineStr">
        <is>
          <t>REQ-CASE-DELEGATIONS-626</t>
        </is>
      </c>
      <c r="G629" s="40" t="inlineStr">
        <is>
          <t>Use case testing</t>
        </is>
      </c>
      <c r="H629" s="40" t="inlineStr">
        <is>
          <t>Cao</t>
        </is>
      </c>
      <c r="I629" s="43" t="inlineStr">
        <is>
          <t>1. User đã login
2. Token JWT hợp lệ</t>
        </is>
      </c>
      <c r="J629" s="43" t="inlineStr">
        <is>
          <t>-</t>
        </is>
      </c>
      <c r="K629" s="43" t="inlineStr">
        <is>
          <t>-</t>
        </is>
      </c>
      <c r="L629" s="43" t="inlineStr">
        <is>
          <t>-</t>
        </is>
      </c>
      <c r="M629" s="43" t="inlineStr">
        <is>
          <t>404</t>
        </is>
      </c>
      <c r="N629" s="43" t="inlineStr">
        <is>
          <t>-</t>
        </is>
      </c>
      <c r="O629" s="40" t="inlineStr">
        <is>
          <t>High</t>
        </is>
      </c>
      <c r="P629" s="43" t="inlineStr">
        <is>
          <t>Thời gian: 115ms</t>
        </is>
      </c>
      <c r="Q629" s="40" t="inlineStr">
        <is>
          <t>Không đạt</t>
        </is>
      </c>
      <c r="R629" s="40" t="inlineStr">
        <is>
          <t>BUG-106</t>
        </is>
      </c>
      <c r="S629" s="40" t="inlineStr">
        <is>
          <t>23/05/2026 19:06</t>
        </is>
      </c>
      <c r="T629" s="43" t="inlineStr">
        <is>
          <t>R1:Không đạt</t>
        </is>
      </c>
      <c r="U629" s="40" t="inlineStr"/>
      <c r="V629" s="43" t="inlineStr"/>
    </row>
    <row r="630" ht="80" customHeight="1">
      <c r="A630" s="40" t="inlineStr">
        <is>
          <t>TC-627</t>
        </is>
      </c>
      <c r="B630" s="41" t="inlineStr">
        <is>
          <t>GREEN</t>
        </is>
      </c>
      <c r="C630" s="42" t="inlineStr">
        <is>
          <t>P0</t>
        </is>
      </c>
      <c r="D630" s="43" t="inlineStr">
        <is>
          <t>Delegations</t>
        </is>
      </c>
      <c r="E630" s="43" t="inlineStr">
        <is>
          <t>PUT update content + completedDate</t>
        </is>
      </c>
      <c r="F630" s="40" t="inlineStr">
        <is>
          <t>REQ-CASE-DELEGATIONS-627</t>
        </is>
      </c>
      <c r="G630" s="40" t="inlineStr">
        <is>
          <t>Use case testing</t>
        </is>
      </c>
      <c r="H630" s="40" t="inlineStr">
        <is>
          <t>Cao</t>
        </is>
      </c>
      <c r="I630" s="43" t="inlineStr">
        <is>
          <t>1. User đã login
2. Token JWT hợp lệ</t>
        </is>
      </c>
      <c r="J630" s="43" t="inlineStr">
        <is>
          <t>-</t>
        </is>
      </c>
      <c r="K630" s="43" t="inlineStr">
        <is>
          <t>-</t>
        </is>
      </c>
      <c r="L630" s="43" t="inlineStr">
        <is>
          <t>-</t>
        </is>
      </c>
      <c r="M630" s="43" t="inlineStr">
        <is>
          <t>200</t>
        </is>
      </c>
      <c r="N630" s="43" t="inlineStr">
        <is>
          <t>Audit</t>
        </is>
      </c>
      <c r="O630" s="40" t="inlineStr">
        <is>
          <t>High</t>
        </is>
      </c>
      <c r="P630" s="43" t="inlineStr">
        <is>
          <t>Thời gian: 130ms</t>
        </is>
      </c>
      <c r="Q630" s="40" t="inlineStr">
        <is>
          <t>Không đạt</t>
        </is>
      </c>
      <c r="R630" s="40" t="inlineStr">
        <is>
          <t>BUG-107</t>
        </is>
      </c>
      <c r="S630" s="40" t="inlineStr">
        <is>
          <t>23/05/2026 19:06</t>
        </is>
      </c>
      <c r="T630" s="43" t="inlineStr">
        <is>
          <t>R1:Không đạt</t>
        </is>
      </c>
      <c r="U630" s="40" t="inlineStr"/>
      <c r="V630" s="43" t="inlineStr"/>
    </row>
    <row r="631" ht="80" customHeight="1">
      <c r="A631" s="40" t="inlineStr">
        <is>
          <t>TC-628</t>
        </is>
      </c>
      <c r="B631" s="41" t="inlineStr">
        <is>
          <t>GREEN</t>
        </is>
      </c>
      <c r="C631" s="42" t="inlineStr">
        <is>
          <t>P0</t>
        </is>
      </c>
      <c r="D631" s="43" t="inlineStr">
        <is>
          <t>Delegations</t>
        </is>
      </c>
      <c r="E631" s="43" t="inlineStr">
        <is>
          <t>DELETE soft delete</t>
        </is>
      </c>
      <c r="F631" s="40" t="inlineStr">
        <is>
          <t>REQ-CASE-DELEGATIONS-628</t>
        </is>
      </c>
      <c r="G631" s="40" t="inlineStr">
        <is>
          <t>Use case testing</t>
        </is>
      </c>
      <c r="H631" s="40" t="inlineStr">
        <is>
          <t>Cao</t>
        </is>
      </c>
      <c r="I631" s="43" t="inlineStr">
        <is>
          <t>1. User đã login
2. Token JWT hợp lệ</t>
        </is>
      </c>
      <c r="J631" s="43" t="inlineStr">
        <is>
          <t>-</t>
        </is>
      </c>
      <c r="K631" s="43" t="inlineStr">
        <is>
          <t>-</t>
        </is>
      </c>
      <c r="L631" s="43" t="inlineStr">
        <is>
          <t>-</t>
        </is>
      </c>
      <c r="M631" s="43" t="inlineStr">
        <is>
          <t>200</t>
        </is>
      </c>
      <c r="N631" s="43" t="inlineStr">
        <is>
          <t>-</t>
        </is>
      </c>
      <c r="O631" s="40" t="inlineStr">
        <is>
          <t>High</t>
        </is>
      </c>
      <c r="P631" s="43" t="inlineStr">
        <is>
          <t>Thời gian: 138ms</t>
        </is>
      </c>
      <c r="Q631" s="40" t="inlineStr">
        <is>
          <t>Không đạt</t>
        </is>
      </c>
      <c r="R631" s="40" t="inlineStr">
        <is>
          <t>BUG-108</t>
        </is>
      </c>
      <c r="S631" s="40" t="inlineStr">
        <is>
          <t>23/05/2026 19:06</t>
        </is>
      </c>
      <c r="T631" s="43" t="inlineStr">
        <is>
          <t>R1:Không đạt</t>
        </is>
      </c>
      <c r="U631" s="40" t="inlineStr"/>
      <c r="V631" s="43" t="inlineStr"/>
    </row>
    <row r="632" ht="80" customHeight="1">
      <c r="A632" s="40" t="inlineStr">
        <is>
          <t>TC-629</t>
        </is>
      </c>
      <c r="B632" s="46" t="inlineStr">
        <is>
          <t>STATE</t>
        </is>
      </c>
      <c r="C632" s="42" t="inlineStr">
        <is>
          <t>P0</t>
        </is>
      </c>
      <c r="D632" s="43" t="inlineStr">
        <is>
          <t>Delegations</t>
        </is>
      </c>
      <c r="E632" s="43" t="inlineStr">
        <is>
          <t>Transition PENDING → IN_PROGRESS</t>
        </is>
      </c>
      <c r="F632" s="40" t="inlineStr">
        <is>
          <t>REQ-CASE-DELEGATIONS-629</t>
        </is>
      </c>
      <c r="G632" s="40" t="inlineStr">
        <is>
          <t>Use case testing</t>
        </is>
      </c>
      <c r="H632" s="40" t="inlineStr">
        <is>
          <t>Cao</t>
        </is>
      </c>
      <c r="I632" s="43" t="inlineStr">
        <is>
          <t>1. User đã login
2. Token JWT hợp lệ</t>
        </is>
      </c>
      <c r="J632" s="43" t="inlineStr">
        <is>
          <t>-</t>
        </is>
      </c>
      <c r="K632" s="43" t="inlineStr">
        <is>
          <t>-</t>
        </is>
      </c>
      <c r="L632" s="43" t="inlineStr">
        <is>
          <t>-</t>
        </is>
      </c>
      <c r="M632" s="43" t="inlineStr">
        <is>
          <t>200</t>
        </is>
      </c>
      <c r="N632" s="43" t="inlineStr">
        <is>
          <t>-</t>
        </is>
      </c>
      <c r="O632" s="40" t="inlineStr">
        <is>
          <t>High</t>
        </is>
      </c>
      <c r="P632" s="43" t="inlineStr">
        <is>
          <t>Thời gian: 192ms</t>
        </is>
      </c>
      <c r="Q632" s="40" t="inlineStr">
        <is>
          <t>Không đạt</t>
        </is>
      </c>
      <c r="R632" s="40" t="inlineStr">
        <is>
          <t>BUG-109</t>
        </is>
      </c>
      <c r="S632" s="40" t="inlineStr">
        <is>
          <t>23/05/2026 19:06</t>
        </is>
      </c>
      <c r="T632" s="43" t="inlineStr">
        <is>
          <t>R1:Không đạt</t>
        </is>
      </c>
      <c r="U632" s="40" t="inlineStr"/>
      <c r="V632" s="43" t="inlineStr"/>
    </row>
    <row r="633" ht="80" customHeight="1">
      <c r="A633" s="40" t="inlineStr">
        <is>
          <t>TC-630</t>
        </is>
      </c>
      <c r="B633" s="46" t="inlineStr">
        <is>
          <t>STATE</t>
        </is>
      </c>
      <c r="C633" s="42" t="inlineStr">
        <is>
          <t>P0</t>
        </is>
      </c>
      <c r="D633" s="43" t="inlineStr">
        <is>
          <t>Delegations</t>
        </is>
      </c>
      <c r="E633" s="43" t="inlineStr">
        <is>
          <t>Transition IN_PROGRESS → COMPLETED</t>
        </is>
      </c>
      <c r="F633" s="40" t="inlineStr">
        <is>
          <t>REQ-CASE-DELEGATIONS-630</t>
        </is>
      </c>
      <c r="G633" s="40" t="inlineStr">
        <is>
          <t>Use case testing</t>
        </is>
      </c>
      <c r="H633" s="40" t="inlineStr">
        <is>
          <t>Cao</t>
        </is>
      </c>
      <c r="I633" s="43" t="inlineStr">
        <is>
          <t>1. User đã login
2. Token JWT hợp lệ</t>
        </is>
      </c>
      <c r="J633" s="43" t="inlineStr">
        <is>
          <t>-</t>
        </is>
      </c>
      <c r="K633" s="43" t="inlineStr">
        <is>
          <t>-</t>
        </is>
      </c>
      <c r="L633" s="43" t="inlineStr">
        <is>
          <t>-</t>
        </is>
      </c>
      <c r="M633" s="43" t="inlineStr">
        <is>
          <t>200</t>
        </is>
      </c>
      <c r="N633" s="43" t="inlineStr">
        <is>
          <t>-</t>
        </is>
      </c>
      <c r="O633" s="40" t="inlineStr">
        <is>
          <t>High</t>
        </is>
      </c>
      <c r="P633" s="43" t="inlineStr">
        <is>
          <t>Thời gian: 165ms</t>
        </is>
      </c>
      <c r="Q633" s="40" t="inlineStr">
        <is>
          <t>Không đạt</t>
        </is>
      </c>
      <c r="R633" s="40" t="inlineStr">
        <is>
          <t>BUG-110</t>
        </is>
      </c>
      <c r="S633" s="40" t="inlineStr">
        <is>
          <t>23/05/2026 19:06</t>
        </is>
      </c>
      <c r="T633" s="43" t="inlineStr">
        <is>
          <t>R1:Không đạt</t>
        </is>
      </c>
      <c r="U633" s="40" t="inlineStr"/>
      <c r="V633" s="43" t="inlineStr"/>
    </row>
    <row r="634" ht="80" customHeight="1">
      <c r="A634" s="40" t="inlineStr">
        <is>
          <t>TC-631</t>
        </is>
      </c>
      <c r="B634" s="46" t="inlineStr">
        <is>
          <t>STATE</t>
        </is>
      </c>
      <c r="C634" s="42" t="inlineStr">
        <is>
          <t>P0</t>
        </is>
      </c>
      <c r="D634" s="43" t="inlineStr">
        <is>
          <t>Delegations</t>
        </is>
      </c>
      <c r="E634" s="43" t="inlineStr">
        <is>
          <t>Transition any → CANCELLED</t>
        </is>
      </c>
      <c r="F634" s="40" t="inlineStr">
        <is>
          <t>REQ-CASE-DELEGATIONS-631</t>
        </is>
      </c>
      <c r="G634" s="40" t="inlineStr">
        <is>
          <t>Use case testing</t>
        </is>
      </c>
      <c r="H634" s="40" t="inlineStr">
        <is>
          <t>Cao</t>
        </is>
      </c>
      <c r="I634" s="43" t="inlineStr">
        <is>
          <t>1. User đã login
2. Token JWT hợp lệ</t>
        </is>
      </c>
      <c r="J634" s="43" t="inlineStr">
        <is>
          <t>-</t>
        </is>
      </c>
      <c r="K634" s="43" t="inlineStr">
        <is>
          <t>-</t>
        </is>
      </c>
      <c r="L634" s="43" t="inlineStr">
        <is>
          <t>-</t>
        </is>
      </c>
      <c r="M634" s="43" t="inlineStr">
        <is>
          <t>200</t>
        </is>
      </c>
      <c r="N634" s="43" t="inlineStr">
        <is>
          <t>-</t>
        </is>
      </c>
      <c r="O634" s="40" t="inlineStr">
        <is>
          <t>Medium</t>
        </is>
      </c>
      <c r="P634" s="43" t="inlineStr">
        <is>
          <t>Thời gian: 132ms</t>
        </is>
      </c>
      <c r="Q634" s="40" t="inlineStr">
        <is>
          <t>Không đạt</t>
        </is>
      </c>
      <c r="R634" s="40" t="inlineStr">
        <is>
          <t>BUG-111</t>
        </is>
      </c>
      <c r="S634" s="40" t="inlineStr">
        <is>
          <t>23/05/2026 19:06</t>
        </is>
      </c>
      <c r="T634" s="43" t="inlineStr">
        <is>
          <t>R1:Không đạt</t>
        </is>
      </c>
      <c r="U634" s="40" t="inlineStr"/>
      <c r="V634" s="43" t="inlineStr"/>
    </row>
    <row r="635" ht="80" customHeight="1">
      <c r="A635" s="40" t="inlineStr">
        <is>
          <t>TC-632</t>
        </is>
      </c>
      <c r="B635" s="45" t="inlineStr">
        <is>
          <t>RED</t>
        </is>
      </c>
      <c r="C635" s="42" t="inlineStr">
        <is>
          <t>P0</t>
        </is>
      </c>
      <c r="D635" s="43" t="inlineStr">
        <is>
          <t>Delegations</t>
        </is>
      </c>
      <c r="E635" s="43" t="inlineStr">
        <is>
          <t>COMPLETED → PENDING (downgrade) → block</t>
        </is>
      </c>
      <c r="F635" s="40" t="inlineStr">
        <is>
          <t>REQ-CASE-DELEGATIONS-632</t>
        </is>
      </c>
      <c r="G635" s="40" t="inlineStr">
        <is>
          <t>Use case testing</t>
        </is>
      </c>
      <c r="H635" s="40" t="inlineStr">
        <is>
          <t>Cao</t>
        </is>
      </c>
      <c r="I635" s="43" t="inlineStr">
        <is>
          <t>1. User đã login
2. Token JWT hợp lệ</t>
        </is>
      </c>
      <c r="J635" s="43" t="inlineStr">
        <is>
          <t>-</t>
        </is>
      </c>
      <c r="K635" s="43" t="inlineStr">
        <is>
          <t>-</t>
        </is>
      </c>
      <c r="L635" s="43" t="inlineStr">
        <is>
          <t>-</t>
        </is>
      </c>
      <c r="M635" s="43" t="inlineStr">
        <is>
          <t>400</t>
        </is>
      </c>
      <c r="N635" s="43" t="inlineStr">
        <is>
          <t>-</t>
        </is>
      </c>
      <c r="O635" s="40" t="inlineStr">
        <is>
          <t>High</t>
        </is>
      </c>
      <c r="P635" s="43" t="inlineStr">
        <is>
          <t>Thời gian: 134ms</t>
        </is>
      </c>
      <c r="Q635" s="40" t="inlineStr">
        <is>
          <t>Không đạt</t>
        </is>
      </c>
      <c r="R635" s="40" t="inlineStr">
        <is>
          <t>BUG-112</t>
        </is>
      </c>
      <c r="S635" s="40" t="inlineStr">
        <is>
          <t>23/05/2026 19:06</t>
        </is>
      </c>
      <c r="T635" s="43" t="inlineStr">
        <is>
          <t>R1:Không đạt</t>
        </is>
      </c>
      <c r="U635" s="40" t="inlineStr"/>
      <c r="V635" s="43" t="inlineStr">
        <is>
          <t>State machine constraint</t>
        </is>
      </c>
    </row>
    <row r="636" ht="80" customHeight="1">
      <c r="A636" s="40" t="inlineStr">
        <is>
          <t>TC-633</t>
        </is>
      </c>
      <c r="B636" s="47" t="inlineStr">
        <is>
          <t>SECURITY</t>
        </is>
      </c>
      <c r="C636" s="42" t="inlineStr">
        <is>
          <t>P0</t>
        </is>
      </c>
      <c r="D636" s="43" t="inlineStr">
        <is>
          <t>Delegations</t>
        </is>
      </c>
      <c r="E636" s="43" t="inlineStr">
        <is>
          <t>IDOR relatedCaseId team khác</t>
        </is>
      </c>
      <c r="F636" s="40" t="inlineStr">
        <is>
          <t>REQ-CASE-DELEGATIONS-633</t>
        </is>
      </c>
      <c r="G636" s="40" t="inlineStr">
        <is>
          <t>Use case testing</t>
        </is>
      </c>
      <c r="H636" s="40" t="inlineStr">
        <is>
          <t>Cao</t>
        </is>
      </c>
      <c r="I636" s="43" t="inlineStr">
        <is>
          <t>1. User đã login
2. Token JWT hợp lệ</t>
        </is>
      </c>
      <c r="J636" s="43" t="inlineStr">
        <is>
          <t>-</t>
        </is>
      </c>
      <c r="K636" s="43" t="inlineStr">
        <is>
          <t>-</t>
        </is>
      </c>
      <c r="L636" s="43" t="inlineStr">
        <is>
          <t>-</t>
        </is>
      </c>
      <c r="M636" s="43" t="inlineStr">
        <is>
          <t>403</t>
        </is>
      </c>
      <c r="N636" s="43" t="inlineStr">
        <is>
          <t>-</t>
        </is>
      </c>
      <c r="O636" s="40" t="inlineStr">
        <is>
          <t>Critical</t>
        </is>
      </c>
      <c r="P636" s="43" t="inlineStr">
        <is>
          <t>Thời gian: 191ms</t>
        </is>
      </c>
      <c r="Q636" s="40" t="inlineStr">
        <is>
          <t>Không đạt</t>
        </is>
      </c>
      <c r="R636" s="40" t="inlineStr">
        <is>
          <t>BUG-113</t>
        </is>
      </c>
      <c r="S636" s="40" t="inlineStr">
        <is>
          <t>23/05/2026 19:06</t>
        </is>
      </c>
      <c r="T636" s="43" t="inlineStr">
        <is>
          <t>R1:Không đạt</t>
        </is>
      </c>
      <c r="U636" s="40" t="inlineStr"/>
      <c r="V636" s="43" t="inlineStr"/>
    </row>
    <row r="637" ht="80" customHeight="1">
      <c r="A637" s="40" t="inlineStr">
        <is>
          <t>TC-634</t>
        </is>
      </c>
      <c r="B637" s="47" t="inlineStr">
        <is>
          <t>SECURITY</t>
        </is>
      </c>
      <c r="C637" s="42" t="inlineStr">
        <is>
          <t>P0</t>
        </is>
      </c>
      <c r="D637" s="43" t="inlineStr">
        <is>
          <t>Delegations</t>
        </is>
      </c>
      <c r="E637" s="43" t="inlineStr">
        <is>
          <t>XSS content</t>
        </is>
      </c>
      <c r="F637" s="40" t="inlineStr">
        <is>
          <t>REQ-CASE-DELEGATIONS-634</t>
        </is>
      </c>
      <c r="G637" s="40" t="inlineStr">
        <is>
          <t>Use case testing</t>
        </is>
      </c>
      <c r="H637" s="40" t="inlineStr">
        <is>
          <t>Cao</t>
        </is>
      </c>
      <c r="I637" s="43" t="inlineStr">
        <is>
          <t>1. User đã login
2. Token JWT hợp lệ</t>
        </is>
      </c>
      <c r="J637" s="43" t="inlineStr">
        <is>
          <t>-</t>
        </is>
      </c>
      <c r="K637" s="43" t="inlineStr">
        <is>
          <t>-</t>
        </is>
      </c>
      <c r="L637" s="43" t="inlineStr">
        <is>
          <t>-</t>
        </is>
      </c>
      <c r="M637" s="43" t="inlineStr">
        <is>
          <t>201 escape</t>
        </is>
      </c>
      <c r="N637" s="43" t="inlineStr">
        <is>
          <t>-</t>
        </is>
      </c>
      <c r="O637" s="40" t="inlineStr">
        <is>
          <t>High</t>
        </is>
      </c>
      <c r="P637" s="43" t="inlineStr">
        <is>
          <t>Thời gian: 276ms</t>
        </is>
      </c>
      <c r="Q637" s="40" t="inlineStr">
        <is>
          <t>Không đạt</t>
        </is>
      </c>
      <c r="R637" s="40" t="inlineStr">
        <is>
          <t>BUG-114</t>
        </is>
      </c>
      <c r="S637" s="40" t="inlineStr">
        <is>
          <t>23/05/2026 19:06</t>
        </is>
      </c>
      <c r="T637" s="43" t="inlineStr">
        <is>
          <t>R1:Không đạt</t>
        </is>
      </c>
      <c r="U637" s="40" t="inlineStr"/>
      <c r="V637" s="43" t="inlineStr"/>
    </row>
    <row r="638" ht="80" customHeight="1">
      <c r="A638" s="40" t="inlineStr">
        <is>
          <t>TC-635</t>
        </is>
      </c>
      <c r="B638" s="52" t="inlineStr">
        <is>
          <t>DATA</t>
        </is>
      </c>
      <c r="C638" s="44" t="inlineStr">
        <is>
          <t>P1</t>
        </is>
      </c>
      <c r="D638" s="43" t="inlineStr">
        <is>
          <t>Delegations</t>
        </is>
      </c>
      <c r="E638" s="43" t="inlineStr">
        <is>
          <t>receivingUnit tiếng Việt 'Phòng Cảnh sát Hà Nội'</t>
        </is>
      </c>
      <c r="F638" s="40" t="inlineStr">
        <is>
          <t>REQ-CASE-DELEGATIONS-635</t>
        </is>
      </c>
      <c r="G638" s="40" t="inlineStr">
        <is>
          <t>Use case testing</t>
        </is>
      </c>
      <c r="H638" s="40" t="inlineStr">
        <is>
          <t>TB</t>
        </is>
      </c>
      <c r="I638" s="43" t="inlineStr">
        <is>
          <t>1. User đã login
2. Token JWT hợp lệ</t>
        </is>
      </c>
      <c r="J638" s="43" t="inlineStr">
        <is>
          <t>-</t>
        </is>
      </c>
      <c r="K638" s="43" t="inlineStr">
        <is>
          <t>-</t>
        </is>
      </c>
      <c r="L638" s="43" t="inlineStr">
        <is>
          <t>-</t>
        </is>
      </c>
      <c r="M638" s="43" t="inlineStr">
        <is>
          <t>201</t>
        </is>
      </c>
      <c r="N638" s="43" t="inlineStr">
        <is>
          <t>-</t>
        </is>
      </c>
      <c r="O638" s="40" t="inlineStr">
        <is>
          <t>Low</t>
        </is>
      </c>
      <c r="P638" s="43" t="inlineStr">
        <is>
          <t>Thời gian: 127ms</t>
        </is>
      </c>
      <c r="Q638" s="40" t="inlineStr">
        <is>
          <t>Không đạt</t>
        </is>
      </c>
      <c r="R638" s="40" t="inlineStr">
        <is>
          <t>BUG-115</t>
        </is>
      </c>
      <c r="S638" s="40" t="inlineStr">
        <is>
          <t>23/05/2026 19:06</t>
        </is>
      </c>
      <c r="T638" s="43" t="inlineStr">
        <is>
          <t>R1:Không đạt</t>
        </is>
      </c>
      <c r="U638" s="40" t="inlineStr"/>
      <c r="V638" s="43" t="inlineStr"/>
    </row>
    <row r="639" ht="80" customHeight="1">
      <c r="A639" s="40" t="inlineStr">
        <is>
          <t>TC-636</t>
        </is>
      </c>
      <c r="B639" s="52" t="inlineStr">
        <is>
          <t>DATA</t>
        </is>
      </c>
      <c r="C639" s="44" t="inlineStr">
        <is>
          <t>P1</t>
        </is>
      </c>
      <c r="D639" s="43" t="inlineStr">
        <is>
          <t>Delegations</t>
        </is>
      </c>
      <c r="E639" s="43" t="inlineStr">
        <is>
          <t>content nhiều paragraph</t>
        </is>
      </c>
      <c r="F639" s="40" t="inlineStr">
        <is>
          <t>REQ-CASE-DELEGATIONS-636</t>
        </is>
      </c>
      <c r="G639" s="40" t="inlineStr">
        <is>
          <t>Use case testing</t>
        </is>
      </c>
      <c r="H639" s="40" t="inlineStr">
        <is>
          <t>TB</t>
        </is>
      </c>
      <c r="I639" s="43" t="inlineStr">
        <is>
          <t>1. User đã login
2. Token JWT hợp lệ</t>
        </is>
      </c>
      <c r="J639" s="43" t="inlineStr">
        <is>
          <t>-</t>
        </is>
      </c>
      <c r="K639" s="43" t="inlineStr">
        <is>
          <t>-</t>
        </is>
      </c>
      <c r="L639" s="43" t="inlineStr">
        <is>
          <t>-</t>
        </is>
      </c>
      <c r="M639" s="43" t="inlineStr">
        <is>
          <t>201</t>
        </is>
      </c>
      <c r="N639" s="43" t="inlineStr">
        <is>
          <t>-</t>
        </is>
      </c>
      <c r="O639" s="40" t="inlineStr">
        <is>
          <t>Low</t>
        </is>
      </c>
      <c r="P639" s="43" t="inlineStr">
        <is>
          <t>Thời gian: 169ms</t>
        </is>
      </c>
      <c r="Q639" s="40" t="inlineStr">
        <is>
          <t>Không đạt</t>
        </is>
      </c>
      <c r="R639" s="40" t="inlineStr">
        <is>
          <t>BUG-116</t>
        </is>
      </c>
      <c r="S639" s="40" t="inlineStr">
        <is>
          <t>23/05/2026 19:06</t>
        </is>
      </c>
      <c r="T639" s="43" t="inlineStr">
        <is>
          <t>R1:Không đạt</t>
        </is>
      </c>
      <c r="U639" s="40" t="inlineStr"/>
      <c r="V639" s="43" t="inlineStr"/>
    </row>
    <row r="640" ht="80" customHeight="1">
      <c r="A640" s="40" t="inlineStr">
        <is>
          <t>TC-637</t>
        </is>
      </c>
      <c r="B640" s="52" t="inlineStr">
        <is>
          <t>DATA</t>
        </is>
      </c>
      <c r="C640" s="44" t="inlineStr">
        <is>
          <t>P1</t>
        </is>
      </c>
      <c r="D640" s="43" t="inlineStr">
        <is>
          <t>Delegations</t>
        </is>
      </c>
      <c r="E640" s="43" t="inlineStr">
        <is>
          <t>delegationDate ISO format</t>
        </is>
      </c>
      <c r="F640" s="40" t="inlineStr">
        <is>
          <t>REQ-CASE-DELEGATIONS-637</t>
        </is>
      </c>
      <c r="G640" s="40" t="inlineStr">
        <is>
          <t>Use case testing</t>
        </is>
      </c>
      <c r="H640" s="40" t="inlineStr">
        <is>
          <t>TB</t>
        </is>
      </c>
      <c r="I640" s="43" t="inlineStr">
        <is>
          <t>1. User đã login
2. Token JWT hợp lệ</t>
        </is>
      </c>
      <c r="J640" s="43" t="inlineStr">
        <is>
          <t>-</t>
        </is>
      </c>
      <c r="K640" s="43" t="inlineStr">
        <is>
          <t>-</t>
        </is>
      </c>
      <c r="L640" s="43" t="inlineStr">
        <is>
          <t>-</t>
        </is>
      </c>
      <c r="M640" s="43" t="inlineStr">
        <is>
          <t>201</t>
        </is>
      </c>
      <c r="N640" s="43" t="inlineStr">
        <is>
          <t>-</t>
        </is>
      </c>
      <c r="O640" s="40" t="inlineStr">
        <is>
          <t>Medium</t>
        </is>
      </c>
      <c r="P640" s="43" t="inlineStr">
        <is>
          <t>Thời gian: 165ms</t>
        </is>
      </c>
      <c r="Q640" s="40" t="inlineStr">
        <is>
          <t>Không đạt</t>
        </is>
      </c>
      <c r="R640" s="40" t="inlineStr">
        <is>
          <t>BUG-117</t>
        </is>
      </c>
      <c r="S640" s="40" t="inlineStr">
        <is>
          <t>23/05/2026 19:06</t>
        </is>
      </c>
      <c r="T640" s="43" t="inlineStr">
        <is>
          <t>R1:Không đạt</t>
        </is>
      </c>
      <c r="U640" s="40" t="inlineStr"/>
      <c r="V640" s="43" t="inlineStr"/>
    </row>
    <row r="641" ht="80" customHeight="1">
      <c r="A641" s="40" t="inlineStr">
        <is>
          <t>TC-638</t>
        </is>
      </c>
      <c r="B641" s="45" t="inlineStr">
        <is>
          <t>RED</t>
        </is>
      </c>
      <c r="C641" s="44" t="inlineStr">
        <is>
          <t>P1</t>
        </is>
      </c>
      <c r="D641" s="43" t="inlineStr">
        <is>
          <t>Delegations</t>
        </is>
      </c>
      <c r="E641" s="43" t="inlineStr">
        <is>
          <t>delegationDate format invalid → 400 (nếu IsDateString)</t>
        </is>
      </c>
      <c r="F641" s="40" t="inlineStr">
        <is>
          <t>REQ-CASE-DELEGATIONS-638</t>
        </is>
      </c>
      <c r="G641" s="40" t="inlineStr">
        <is>
          <t>Use case testing</t>
        </is>
      </c>
      <c r="H641" s="40" t="inlineStr">
        <is>
          <t>TB</t>
        </is>
      </c>
      <c r="I641" s="43" t="inlineStr">
        <is>
          <t>1. User đã login
2. Token JWT hợp lệ</t>
        </is>
      </c>
      <c r="J641" s="43" t="inlineStr">
        <is>
          <t>-</t>
        </is>
      </c>
      <c r="K641" s="43" t="inlineStr">
        <is>
          <t>-</t>
        </is>
      </c>
      <c r="L641" s="43" t="inlineStr">
        <is>
          <t>-</t>
        </is>
      </c>
      <c r="M641" s="43" t="inlineStr">
        <is>
          <t>-</t>
        </is>
      </c>
      <c r="N641" s="43" t="inlineStr">
        <is>
          <t>-</t>
        </is>
      </c>
      <c r="O641" s="40" t="inlineStr">
        <is>
          <t>Medium</t>
        </is>
      </c>
      <c r="P641" s="43" t="inlineStr">
        <is>
          <t>Thời gian: 187ms</t>
        </is>
      </c>
      <c r="Q641" s="40" t="inlineStr">
        <is>
          <t>Không đạt</t>
        </is>
      </c>
      <c r="R641" s="40" t="inlineStr">
        <is>
          <t>BUG-118</t>
        </is>
      </c>
      <c r="S641" s="40" t="inlineStr">
        <is>
          <t>23/05/2026 19:06</t>
        </is>
      </c>
      <c r="T641" s="43" t="inlineStr">
        <is>
          <t>R1:Không đạt</t>
        </is>
      </c>
      <c r="U641" s="40" t="inlineStr"/>
      <c r="V641" s="43" t="inlineStr">
        <is>
          <t>DTO dùng IsString — verify gap</t>
        </is>
      </c>
    </row>
    <row r="642" ht="80" customHeight="1">
      <c r="A642" s="40" t="inlineStr">
        <is>
          <t>TC-639</t>
        </is>
      </c>
      <c r="B642" s="58" t="inlineStr">
        <is>
          <t>AUDIT</t>
        </is>
      </c>
      <c r="C642" s="42" t="inlineStr">
        <is>
          <t>P0</t>
        </is>
      </c>
      <c r="D642" s="43" t="inlineStr">
        <is>
          <t>Delegations</t>
        </is>
      </c>
      <c r="E642" s="43" t="inlineStr">
        <is>
          <t>DELEGATION_CREATED log</t>
        </is>
      </c>
      <c r="F642" s="40" t="inlineStr">
        <is>
          <t>REQ-CASE-DELEGATIONS-639</t>
        </is>
      </c>
      <c r="G642" s="40" t="inlineStr">
        <is>
          <t>Use case testing</t>
        </is>
      </c>
      <c r="H642" s="40" t="inlineStr">
        <is>
          <t>Cao</t>
        </is>
      </c>
      <c r="I642" s="43" t="inlineStr">
        <is>
          <t>1. User đã login
2. Token JWT hợp lệ</t>
        </is>
      </c>
      <c r="J642" s="43" t="inlineStr">
        <is>
          <t>-</t>
        </is>
      </c>
      <c r="K642" s="43" t="inlineStr">
        <is>
          <t>-</t>
        </is>
      </c>
      <c r="L642" s="43" t="inlineStr">
        <is>
          <t>-</t>
        </is>
      </c>
      <c r="M642" s="43" t="inlineStr">
        <is>
          <t>-</t>
        </is>
      </c>
      <c r="N642" s="43" t="inlineStr">
        <is>
          <t>metadata</t>
        </is>
      </c>
      <c r="O642" s="40" t="inlineStr">
        <is>
          <t>High</t>
        </is>
      </c>
      <c r="P642" s="43" t="inlineStr">
        <is>
          <t>Thời gian: 118ms</t>
        </is>
      </c>
      <c r="Q642" s="40" t="inlineStr">
        <is>
          <t>Không đạt</t>
        </is>
      </c>
      <c r="R642" s="40" t="inlineStr">
        <is>
          <t>BUG-119</t>
        </is>
      </c>
      <c r="S642" s="40" t="inlineStr">
        <is>
          <t>23/05/2026 19:06</t>
        </is>
      </c>
      <c r="T642" s="43" t="inlineStr">
        <is>
          <t>R1:Không đạt</t>
        </is>
      </c>
      <c r="U642" s="40" t="inlineStr"/>
      <c r="V642" s="43" t="inlineStr"/>
    </row>
    <row r="643" ht="80" customHeight="1">
      <c r="A643" s="40" t="inlineStr">
        <is>
          <t>TC-640</t>
        </is>
      </c>
      <c r="B643" s="58" t="inlineStr">
        <is>
          <t>AUDIT</t>
        </is>
      </c>
      <c r="C643" s="42" t="inlineStr">
        <is>
          <t>P0</t>
        </is>
      </c>
      <c r="D643" s="43" t="inlineStr">
        <is>
          <t>Delegations</t>
        </is>
      </c>
      <c r="E643" s="43" t="inlineStr">
        <is>
          <t>DELEGATION_COMPLETED log với completedDate</t>
        </is>
      </c>
      <c r="F643" s="40" t="inlineStr">
        <is>
          <t>REQ-CASE-DELEGATIONS-640</t>
        </is>
      </c>
      <c r="G643" s="40" t="inlineStr">
        <is>
          <t>Use case testing</t>
        </is>
      </c>
      <c r="H643" s="40" t="inlineStr">
        <is>
          <t>Cao</t>
        </is>
      </c>
      <c r="I643" s="43" t="inlineStr">
        <is>
          <t>1. User đã login
2. Token JWT hợp lệ</t>
        </is>
      </c>
      <c r="J643" s="43" t="inlineStr">
        <is>
          <t>-</t>
        </is>
      </c>
      <c r="K643" s="43" t="inlineStr">
        <is>
          <t>-</t>
        </is>
      </c>
      <c r="L643" s="43" t="inlineStr">
        <is>
          <t>-</t>
        </is>
      </c>
      <c r="M643" s="43" t="inlineStr">
        <is>
          <t>-</t>
        </is>
      </c>
      <c r="N643" s="43" t="inlineStr">
        <is>
          <t>-</t>
        </is>
      </c>
      <c r="O643" s="40" t="inlineStr">
        <is>
          <t>High</t>
        </is>
      </c>
      <c r="P643" s="43" t="inlineStr">
        <is>
          <t>Thời gian: 183ms</t>
        </is>
      </c>
      <c r="Q643" s="40" t="inlineStr">
        <is>
          <t>Không đạt</t>
        </is>
      </c>
      <c r="R643" s="40" t="inlineStr">
        <is>
          <t>BUG-120</t>
        </is>
      </c>
      <c r="S643" s="40" t="inlineStr">
        <is>
          <t>23/05/2026 19:06</t>
        </is>
      </c>
      <c r="T643" s="43" t="inlineStr">
        <is>
          <t>R1:Không đạt</t>
        </is>
      </c>
      <c r="U643" s="40" t="inlineStr"/>
      <c r="V643" s="43" t="inlineStr"/>
    </row>
    <row r="644" ht="80" customHeight="1">
      <c r="A644" s="40" t="inlineStr">
        <is>
          <t>TC-641</t>
        </is>
      </c>
      <c r="B644" s="53" t="inlineStr">
        <is>
          <t>BOUNDARY</t>
        </is>
      </c>
      <c r="C644" s="44" t="inlineStr">
        <is>
          <t>P1</t>
        </is>
      </c>
      <c r="D644" s="43" t="inlineStr">
        <is>
          <t>Delegations</t>
        </is>
      </c>
      <c r="E644" s="43" t="inlineStr">
        <is>
          <t>delegationNumber 1 ký tự</t>
        </is>
      </c>
      <c r="F644" s="40" t="inlineStr">
        <is>
          <t>REQ-CASE-DELEGATIONS-641</t>
        </is>
      </c>
      <c r="G644" s="40" t="inlineStr">
        <is>
          <t>Use case testing</t>
        </is>
      </c>
      <c r="H644" s="40" t="inlineStr">
        <is>
          <t>TB</t>
        </is>
      </c>
      <c r="I644" s="43" t="inlineStr">
        <is>
          <t>1. User đã login
2. Token JWT hợp lệ</t>
        </is>
      </c>
      <c r="J644" s="43" t="inlineStr">
        <is>
          <t>-</t>
        </is>
      </c>
      <c r="K644" s="43" t="inlineStr">
        <is>
          <t>-</t>
        </is>
      </c>
      <c r="L644" s="43" t="inlineStr">
        <is>
          <t>-</t>
        </is>
      </c>
      <c r="M644" s="43" t="inlineStr">
        <is>
          <t>201</t>
        </is>
      </c>
      <c r="N644" s="43" t="inlineStr">
        <is>
          <t>-</t>
        </is>
      </c>
      <c r="O644" s="40" t="inlineStr">
        <is>
          <t>Low</t>
        </is>
      </c>
      <c r="P644" s="43" t="inlineStr">
        <is>
          <t>Thời gian: 142ms</t>
        </is>
      </c>
      <c r="Q644" s="40" t="inlineStr">
        <is>
          <t>Không đạt</t>
        </is>
      </c>
      <c r="R644" s="40" t="inlineStr">
        <is>
          <t>BUG-121</t>
        </is>
      </c>
      <c r="S644" s="40" t="inlineStr">
        <is>
          <t>23/05/2026 19:06</t>
        </is>
      </c>
      <c r="T644" s="43" t="inlineStr">
        <is>
          <t>R1:Không đạt</t>
        </is>
      </c>
      <c r="U644" s="40" t="inlineStr"/>
      <c r="V644" s="43" t="inlineStr"/>
    </row>
    <row r="645" ht="80" customHeight="1">
      <c r="A645" s="40" t="inlineStr">
        <is>
          <t>TC-642</t>
        </is>
      </c>
      <c r="B645" s="53" t="inlineStr">
        <is>
          <t>BOUNDARY</t>
        </is>
      </c>
      <c r="C645" s="44" t="inlineStr">
        <is>
          <t>P1</t>
        </is>
      </c>
      <c r="D645" s="43" t="inlineStr">
        <is>
          <t>Delegations</t>
        </is>
      </c>
      <c r="E645" s="43" t="inlineStr">
        <is>
          <t>content 100K ký tự</t>
        </is>
      </c>
      <c r="F645" s="40" t="inlineStr">
        <is>
          <t>REQ-CASE-DELEGATIONS-642</t>
        </is>
      </c>
      <c r="G645" s="40" t="inlineStr">
        <is>
          <t>Use case testing</t>
        </is>
      </c>
      <c r="H645" s="40" t="inlineStr">
        <is>
          <t>TB</t>
        </is>
      </c>
      <c r="I645" s="43" t="inlineStr">
        <is>
          <t>1. User đã login
2. Token JWT hợp lệ</t>
        </is>
      </c>
      <c r="J645" s="43" t="inlineStr">
        <is>
          <t>-</t>
        </is>
      </c>
      <c r="K645" s="43" t="inlineStr">
        <is>
          <t>-</t>
        </is>
      </c>
      <c r="L645" s="43" t="inlineStr">
        <is>
          <t>-</t>
        </is>
      </c>
      <c r="M645" s="43" t="inlineStr">
        <is>
          <t>-</t>
        </is>
      </c>
      <c r="N645" s="43" t="inlineStr">
        <is>
          <t>-</t>
        </is>
      </c>
      <c r="O645" s="40" t="inlineStr">
        <is>
          <t>Low</t>
        </is>
      </c>
      <c r="P645" s="43" t="inlineStr">
        <is>
          <t>Thời gian: 131ms</t>
        </is>
      </c>
      <c r="Q645" s="40" t="inlineStr">
        <is>
          <t>Không đạt</t>
        </is>
      </c>
      <c r="R645" s="40" t="inlineStr">
        <is>
          <t>BUG-122</t>
        </is>
      </c>
      <c r="S645" s="40" t="inlineStr">
        <is>
          <t>23/05/2026 19:06</t>
        </is>
      </c>
      <c r="T645" s="43" t="inlineStr">
        <is>
          <t>R1:Không đạt</t>
        </is>
      </c>
      <c r="U645" s="40" t="inlineStr"/>
      <c r="V645" s="43" t="inlineStr"/>
    </row>
    <row r="646" ht="80" customHeight="1">
      <c r="A646" s="40" t="inlineStr">
        <is>
          <t>TC-643</t>
        </is>
      </c>
      <c r="B646" s="51" t="inlineStr">
        <is>
          <t>PERFORMANCE</t>
        </is>
      </c>
      <c r="C646" s="44" t="inlineStr">
        <is>
          <t>P1</t>
        </is>
      </c>
      <c r="D646" s="43" t="inlineStr">
        <is>
          <t>Delegations</t>
        </is>
      </c>
      <c r="E646" s="43" t="inlineStr">
        <is>
          <t>List 50 delegations &lt; 500ms</t>
        </is>
      </c>
      <c r="F646" s="40" t="inlineStr">
        <is>
          <t>REQ-CASE-DELEGATIONS-643</t>
        </is>
      </c>
      <c r="G646" s="40" t="inlineStr">
        <is>
          <t>Use case testing</t>
        </is>
      </c>
      <c r="H646" s="40" t="inlineStr">
        <is>
          <t>TB</t>
        </is>
      </c>
      <c r="I646" s="43" t="inlineStr">
        <is>
          <t>1. User đã login
2. Token JWT hợp lệ</t>
        </is>
      </c>
      <c r="J646" s="43" t="inlineStr">
        <is>
          <t>-</t>
        </is>
      </c>
      <c r="K646" s="43" t="inlineStr">
        <is>
          <t>-</t>
        </is>
      </c>
      <c r="L646" s="43" t="inlineStr">
        <is>
          <t>-</t>
        </is>
      </c>
      <c r="M646" s="43" t="inlineStr">
        <is>
          <t>&lt;500ms</t>
        </is>
      </c>
      <c r="N646" s="43" t="inlineStr">
        <is>
          <t>-</t>
        </is>
      </c>
      <c r="O646" s="40" t="inlineStr">
        <is>
          <t>Medium</t>
        </is>
      </c>
      <c r="P646" s="43" t="inlineStr">
        <is>
          <t>Thời gian: 138ms</t>
        </is>
      </c>
      <c r="Q646" s="40" t="inlineStr">
        <is>
          <t>Không đạt</t>
        </is>
      </c>
      <c r="R646" s="40" t="inlineStr">
        <is>
          <t>BUG-123</t>
        </is>
      </c>
      <c r="S646" s="40" t="inlineStr">
        <is>
          <t>23/05/2026 19:06</t>
        </is>
      </c>
      <c r="T646" s="43" t="inlineStr">
        <is>
          <t>R1:Không đạt</t>
        </is>
      </c>
      <c r="U646" s="40" t="inlineStr"/>
      <c r="V646" s="43" t="inlineStr"/>
    </row>
    <row r="647" ht="80" customHeight="1">
      <c r="A647" s="40" t="inlineStr">
        <is>
          <t>TC-644</t>
        </is>
      </c>
      <c r="B647" s="48" t="inlineStr">
        <is>
          <t>A11Y</t>
        </is>
      </c>
      <c r="C647" s="44" t="inlineStr">
        <is>
          <t>P1</t>
        </is>
      </c>
      <c r="D647" s="43" t="inlineStr">
        <is>
          <t>Delegations</t>
        </is>
      </c>
      <c r="E647" s="43" t="inlineStr">
        <is>
          <t>Form A11Y compliant</t>
        </is>
      </c>
      <c r="F647" s="40" t="inlineStr">
        <is>
          <t>REQ-CASE-DELEGATIONS-644</t>
        </is>
      </c>
      <c r="G647" s="40" t="inlineStr">
        <is>
          <t>Use case testing</t>
        </is>
      </c>
      <c r="H647" s="40" t="inlineStr">
        <is>
          <t>TB</t>
        </is>
      </c>
      <c r="I647" s="43" t="inlineStr">
        <is>
          <t>1. User đã login
2. Token JWT hợp lệ</t>
        </is>
      </c>
      <c r="J647" s="43" t="inlineStr">
        <is>
          <t>-</t>
        </is>
      </c>
      <c r="K647" s="43" t="inlineStr">
        <is>
          <t>-</t>
        </is>
      </c>
      <c r="L647" s="43" t="inlineStr">
        <is>
          <t>-</t>
        </is>
      </c>
      <c r="M647" s="43" t="inlineStr">
        <is>
          <t>-</t>
        </is>
      </c>
      <c r="N647" s="43" t="inlineStr">
        <is>
          <t>-</t>
        </is>
      </c>
      <c r="O647" s="40" t="inlineStr">
        <is>
          <t>Low</t>
        </is>
      </c>
      <c r="P647" s="43" t="inlineStr">
        <is>
          <t>Thời gian: 144ms</t>
        </is>
      </c>
      <c r="Q647" s="40" t="inlineStr">
        <is>
          <t>Không đạt</t>
        </is>
      </c>
      <c r="R647" s="40" t="inlineStr">
        <is>
          <t>BUG-124</t>
        </is>
      </c>
      <c r="S647" s="40" t="inlineStr">
        <is>
          <t>23/05/2026 19:06</t>
        </is>
      </c>
      <c r="T647" s="43" t="inlineStr">
        <is>
          <t>R1:Không đạt</t>
        </is>
      </c>
      <c r="U647" s="40" t="inlineStr"/>
      <c r="V647" s="43" t="inlineStr"/>
    </row>
    <row r="648" ht="80" customHeight="1">
      <c r="A648" s="40" t="inlineStr">
        <is>
          <t>TC-645</t>
        </is>
      </c>
      <c r="B648" s="50" t="inlineStr">
        <is>
          <t>COMPAT</t>
        </is>
      </c>
      <c r="C648" s="44" t="inlineStr">
        <is>
          <t>P1</t>
        </is>
      </c>
      <c r="D648" s="43" t="inlineStr">
        <is>
          <t>Delegations</t>
        </is>
      </c>
      <c r="E648" s="43" t="inlineStr">
        <is>
          <t>Form mobile responsive</t>
        </is>
      </c>
      <c r="F648" s="40" t="inlineStr">
        <is>
          <t>REQ-CASE-DELEGATIONS-645</t>
        </is>
      </c>
      <c r="G648" s="40" t="inlineStr">
        <is>
          <t>Use case testing</t>
        </is>
      </c>
      <c r="H648" s="40" t="inlineStr">
        <is>
          <t>TB</t>
        </is>
      </c>
      <c r="I648" s="43" t="inlineStr">
        <is>
          <t>1. User đã login
2. Token JWT hợp lệ</t>
        </is>
      </c>
      <c r="J648" s="43" t="inlineStr">
        <is>
          <t>-</t>
        </is>
      </c>
      <c r="K648" s="43" t="inlineStr">
        <is>
          <t>-</t>
        </is>
      </c>
      <c r="L648" s="43" t="inlineStr">
        <is>
          <t>-</t>
        </is>
      </c>
      <c r="M648" s="43" t="inlineStr">
        <is>
          <t>-</t>
        </is>
      </c>
      <c r="N648" s="43" t="inlineStr">
        <is>
          <t>-</t>
        </is>
      </c>
      <c r="O648" s="40" t="inlineStr">
        <is>
          <t>Medium</t>
        </is>
      </c>
      <c r="P648" s="43" t="inlineStr">
        <is>
          <t>Thời gian: 127ms</t>
        </is>
      </c>
      <c r="Q648" s="40" t="inlineStr">
        <is>
          <t>Không đạt</t>
        </is>
      </c>
      <c r="R648" s="40" t="inlineStr">
        <is>
          <t>BUG-125</t>
        </is>
      </c>
      <c r="S648" s="40" t="inlineStr">
        <is>
          <t>23/05/2026 19:06</t>
        </is>
      </c>
      <c r="T648" s="43" t="inlineStr">
        <is>
          <t>R1:Không đạt</t>
        </is>
      </c>
      <c r="U648" s="40" t="inlineStr"/>
      <c r="V648" s="43" t="inlineStr"/>
    </row>
    <row r="649" ht="80" customHeight="1">
      <c r="A649" s="40" t="inlineStr">
        <is>
          <t>TC-646</t>
        </is>
      </c>
      <c r="B649" s="56" t="inlineStr">
        <is>
          <t>INTEGRATION</t>
        </is>
      </c>
      <c r="C649" s="44" t="inlineStr">
        <is>
          <t>P1</t>
        </is>
      </c>
      <c r="D649" s="43" t="inlineStr">
        <is>
          <t>Delegations</t>
        </is>
      </c>
      <c r="E649" s="43" t="inlineStr">
        <is>
          <t>Delegation cùng caseId hiển thị trong Case detail tab</t>
        </is>
      </c>
      <c r="F649" s="40" t="inlineStr">
        <is>
          <t>REQ-CASE-DELEGATIONS-646</t>
        </is>
      </c>
      <c r="G649" s="40" t="inlineStr">
        <is>
          <t>Use case testing</t>
        </is>
      </c>
      <c r="H649" s="40" t="inlineStr">
        <is>
          <t>TB</t>
        </is>
      </c>
      <c r="I649" s="43" t="inlineStr">
        <is>
          <t>1. User đã login
2. Token JWT hợp lệ</t>
        </is>
      </c>
      <c r="J649" s="43" t="inlineStr">
        <is>
          <t>GET /cases/X (include delegations)</t>
        </is>
      </c>
      <c r="K649" s="43" t="inlineStr">
        <is>
          <t>-</t>
        </is>
      </c>
      <c r="L649" s="43" t="inlineStr">
        <is>
          <t>Tab show</t>
        </is>
      </c>
      <c r="M649" s="43" t="inlineStr">
        <is>
          <t>-</t>
        </is>
      </c>
      <c r="N649" s="43" t="inlineStr">
        <is>
          <t>-</t>
        </is>
      </c>
      <c r="O649" s="40" t="inlineStr">
        <is>
          <t>Medium</t>
        </is>
      </c>
      <c r="P649" s="43" t="inlineStr">
        <is>
          <t>Đạt như expected. Thời gian: 805ms</t>
        </is>
      </c>
      <c r="Q649" s="40" t="inlineStr">
        <is>
          <t>Đạt</t>
        </is>
      </c>
      <c r="R649" s="40" t="inlineStr"/>
      <c r="S649" s="40" t="inlineStr">
        <is>
          <t>23/05/2026 19:06</t>
        </is>
      </c>
      <c r="T649" s="43" t="inlineStr">
        <is>
          <t>R1:Đạt</t>
        </is>
      </c>
      <c r="U649" s="40" t="inlineStr"/>
      <c r="V649" s="43" t="inlineStr"/>
    </row>
    <row r="650" ht="80" customHeight="1">
      <c r="A650" s="40" t="inlineStr">
        <is>
          <t>TC-647</t>
        </is>
      </c>
      <c r="B650" s="45" t="inlineStr">
        <is>
          <t>RED</t>
        </is>
      </c>
      <c r="C650" s="42" t="inlineStr">
        <is>
          <t>P0</t>
        </is>
      </c>
      <c r="D650" s="43" t="inlineStr">
        <is>
          <t>Delegations</t>
        </is>
      </c>
      <c r="E650" s="43" t="inlineStr">
        <is>
          <t>VIEWER POST → 403</t>
        </is>
      </c>
      <c r="F650" s="40" t="inlineStr">
        <is>
          <t>REQ-CASE-DELEGATIONS-647</t>
        </is>
      </c>
      <c r="G650" s="40" t="inlineStr">
        <is>
          <t>Use case testing</t>
        </is>
      </c>
      <c r="H650" s="40" t="inlineStr">
        <is>
          <t>Cao</t>
        </is>
      </c>
      <c r="I650" s="43" t="inlineStr">
        <is>
          <t>1. User đã login
2. Token JWT hợp lệ</t>
        </is>
      </c>
      <c r="J650" s="43" t="inlineStr">
        <is>
          <t>-</t>
        </is>
      </c>
      <c r="K650" s="43" t="inlineStr">
        <is>
          <t>-</t>
        </is>
      </c>
      <c r="L650" s="43" t="inlineStr">
        <is>
          <t>-</t>
        </is>
      </c>
      <c r="M650" s="43" t="inlineStr">
        <is>
          <t>403</t>
        </is>
      </c>
      <c r="N650" s="43" t="inlineStr">
        <is>
          <t>-</t>
        </is>
      </c>
      <c r="O650" s="40" t="inlineStr">
        <is>
          <t>High</t>
        </is>
      </c>
      <c r="P650" s="43" t="inlineStr">
        <is>
          <t>Đạt như expected. Thời gian: 26ms</t>
        </is>
      </c>
      <c r="Q650" s="40" t="inlineStr">
        <is>
          <t>Đạt</t>
        </is>
      </c>
      <c r="R650" s="40" t="inlineStr"/>
      <c r="S650" s="40" t="inlineStr">
        <is>
          <t>23/05/2026 19:06</t>
        </is>
      </c>
      <c r="T650" s="43" t="inlineStr">
        <is>
          <t>R1:Đạt</t>
        </is>
      </c>
      <c r="U650" s="40" t="inlineStr"/>
      <c r="V650" s="43" t="inlineStr"/>
    </row>
    <row r="651" ht="80" customHeight="1">
      <c r="A651" s="40" t="inlineStr">
        <is>
          <t>TC-648</t>
        </is>
      </c>
      <c r="B651" s="45" t="inlineStr">
        <is>
          <t>RED</t>
        </is>
      </c>
      <c r="C651" s="42" t="inlineStr">
        <is>
          <t>P0</t>
        </is>
      </c>
      <c r="D651" s="43" t="inlineStr">
        <is>
          <t>Delegations</t>
        </is>
      </c>
      <c r="E651" s="43" t="inlineStr">
        <is>
          <t>JWT thiếu → 401</t>
        </is>
      </c>
      <c r="F651" s="40" t="inlineStr">
        <is>
          <t>REQ-CASE-DELEGATIONS-648</t>
        </is>
      </c>
      <c r="G651" s="40" t="inlineStr">
        <is>
          <t>Use case testing</t>
        </is>
      </c>
      <c r="H651" s="40" t="inlineStr">
        <is>
          <t>Cao</t>
        </is>
      </c>
      <c r="I651" s="43" t="inlineStr">
        <is>
          <t>1. User đã login
2. Token JWT hợp lệ</t>
        </is>
      </c>
      <c r="J651" s="43" t="inlineStr">
        <is>
          <t>-</t>
        </is>
      </c>
      <c r="K651" s="43" t="inlineStr">
        <is>
          <t>-</t>
        </is>
      </c>
      <c r="L651" s="43" t="inlineStr">
        <is>
          <t>-</t>
        </is>
      </c>
      <c r="M651" s="43" t="inlineStr">
        <is>
          <t>401</t>
        </is>
      </c>
      <c r="N651" s="43" t="inlineStr">
        <is>
          <t>-</t>
        </is>
      </c>
      <c r="O651" s="40" t="inlineStr">
        <is>
          <t>High</t>
        </is>
      </c>
      <c r="P651" s="43" t="inlineStr">
        <is>
          <t>Đạt như expected. Thời gian: 61ms</t>
        </is>
      </c>
      <c r="Q651" s="40" t="inlineStr">
        <is>
          <t>Đạt</t>
        </is>
      </c>
      <c r="R651" s="40" t="inlineStr"/>
      <c r="S651" s="40" t="inlineStr">
        <is>
          <t>23/05/2026 19:06</t>
        </is>
      </c>
      <c r="T651" s="43" t="inlineStr">
        <is>
          <t>R1:Đạt</t>
        </is>
      </c>
      <c r="U651" s="40" t="inlineStr"/>
      <c r="V651" s="43" t="inlineStr"/>
    </row>
    <row r="652" ht="80" customHeight="1">
      <c r="A652" s="40" t="inlineStr">
        <is>
          <t>TC-649</t>
        </is>
      </c>
      <c r="B652" s="41" t="inlineStr">
        <is>
          <t>GREEN</t>
        </is>
      </c>
      <c r="C652" s="44" t="inlineStr">
        <is>
          <t>P1</t>
        </is>
      </c>
      <c r="D652" s="43" t="inlineStr">
        <is>
          <t>Delegations</t>
        </is>
      </c>
      <c r="E652" s="43" t="inlineStr">
        <is>
          <t>Filter status=PENDING</t>
        </is>
      </c>
      <c r="F652" s="40" t="inlineStr">
        <is>
          <t>REQ-CASE-DELEGATIONS-649</t>
        </is>
      </c>
      <c r="G652" s="40" t="inlineStr">
        <is>
          <t>Use case testing</t>
        </is>
      </c>
      <c r="H652" s="40" t="inlineStr">
        <is>
          <t>TB</t>
        </is>
      </c>
      <c r="I652" s="43" t="inlineStr">
        <is>
          <t>1. User đã login
2. Token JWT hợp lệ</t>
        </is>
      </c>
      <c r="J652" s="43" t="inlineStr">
        <is>
          <t>-</t>
        </is>
      </c>
      <c r="K652" s="43" t="inlineStr">
        <is>
          <t>-</t>
        </is>
      </c>
      <c r="L652" s="43" t="inlineStr">
        <is>
          <t>-</t>
        </is>
      </c>
      <c r="M652" s="43" t="inlineStr">
        <is>
          <t>200</t>
        </is>
      </c>
      <c r="N652" s="43" t="inlineStr">
        <is>
          <t>-</t>
        </is>
      </c>
      <c r="O652" s="40" t="inlineStr">
        <is>
          <t>Medium</t>
        </is>
      </c>
      <c r="P652" s="43" t="inlineStr">
        <is>
          <t>Đạt như expected. Thời gian: 184ms</t>
        </is>
      </c>
      <c r="Q652" s="40" t="inlineStr">
        <is>
          <t>Đạt</t>
        </is>
      </c>
      <c r="R652" s="40" t="inlineStr"/>
      <c r="S652" s="40" t="inlineStr">
        <is>
          <t>23/05/2026 19:06</t>
        </is>
      </c>
      <c r="T652" s="43" t="inlineStr">
        <is>
          <t>R1:Đạt</t>
        </is>
      </c>
      <c r="U652" s="40" t="inlineStr"/>
      <c r="V652" s="43" t="inlineStr"/>
    </row>
    <row r="653" ht="80" customHeight="1">
      <c r="A653" s="40" t="inlineStr">
        <is>
          <t>TC-650</t>
        </is>
      </c>
      <c r="B653" s="41" t="inlineStr">
        <is>
          <t>GREEN</t>
        </is>
      </c>
      <c r="C653" s="44" t="inlineStr">
        <is>
          <t>P1</t>
        </is>
      </c>
      <c r="D653" s="43" t="inlineStr">
        <is>
          <t>Delegations</t>
        </is>
      </c>
      <c r="E653" s="43" t="inlineStr">
        <is>
          <t>Filter by receivingUnit</t>
        </is>
      </c>
      <c r="F653" s="40" t="inlineStr">
        <is>
          <t>REQ-CASE-DELEGATIONS-650</t>
        </is>
      </c>
      <c r="G653" s="40" t="inlineStr">
        <is>
          <t>Use case testing</t>
        </is>
      </c>
      <c r="H653" s="40" t="inlineStr">
        <is>
          <t>TB</t>
        </is>
      </c>
      <c r="I653" s="43" t="inlineStr">
        <is>
          <t>1. User đã login
2. Token JWT hợp lệ</t>
        </is>
      </c>
      <c r="J653" s="43" t="inlineStr">
        <is>
          <t>-</t>
        </is>
      </c>
      <c r="K653" s="43" t="inlineStr">
        <is>
          <t>-</t>
        </is>
      </c>
      <c r="L653" s="43" t="inlineStr">
        <is>
          <t>-</t>
        </is>
      </c>
      <c r="M653" s="43" t="inlineStr">
        <is>
          <t>200</t>
        </is>
      </c>
      <c r="N653" s="43" t="inlineStr">
        <is>
          <t>-</t>
        </is>
      </c>
      <c r="O653" s="40" t="inlineStr">
        <is>
          <t>Medium</t>
        </is>
      </c>
      <c r="P653" s="43" t="inlineStr">
        <is>
          <t>Đạt như expected. Thời gian: 90ms</t>
        </is>
      </c>
      <c r="Q653" s="40" t="inlineStr">
        <is>
          <t>Đạt</t>
        </is>
      </c>
      <c r="R653" s="40" t="inlineStr"/>
      <c r="S653" s="40" t="inlineStr">
        <is>
          <t>23/05/2026 19:06</t>
        </is>
      </c>
      <c r="T653" s="43" t="inlineStr">
        <is>
          <t>R1:Đạt</t>
        </is>
      </c>
      <c r="U653" s="40" t="inlineStr"/>
      <c r="V653" s="43" t="inlineStr"/>
    </row>
    <row r="654" ht="80" customHeight="1">
      <c r="A654" s="40" t="inlineStr">
        <is>
          <t>TC-651</t>
        </is>
      </c>
      <c r="B654" s="41" t="inlineStr">
        <is>
          <t>GREEN</t>
        </is>
      </c>
      <c r="C654" s="44" t="inlineStr">
        <is>
          <t>P1</t>
        </is>
      </c>
      <c r="D654" s="43" t="inlineStr">
        <is>
          <t>Delegations</t>
        </is>
      </c>
      <c r="E654" s="43" t="inlineStr">
        <is>
          <t>Pagination</t>
        </is>
      </c>
      <c r="F654" s="40" t="inlineStr">
        <is>
          <t>REQ-CASE-DELEGATIONS-651</t>
        </is>
      </c>
      <c r="G654" s="40" t="inlineStr">
        <is>
          <t>Use case testing</t>
        </is>
      </c>
      <c r="H654" s="40" t="inlineStr">
        <is>
          <t>TB</t>
        </is>
      </c>
      <c r="I654" s="43" t="inlineStr">
        <is>
          <t>1. User đã login
2. Token JWT hợp lệ</t>
        </is>
      </c>
      <c r="J654" s="43" t="inlineStr">
        <is>
          <t>-</t>
        </is>
      </c>
      <c r="K654" s="43" t="inlineStr">
        <is>
          <t>-</t>
        </is>
      </c>
      <c r="L654" s="43" t="inlineStr">
        <is>
          <t>-</t>
        </is>
      </c>
      <c r="M654" s="43" t="inlineStr">
        <is>
          <t>200</t>
        </is>
      </c>
      <c r="N654" s="43" t="inlineStr">
        <is>
          <t>-</t>
        </is>
      </c>
      <c r="O654" s="40" t="inlineStr">
        <is>
          <t>Medium</t>
        </is>
      </c>
      <c r="P654" s="43" t="inlineStr">
        <is>
          <t>Đạt như expected. Thời gian: 95ms</t>
        </is>
      </c>
      <c r="Q654" s="40" t="inlineStr">
        <is>
          <t>Đạt</t>
        </is>
      </c>
      <c r="R654" s="40" t="inlineStr"/>
      <c r="S654" s="40" t="inlineStr">
        <is>
          <t>23/05/2026 19:06</t>
        </is>
      </c>
      <c r="T654" s="43" t="inlineStr">
        <is>
          <t>R1:Đạt</t>
        </is>
      </c>
      <c r="U654" s="40" t="inlineStr"/>
      <c r="V654" s="43" t="inlineStr"/>
    </row>
    <row r="655" ht="80" customHeight="1">
      <c r="A655" s="40" t="inlineStr">
        <is>
          <t>TC-652</t>
        </is>
      </c>
      <c r="B655" s="41" t="inlineStr">
        <is>
          <t>GREEN</t>
        </is>
      </c>
      <c r="C655" s="42" t="inlineStr">
        <is>
          <t>P0</t>
        </is>
      </c>
      <c r="D655" s="43" t="inlineStr">
        <is>
          <t>Supplements</t>
        </is>
      </c>
      <c r="E655" s="43" t="inlineStr">
        <is>
          <t>Tạo Supplement caseId + decisionNumber + reason + deadline</t>
        </is>
      </c>
      <c r="F655" s="40" t="inlineStr">
        <is>
          <t>REQ-CASE-SUPPLEMENTS-652</t>
        </is>
      </c>
      <c r="G655" s="40" t="inlineStr">
        <is>
          <t>Use case testing</t>
        </is>
      </c>
      <c r="H655" s="40" t="inlineStr">
        <is>
          <t>Cao</t>
        </is>
      </c>
      <c r="I655" s="43" t="inlineStr">
        <is>
          <t>1. User đã login
2. Token JWT hợp lệ</t>
        </is>
      </c>
      <c r="J655" s="43" t="inlineStr">
        <is>
          <t>POST /api/investigation-supplements</t>
        </is>
      </c>
      <c r="K655" s="43" t="inlineStr">
        <is>
          <t>caseId, type='Gia hạn điều tra', decisionNumber:'GH-2026-001', reason:'Cần thêm thời gian', deadline='2026-09-23'</t>
        </is>
      </c>
      <c r="L655" s="43" t="inlineStr">
        <is>
          <t>-</t>
        </is>
      </c>
      <c r="M655" s="43" t="inlineStr">
        <is>
          <t>201</t>
        </is>
      </c>
      <c r="N655" s="43" t="inlineStr">
        <is>
          <t>-</t>
        </is>
      </c>
      <c r="O655" s="40" t="inlineStr">
        <is>
          <t>High</t>
        </is>
      </c>
      <c r="P655" s="43" t="inlineStr">
        <is>
          <t>Thời gian: 879ms</t>
        </is>
      </c>
      <c r="Q655" s="40" t="inlineStr">
        <is>
          <t>Không đạt</t>
        </is>
      </c>
      <c r="R655" s="40" t="inlineStr">
        <is>
          <t>BUG-451</t>
        </is>
      </c>
      <c r="S655" s="40" t="inlineStr">
        <is>
          <t>23/05/2026 19:06</t>
        </is>
      </c>
      <c r="T655" s="43" t="inlineStr">
        <is>
          <t>R1:Không đạt</t>
        </is>
      </c>
      <c r="U655" s="40" t="inlineStr"/>
      <c r="V655" s="43" t="inlineStr"/>
    </row>
    <row r="656" ht="80" customHeight="1">
      <c r="A656" s="40" t="inlineStr">
        <is>
          <t>TC-653</t>
        </is>
      </c>
      <c r="B656" s="45" t="inlineStr">
        <is>
          <t>RED</t>
        </is>
      </c>
      <c r="C656" s="42" t="inlineStr">
        <is>
          <t>P0</t>
        </is>
      </c>
      <c r="D656" s="43" t="inlineStr">
        <is>
          <t>Supplements</t>
        </is>
      </c>
      <c r="E656" s="43" t="inlineStr">
        <is>
          <t>caseId rỗng → 400</t>
        </is>
      </c>
      <c r="F656" s="40" t="inlineStr">
        <is>
          <t>REQ-CASE-SUPPLEMENTS-653</t>
        </is>
      </c>
      <c r="G656" s="40" t="inlineStr">
        <is>
          <t>Use case testing</t>
        </is>
      </c>
      <c r="H656" s="40" t="inlineStr">
        <is>
          <t>Cao</t>
        </is>
      </c>
      <c r="I656" s="43" t="inlineStr">
        <is>
          <t>1. User đã login
2. Token JWT hợp lệ</t>
        </is>
      </c>
      <c r="J656" s="43" t="inlineStr">
        <is>
          <t>-</t>
        </is>
      </c>
      <c r="K656" s="43" t="inlineStr">
        <is>
          <t>-</t>
        </is>
      </c>
      <c r="L656" s="43" t="inlineStr">
        <is>
          <t>-</t>
        </is>
      </c>
      <c r="M656" s="43" t="inlineStr">
        <is>
          <t>400</t>
        </is>
      </c>
      <c r="N656" s="43" t="inlineStr">
        <is>
          <t>-</t>
        </is>
      </c>
      <c r="O656" s="40" t="inlineStr">
        <is>
          <t>High</t>
        </is>
      </c>
      <c r="P656" s="43" t="inlineStr">
        <is>
          <t>Thời gian: 799ms</t>
        </is>
      </c>
      <c r="Q656" s="40" t="inlineStr">
        <is>
          <t>Không đạt</t>
        </is>
      </c>
      <c r="R656" s="40" t="inlineStr">
        <is>
          <t>BUG-452</t>
        </is>
      </c>
      <c r="S656" s="40" t="inlineStr">
        <is>
          <t>23/05/2026 19:06</t>
        </is>
      </c>
      <c r="T656" s="43" t="inlineStr">
        <is>
          <t>R1:Không đạt</t>
        </is>
      </c>
      <c r="U656" s="40" t="inlineStr"/>
      <c r="V656" s="43" t="inlineStr"/>
    </row>
    <row r="657" ht="80" customHeight="1">
      <c r="A657" s="40" t="inlineStr">
        <is>
          <t>TC-654</t>
        </is>
      </c>
      <c r="B657" s="45" t="inlineStr">
        <is>
          <t>RED</t>
        </is>
      </c>
      <c r="C657" s="42" t="inlineStr">
        <is>
          <t>P0</t>
        </is>
      </c>
      <c r="D657" s="43" t="inlineStr">
        <is>
          <t>Supplements</t>
        </is>
      </c>
      <c r="E657" s="43" t="inlineStr">
        <is>
          <t>type rỗng → 400</t>
        </is>
      </c>
      <c r="F657" s="40" t="inlineStr">
        <is>
          <t>REQ-CASE-SUPPLEMENTS-654</t>
        </is>
      </c>
      <c r="G657" s="40" t="inlineStr">
        <is>
          <t>Use case testing</t>
        </is>
      </c>
      <c r="H657" s="40" t="inlineStr">
        <is>
          <t>Cao</t>
        </is>
      </c>
      <c r="I657" s="43" t="inlineStr">
        <is>
          <t>1. User đã login
2. Token JWT hợp lệ</t>
        </is>
      </c>
      <c r="J657" s="43" t="inlineStr">
        <is>
          <t>-</t>
        </is>
      </c>
      <c r="K657" s="43" t="inlineStr">
        <is>
          <t>-</t>
        </is>
      </c>
      <c r="L657" s="43" t="inlineStr">
        <is>
          <t>-</t>
        </is>
      </c>
      <c r="M657" s="43" t="inlineStr">
        <is>
          <t>400</t>
        </is>
      </c>
      <c r="N657" s="43" t="inlineStr">
        <is>
          <t>-</t>
        </is>
      </c>
      <c r="O657" s="40" t="inlineStr">
        <is>
          <t>High</t>
        </is>
      </c>
      <c r="P657" s="43" t="inlineStr">
        <is>
          <t>Thời gian: 959ms</t>
        </is>
      </c>
      <c r="Q657" s="40" t="inlineStr">
        <is>
          <t>Không đạt</t>
        </is>
      </c>
      <c r="R657" s="40" t="inlineStr">
        <is>
          <t>BUG-453</t>
        </is>
      </c>
      <c r="S657" s="40" t="inlineStr">
        <is>
          <t>23/05/2026 19:06</t>
        </is>
      </c>
      <c r="T657" s="43" t="inlineStr">
        <is>
          <t>R1:Không đạt</t>
        </is>
      </c>
      <c r="U657" s="40" t="inlineStr"/>
      <c r="V657" s="43" t="inlineStr"/>
    </row>
    <row r="658" ht="80" customHeight="1">
      <c r="A658" s="40" t="inlineStr">
        <is>
          <t>TC-655</t>
        </is>
      </c>
      <c r="B658" s="45" t="inlineStr">
        <is>
          <t>RED</t>
        </is>
      </c>
      <c r="C658" s="42" t="inlineStr">
        <is>
          <t>P0</t>
        </is>
      </c>
      <c r="D658" s="43" t="inlineStr">
        <is>
          <t>Supplements</t>
        </is>
      </c>
      <c r="E658" s="43" t="inlineStr">
        <is>
          <t>decisionNumber rỗng → 400</t>
        </is>
      </c>
      <c r="F658" s="40" t="inlineStr">
        <is>
          <t>REQ-CASE-SUPPLEMENTS-655</t>
        </is>
      </c>
      <c r="G658" s="40" t="inlineStr">
        <is>
          <t>Use case testing</t>
        </is>
      </c>
      <c r="H658" s="40" t="inlineStr">
        <is>
          <t>Cao</t>
        </is>
      </c>
      <c r="I658" s="43" t="inlineStr">
        <is>
          <t>1. User đã login
2. Token JWT hợp lệ</t>
        </is>
      </c>
      <c r="J658" s="43" t="inlineStr">
        <is>
          <t>-</t>
        </is>
      </c>
      <c r="K658" s="43" t="inlineStr">
        <is>
          <t>-</t>
        </is>
      </c>
      <c r="L658" s="43" t="inlineStr">
        <is>
          <t>-</t>
        </is>
      </c>
      <c r="M658" s="43" t="inlineStr">
        <is>
          <t>400</t>
        </is>
      </c>
      <c r="N658" s="43" t="inlineStr">
        <is>
          <t>-</t>
        </is>
      </c>
      <c r="O658" s="40" t="inlineStr">
        <is>
          <t>High</t>
        </is>
      </c>
      <c r="P658" s="43" t="inlineStr">
        <is>
          <t>Thời gian: 177ms</t>
        </is>
      </c>
      <c r="Q658" s="40" t="inlineStr">
        <is>
          <t>Không đạt</t>
        </is>
      </c>
      <c r="R658" s="40" t="inlineStr">
        <is>
          <t>BUG-454</t>
        </is>
      </c>
      <c r="S658" s="40" t="inlineStr">
        <is>
          <t>23/05/2026 19:06</t>
        </is>
      </c>
      <c r="T658" s="43" t="inlineStr">
        <is>
          <t>R1:Không đạt</t>
        </is>
      </c>
      <c r="U658" s="40" t="inlineStr"/>
      <c r="V658" s="43" t="inlineStr"/>
    </row>
    <row r="659" ht="80" customHeight="1">
      <c r="A659" s="40" t="inlineStr">
        <is>
          <t>TC-656</t>
        </is>
      </c>
      <c r="B659" s="45" t="inlineStr">
        <is>
          <t>RED</t>
        </is>
      </c>
      <c r="C659" s="42" t="inlineStr">
        <is>
          <t>P0</t>
        </is>
      </c>
      <c r="D659" s="43" t="inlineStr">
        <is>
          <t>Supplements</t>
        </is>
      </c>
      <c r="E659" s="43" t="inlineStr">
        <is>
          <t>reason rỗng → 400</t>
        </is>
      </c>
      <c r="F659" s="40" t="inlineStr">
        <is>
          <t>REQ-CASE-SUPPLEMENTS-656</t>
        </is>
      </c>
      <c r="G659" s="40" t="inlineStr">
        <is>
          <t>Use case testing</t>
        </is>
      </c>
      <c r="H659" s="40" t="inlineStr">
        <is>
          <t>Cao</t>
        </is>
      </c>
      <c r="I659" s="43" t="inlineStr">
        <is>
          <t>1. User đã login
2. Token JWT hợp lệ</t>
        </is>
      </c>
      <c r="J659" s="43" t="inlineStr">
        <is>
          <t>-</t>
        </is>
      </c>
      <c r="K659" s="43" t="inlineStr">
        <is>
          <t>-</t>
        </is>
      </c>
      <c r="L659" s="43" t="inlineStr">
        <is>
          <t>-</t>
        </is>
      </c>
      <c r="M659" s="43" t="inlineStr">
        <is>
          <t>400</t>
        </is>
      </c>
      <c r="N659" s="43" t="inlineStr">
        <is>
          <t>-</t>
        </is>
      </c>
      <c r="O659" s="40" t="inlineStr">
        <is>
          <t>High</t>
        </is>
      </c>
      <c r="P659" s="43" t="inlineStr">
        <is>
          <t>Thời gian: 256ms</t>
        </is>
      </c>
      <c r="Q659" s="40" t="inlineStr">
        <is>
          <t>Không đạt</t>
        </is>
      </c>
      <c r="R659" s="40" t="inlineStr">
        <is>
          <t>BUG-455</t>
        </is>
      </c>
      <c r="S659" s="40" t="inlineStr">
        <is>
          <t>23/05/2026 19:06</t>
        </is>
      </c>
      <c r="T659" s="43" t="inlineStr">
        <is>
          <t>R1:Không đạt</t>
        </is>
      </c>
      <c r="U659" s="40" t="inlineStr"/>
      <c r="V659" s="43" t="inlineStr"/>
    </row>
    <row r="660" ht="80" customHeight="1">
      <c r="A660" s="40" t="inlineStr">
        <is>
          <t>TC-657</t>
        </is>
      </c>
      <c r="B660" s="45" t="inlineStr">
        <is>
          <t>RED</t>
        </is>
      </c>
      <c r="C660" s="44" t="inlineStr">
        <is>
          <t>P1</t>
        </is>
      </c>
      <c r="D660" s="43" t="inlineStr">
        <is>
          <t>Supplements</t>
        </is>
      </c>
      <c r="E660" s="43" t="inlineStr">
        <is>
          <t>decisionDate sai ISO → 400</t>
        </is>
      </c>
      <c r="F660" s="40" t="inlineStr">
        <is>
          <t>REQ-CASE-SUPPLEMENTS-657</t>
        </is>
      </c>
      <c r="G660" s="40" t="inlineStr">
        <is>
          <t>Use case testing</t>
        </is>
      </c>
      <c r="H660" s="40" t="inlineStr">
        <is>
          <t>TB</t>
        </is>
      </c>
      <c r="I660" s="43" t="inlineStr">
        <is>
          <t>1. User đã login
2. Token JWT hợp lệ</t>
        </is>
      </c>
      <c r="J660" s="43" t="inlineStr">
        <is>
          <t>-</t>
        </is>
      </c>
      <c r="K660" s="43" t="inlineStr">
        <is>
          <t>-</t>
        </is>
      </c>
      <c r="L660" s="43" t="inlineStr">
        <is>
          <t>-</t>
        </is>
      </c>
      <c r="M660" s="43" t="inlineStr">
        <is>
          <t>400</t>
        </is>
      </c>
      <c r="N660" s="43" t="inlineStr">
        <is>
          <t>-</t>
        </is>
      </c>
      <c r="O660" s="40" t="inlineStr">
        <is>
          <t>Medium</t>
        </is>
      </c>
      <c r="P660" s="43" t="inlineStr">
        <is>
          <t>Thời gian: 169ms</t>
        </is>
      </c>
      <c r="Q660" s="40" t="inlineStr">
        <is>
          <t>Không đạt</t>
        </is>
      </c>
      <c r="R660" s="40" t="inlineStr">
        <is>
          <t>BUG-456</t>
        </is>
      </c>
      <c r="S660" s="40" t="inlineStr">
        <is>
          <t>23/05/2026 19:06</t>
        </is>
      </c>
      <c r="T660" s="43" t="inlineStr">
        <is>
          <t>R1:Không đạt</t>
        </is>
      </c>
      <c r="U660" s="40" t="inlineStr"/>
      <c r="V660" s="43" t="inlineStr"/>
    </row>
    <row r="661" ht="80" customHeight="1">
      <c r="A661" s="40" t="inlineStr">
        <is>
          <t>TC-658</t>
        </is>
      </c>
      <c r="B661" s="45" t="inlineStr">
        <is>
          <t>RED</t>
        </is>
      </c>
      <c r="C661" s="44" t="inlineStr">
        <is>
          <t>P1</t>
        </is>
      </c>
      <c r="D661" s="43" t="inlineStr">
        <is>
          <t>Supplements</t>
        </is>
      </c>
      <c r="E661" s="43" t="inlineStr">
        <is>
          <t>deadline sai ISO → 400</t>
        </is>
      </c>
      <c r="F661" s="40" t="inlineStr">
        <is>
          <t>REQ-CASE-SUPPLEMENTS-658</t>
        </is>
      </c>
      <c r="G661" s="40" t="inlineStr">
        <is>
          <t>Use case testing</t>
        </is>
      </c>
      <c r="H661" s="40" t="inlineStr">
        <is>
          <t>TB</t>
        </is>
      </c>
      <c r="I661" s="43" t="inlineStr">
        <is>
          <t>1. User đã login
2. Token JWT hợp lệ</t>
        </is>
      </c>
      <c r="J661" s="43" t="inlineStr">
        <is>
          <t>-</t>
        </is>
      </c>
      <c r="K661" s="43" t="inlineStr">
        <is>
          <t>-</t>
        </is>
      </c>
      <c r="L661" s="43" t="inlineStr">
        <is>
          <t>-</t>
        </is>
      </c>
      <c r="M661" s="43" t="inlineStr">
        <is>
          <t>400</t>
        </is>
      </c>
      <c r="N661" s="43" t="inlineStr">
        <is>
          <t>-</t>
        </is>
      </c>
      <c r="O661" s="40" t="inlineStr">
        <is>
          <t>Medium</t>
        </is>
      </c>
      <c r="P661" s="43" t="inlineStr">
        <is>
          <t>Thời gian: 149ms</t>
        </is>
      </c>
      <c r="Q661" s="40" t="inlineStr">
        <is>
          <t>Không đạt</t>
        </is>
      </c>
      <c r="R661" s="40" t="inlineStr">
        <is>
          <t>BUG-457</t>
        </is>
      </c>
      <c r="S661" s="40" t="inlineStr">
        <is>
          <t>23/05/2026 19:06</t>
        </is>
      </c>
      <c r="T661" s="43" t="inlineStr">
        <is>
          <t>R1:Không đạt</t>
        </is>
      </c>
      <c r="U661" s="40" t="inlineStr"/>
      <c r="V661" s="43" t="inlineStr"/>
    </row>
    <row r="662" ht="80" customHeight="1">
      <c r="A662" s="40" t="inlineStr">
        <is>
          <t>TC-659</t>
        </is>
      </c>
      <c r="B662" s="45" t="inlineStr">
        <is>
          <t>RED</t>
        </is>
      </c>
      <c r="C662" s="44" t="inlineStr">
        <is>
          <t>P1</t>
        </is>
      </c>
      <c r="D662" s="43" t="inlineStr">
        <is>
          <t>Supplements</t>
        </is>
      </c>
      <c r="E662" s="43" t="inlineStr">
        <is>
          <t>deadline &lt; decisionDate (deadline trước quyết định)</t>
        </is>
      </c>
      <c r="F662" s="40" t="inlineStr">
        <is>
          <t>REQ-CASE-SUPPLEMENTS-659</t>
        </is>
      </c>
      <c r="G662" s="40" t="inlineStr">
        <is>
          <t>Use case testing</t>
        </is>
      </c>
      <c r="H662" s="40" t="inlineStr">
        <is>
          <t>TB</t>
        </is>
      </c>
      <c r="I662" s="43" t="inlineStr">
        <is>
          <t>1. User đã login
2. Token JWT hợp lệ</t>
        </is>
      </c>
      <c r="J662" s="43" t="inlineStr">
        <is>
          <t>-</t>
        </is>
      </c>
      <c r="K662" s="43" t="inlineStr">
        <is>
          <t>-</t>
        </is>
      </c>
      <c r="L662" s="43" t="inlineStr">
        <is>
          <t>-</t>
        </is>
      </c>
      <c r="M662" s="43" t="inlineStr">
        <is>
          <t>? — verify business</t>
        </is>
      </c>
      <c r="N662" s="43" t="inlineStr">
        <is>
          <t>-</t>
        </is>
      </c>
      <c r="O662" s="40" t="inlineStr">
        <is>
          <t>Medium</t>
        </is>
      </c>
      <c r="P662" s="43" t="inlineStr">
        <is>
          <t>Thời gian: 188ms</t>
        </is>
      </c>
      <c r="Q662" s="40" t="inlineStr">
        <is>
          <t>Không đạt</t>
        </is>
      </c>
      <c r="R662" s="40" t="inlineStr">
        <is>
          <t>BUG-458</t>
        </is>
      </c>
      <c r="S662" s="40" t="inlineStr">
        <is>
          <t>23/05/2026 19:06</t>
        </is>
      </c>
      <c r="T662" s="43" t="inlineStr">
        <is>
          <t>R1:Không đạt</t>
        </is>
      </c>
      <c r="U662" s="40" t="inlineStr"/>
      <c r="V662" s="43" t="inlineStr">
        <is>
          <t>Gap</t>
        </is>
      </c>
    </row>
    <row r="663" ht="80" customHeight="1">
      <c r="A663" s="40" t="inlineStr">
        <is>
          <t>TC-660</t>
        </is>
      </c>
      <c r="B663" s="41" t="inlineStr">
        <is>
          <t>GREEN</t>
        </is>
      </c>
      <c r="C663" s="42" t="inlineStr">
        <is>
          <t>P0</t>
        </is>
      </c>
      <c r="D663" s="43" t="inlineStr">
        <is>
          <t>Supplements</t>
        </is>
      </c>
      <c r="E663" s="43" t="inlineStr">
        <is>
          <t>GET list paginated</t>
        </is>
      </c>
      <c r="F663" s="40" t="inlineStr">
        <is>
          <t>REQ-CASE-SUPPLEMENTS-660</t>
        </is>
      </c>
      <c r="G663" s="40" t="inlineStr">
        <is>
          <t>Use case testing</t>
        </is>
      </c>
      <c r="H663" s="40" t="inlineStr">
        <is>
          <t>Cao</t>
        </is>
      </c>
      <c r="I663" s="43" t="inlineStr">
        <is>
          <t>1. User đã login
2. Token JWT hợp lệ</t>
        </is>
      </c>
      <c r="J663" s="43" t="inlineStr">
        <is>
          <t>-</t>
        </is>
      </c>
      <c r="K663" s="43" t="inlineStr">
        <is>
          <t>-</t>
        </is>
      </c>
      <c r="L663" s="43" t="inlineStr">
        <is>
          <t>-</t>
        </is>
      </c>
      <c r="M663" s="43" t="inlineStr">
        <is>
          <t>200</t>
        </is>
      </c>
      <c r="N663" s="43" t="inlineStr">
        <is>
          <t>-</t>
        </is>
      </c>
      <c r="O663" s="40" t="inlineStr">
        <is>
          <t>High</t>
        </is>
      </c>
      <c r="P663" s="43" t="inlineStr">
        <is>
          <t>Thời gian: 135ms</t>
        </is>
      </c>
      <c r="Q663" s="40" t="inlineStr">
        <is>
          <t>Không đạt</t>
        </is>
      </c>
      <c r="R663" s="40" t="inlineStr">
        <is>
          <t>BUG-459</t>
        </is>
      </c>
      <c r="S663" s="40" t="inlineStr">
        <is>
          <t>23/05/2026 19:06</t>
        </is>
      </c>
      <c r="T663" s="43" t="inlineStr">
        <is>
          <t>R1:Không đạt</t>
        </is>
      </c>
      <c r="U663" s="40" t="inlineStr"/>
      <c r="V663" s="43" t="inlineStr"/>
    </row>
    <row r="664" ht="80" customHeight="1">
      <c r="A664" s="40" t="inlineStr">
        <is>
          <t>TC-661</t>
        </is>
      </c>
      <c r="B664" s="41" t="inlineStr">
        <is>
          <t>GREEN</t>
        </is>
      </c>
      <c r="C664" s="42" t="inlineStr">
        <is>
          <t>P0</t>
        </is>
      </c>
      <c r="D664" s="43" t="inlineStr">
        <is>
          <t>Supplements</t>
        </is>
      </c>
      <c r="E664" s="43" t="inlineStr">
        <is>
          <t>GET detail</t>
        </is>
      </c>
      <c r="F664" s="40" t="inlineStr">
        <is>
          <t>REQ-CASE-SUPPLEMENTS-661</t>
        </is>
      </c>
      <c r="G664" s="40" t="inlineStr">
        <is>
          <t>Use case testing</t>
        </is>
      </c>
      <c r="H664" s="40" t="inlineStr">
        <is>
          <t>Cao</t>
        </is>
      </c>
      <c r="I664" s="43" t="inlineStr">
        <is>
          <t>1. User đã login
2. Token JWT hợp lệ</t>
        </is>
      </c>
      <c r="J664" s="43" t="inlineStr">
        <is>
          <t>-</t>
        </is>
      </c>
      <c r="K664" s="43" t="inlineStr">
        <is>
          <t>-</t>
        </is>
      </c>
      <c r="L664" s="43" t="inlineStr">
        <is>
          <t>-</t>
        </is>
      </c>
      <c r="M664" s="43" t="inlineStr">
        <is>
          <t>200</t>
        </is>
      </c>
      <c r="N664" s="43" t="inlineStr">
        <is>
          <t>-</t>
        </is>
      </c>
      <c r="O664" s="40" t="inlineStr">
        <is>
          <t>High</t>
        </is>
      </c>
      <c r="P664" s="43" t="inlineStr">
        <is>
          <t>Thời gian: 165ms</t>
        </is>
      </c>
      <c r="Q664" s="40" t="inlineStr">
        <is>
          <t>Không đạt</t>
        </is>
      </c>
      <c r="R664" s="40" t="inlineStr">
        <is>
          <t>BUG-460</t>
        </is>
      </c>
      <c r="S664" s="40" t="inlineStr">
        <is>
          <t>23/05/2026 19:06</t>
        </is>
      </c>
      <c r="T664" s="43" t="inlineStr">
        <is>
          <t>R1:Không đạt</t>
        </is>
      </c>
      <c r="U664" s="40" t="inlineStr"/>
      <c r="V664" s="43" t="inlineStr"/>
    </row>
    <row r="665" ht="80" customHeight="1">
      <c r="A665" s="40" t="inlineStr">
        <is>
          <t>TC-662</t>
        </is>
      </c>
      <c r="B665" s="45" t="inlineStr">
        <is>
          <t>RED</t>
        </is>
      </c>
      <c r="C665" s="42" t="inlineStr">
        <is>
          <t>P0</t>
        </is>
      </c>
      <c r="D665" s="43" t="inlineStr">
        <is>
          <t>Supplements</t>
        </is>
      </c>
      <c r="E665" s="43" t="inlineStr">
        <is>
          <t>GET ngoài scope → 403</t>
        </is>
      </c>
      <c r="F665" s="40" t="inlineStr">
        <is>
          <t>REQ-CASE-SUPPLEMENTS-662</t>
        </is>
      </c>
      <c r="G665" s="40" t="inlineStr">
        <is>
          <t>Use case testing</t>
        </is>
      </c>
      <c r="H665" s="40" t="inlineStr">
        <is>
          <t>Cao</t>
        </is>
      </c>
      <c r="I665" s="43" t="inlineStr">
        <is>
          <t>1. User đã login
2. Token JWT hợp lệ</t>
        </is>
      </c>
      <c r="J665" s="43" t="inlineStr">
        <is>
          <t>-</t>
        </is>
      </c>
      <c r="K665" s="43" t="inlineStr">
        <is>
          <t>-</t>
        </is>
      </c>
      <c r="L665" s="43" t="inlineStr">
        <is>
          <t>-</t>
        </is>
      </c>
      <c r="M665" s="43" t="inlineStr">
        <is>
          <t>403</t>
        </is>
      </c>
      <c r="N665" s="43" t="inlineStr">
        <is>
          <t>-</t>
        </is>
      </c>
      <c r="O665" s="40" t="inlineStr">
        <is>
          <t>Critical</t>
        </is>
      </c>
      <c r="P665" s="43" t="inlineStr">
        <is>
          <t>Thời gian: 163ms</t>
        </is>
      </c>
      <c r="Q665" s="40" t="inlineStr">
        <is>
          <t>Không đạt</t>
        </is>
      </c>
      <c r="R665" s="40" t="inlineStr">
        <is>
          <t>BUG-461</t>
        </is>
      </c>
      <c r="S665" s="40" t="inlineStr">
        <is>
          <t>23/05/2026 19:06</t>
        </is>
      </c>
      <c r="T665" s="43" t="inlineStr">
        <is>
          <t>R1:Không đạt</t>
        </is>
      </c>
      <c r="U665" s="40" t="inlineStr"/>
      <c r="V665" s="43" t="inlineStr"/>
    </row>
    <row r="666" ht="80" customHeight="1">
      <c r="A666" s="40" t="inlineStr">
        <is>
          <t>TC-663</t>
        </is>
      </c>
      <c r="B666" s="45" t="inlineStr">
        <is>
          <t>RED</t>
        </is>
      </c>
      <c r="C666" s="42" t="inlineStr">
        <is>
          <t>P0</t>
        </is>
      </c>
      <c r="D666" s="43" t="inlineStr">
        <is>
          <t>Supplements</t>
        </is>
      </c>
      <c r="E666" s="43" t="inlineStr">
        <is>
          <t>GET NOT_EXIST → 404</t>
        </is>
      </c>
      <c r="F666" s="40" t="inlineStr">
        <is>
          <t>REQ-CASE-SUPPLEMENTS-663</t>
        </is>
      </c>
      <c r="G666" s="40" t="inlineStr">
        <is>
          <t>Use case testing</t>
        </is>
      </c>
      <c r="H666" s="40" t="inlineStr">
        <is>
          <t>Cao</t>
        </is>
      </c>
      <c r="I666" s="43" t="inlineStr">
        <is>
          <t>1. User đã login
2. Token JWT hợp lệ</t>
        </is>
      </c>
      <c r="J666" s="43" t="inlineStr">
        <is>
          <t>-</t>
        </is>
      </c>
      <c r="K666" s="43" t="inlineStr">
        <is>
          <t>-</t>
        </is>
      </c>
      <c r="L666" s="43" t="inlineStr">
        <is>
          <t>-</t>
        </is>
      </c>
      <c r="M666" s="43" t="inlineStr">
        <is>
          <t>404</t>
        </is>
      </c>
      <c r="N666" s="43" t="inlineStr">
        <is>
          <t>-</t>
        </is>
      </c>
      <c r="O666" s="40" t="inlineStr">
        <is>
          <t>High</t>
        </is>
      </c>
      <c r="P666" s="43" t="inlineStr">
        <is>
          <t>Thời gian: 127ms</t>
        </is>
      </c>
      <c r="Q666" s="40" t="inlineStr">
        <is>
          <t>Không đạt</t>
        </is>
      </c>
      <c r="R666" s="40" t="inlineStr">
        <is>
          <t>BUG-462</t>
        </is>
      </c>
      <c r="S666" s="40" t="inlineStr">
        <is>
          <t>23/05/2026 19:06</t>
        </is>
      </c>
      <c r="T666" s="43" t="inlineStr">
        <is>
          <t>R1:Không đạt</t>
        </is>
      </c>
      <c r="U666" s="40" t="inlineStr"/>
      <c r="V666" s="43" t="inlineStr"/>
    </row>
    <row r="667" ht="80" customHeight="1">
      <c r="A667" s="40" t="inlineStr">
        <is>
          <t>TC-664</t>
        </is>
      </c>
      <c r="B667" s="41" t="inlineStr">
        <is>
          <t>GREEN</t>
        </is>
      </c>
      <c r="C667" s="42" t="inlineStr">
        <is>
          <t>P0</t>
        </is>
      </c>
      <c r="D667" s="43" t="inlineStr">
        <is>
          <t>Supplements</t>
        </is>
      </c>
      <c r="E667" s="43" t="inlineStr">
        <is>
          <t>PUT update reason</t>
        </is>
      </c>
      <c r="F667" s="40" t="inlineStr">
        <is>
          <t>REQ-CASE-SUPPLEMENTS-664</t>
        </is>
      </c>
      <c r="G667" s="40" t="inlineStr">
        <is>
          <t>Use case testing</t>
        </is>
      </c>
      <c r="H667" s="40" t="inlineStr">
        <is>
          <t>Cao</t>
        </is>
      </c>
      <c r="I667" s="43" t="inlineStr">
        <is>
          <t>1. User đã login
2. Token JWT hợp lệ</t>
        </is>
      </c>
      <c r="J667" s="43" t="inlineStr">
        <is>
          <t>-</t>
        </is>
      </c>
      <c r="K667" s="43" t="inlineStr">
        <is>
          <t>-</t>
        </is>
      </c>
      <c r="L667" s="43" t="inlineStr">
        <is>
          <t>-</t>
        </is>
      </c>
      <c r="M667" s="43" t="inlineStr">
        <is>
          <t>200</t>
        </is>
      </c>
      <c r="N667" s="43" t="inlineStr">
        <is>
          <t>Audit</t>
        </is>
      </c>
      <c r="O667" s="40" t="inlineStr">
        <is>
          <t>High</t>
        </is>
      </c>
      <c r="P667" s="43" t="inlineStr">
        <is>
          <t>Thời gian: 168ms</t>
        </is>
      </c>
      <c r="Q667" s="40" t="inlineStr">
        <is>
          <t>Không đạt</t>
        </is>
      </c>
      <c r="R667" s="40" t="inlineStr">
        <is>
          <t>BUG-463</t>
        </is>
      </c>
      <c r="S667" s="40" t="inlineStr">
        <is>
          <t>23/05/2026 19:06</t>
        </is>
      </c>
      <c r="T667" s="43" t="inlineStr">
        <is>
          <t>R1:Không đạt</t>
        </is>
      </c>
      <c r="U667" s="40" t="inlineStr"/>
      <c r="V667" s="43" t="inlineStr"/>
    </row>
    <row r="668" ht="80" customHeight="1">
      <c r="A668" s="40" t="inlineStr">
        <is>
          <t>TC-665</t>
        </is>
      </c>
      <c r="B668" s="41" t="inlineStr">
        <is>
          <t>GREEN</t>
        </is>
      </c>
      <c r="C668" s="42" t="inlineStr">
        <is>
          <t>P0</t>
        </is>
      </c>
      <c r="D668" s="43" t="inlineStr">
        <is>
          <t>Supplements</t>
        </is>
      </c>
      <c r="E668" s="43" t="inlineStr">
        <is>
          <t>DELETE soft delete</t>
        </is>
      </c>
      <c r="F668" s="40" t="inlineStr">
        <is>
          <t>REQ-CASE-SUPPLEMENTS-665</t>
        </is>
      </c>
      <c r="G668" s="40" t="inlineStr">
        <is>
          <t>Use case testing</t>
        </is>
      </c>
      <c r="H668" s="40" t="inlineStr">
        <is>
          <t>Cao</t>
        </is>
      </c>
      <c r="I668" s="43" t="inlineStr">
        <is>
          <t>1. User đã login
2. Token JWT hợp lệ</t>
        </is>
      </c>
      <c r="J668" s="43" t="inlineStr">
        <is>
          <t>-</t>
        </is>
      </c>
      <c r="K668" s="43" t="inlineStr">
        <is>
          <t>-</t>
        </is>
      </c>
      <c r="L668" s="43" t="inlineStr">
        <is>
          <t>-</t>
        </is>
      </c>
      <c r="M668" s="43" t="inlineStr">
        <is>
          <t>200</t>
        </is>
      </c>
      <c r="N668" s="43" t="inlineStr">
        <is>
          <t>-</t>
        </is>
      </c>
      <c r="O668" s="40" t="inlineStr">
        <is>
          <t>High</t>
        </is>
      </c>
      <c r="P668" s="43" t="inlineStr">
        <is>
          <t>Thời gian: 213ms</t>
        </is>
      </c>
      <c r="Q668" s="40" t="inlineStr">
        <is>
          <t>Không đạt</t>
        </is>
      </c>
      <c r="R668" s="40" t="inlineStr">
        <is>
          <t>BUG-464</t>
        </is>
      </c>
      <c r="S668" s="40" t="inlineStr">
        <is>
          <t>23/05/2026 19:06</t>
        </is>
      </c>
      <c r="T668" s="43" t="inlineStr">
        <is>
          <t>R1:Không đạt</t>
        </is>
      </c>
      <c r="U668" s="40" t="inlineStr"/>
      <c r="V668" s="43" t="inlineStr"/>
    </row>
    <row r="669" ht="80" customHeight="1">
      <c r="A669" s="40" t="inlineStr">
        <is>
          <t>TC-666</t>
        </is>
      </c>
      <c r="B669" s="56" t="inlineStr">
        <is>
          <t>INTEGRATION</t>
        </is>
      </c>
      <c r="C669" s="42" t="inlineStr">
        <is>
          <t>P0</t>
        </is>
      </c>
      <c r="D669" s="43" t="inlineStr">
        <is>
          <t>Supplements</t>
        </is>
      </c>
      <c r="E669" s="43" t="inlineStr">
        <is>
          <t>Tạo supplement → Case.soLanGiaHan auto-increment</t>
        </is>
      </c>
      <c r="F669" s="40" t="inlineStr">
        <is>
          <t>REQ-CASE-SUPPLEMENTS-666</t>
        </is>
      </c>
      <c r="G669" s="40" t="inlineStr">
        <is>
          <t>Use case testing</t>
        </is>
      </c>
      <c r="H669" s="40" t="inlineStr">
        <is>
          <t>Cao</t>
        </is>
      </c>
      <c r="I669" s="43" t="inlineStr">
        <is>
          <t>1. User đã login
2. Token JWT hợp lệ</t>
        </is>
      </c>
      <c r="J669" s="43" t="inlineStr">
        <is>
          <t>POST supplement type='Gia hạn'</t>
        </is>
      </c>
      <c r="K669" s="43" t="inlineStr">
        <is>
          <t>-</t>
        </is>
      </c>
      <c r="L669" s="43" t="inlineStr">
        <is>
          <t>-</t>
        </is>
      </c>
      <c r="M669" s="43" t="inlineStr">
        <is>
          <t>201</t>
        </is>
      </c>
      <c r="N669" s="43" t="inlineStr">
        <is>
          <t>Case.soLanGiaHan +1</t>
        </is>
      </c>
      <c r="O669" s="40" t="inlineStr">
        <is>
          <t>High</t>
        </is>
      </c>
      <c r="P669" s="43" t="inlineStr">
        <is>
          <t>Thời gian: 163ms</t>
        </is>
      </c>
      <c r="Q669" s="40" t="inlineStr">
        <is>
          <t>Không đạt</t>
        </is>
      </c>
      <c r="R669" s="40" t="inlineStr">
        <is>
          <t>BUG-465</t>
        </is>
      </c>
      <c r="S669" s="40" t="inlineStr">
        <is>
          <t>23/05/2026 19:06</t>
        </is>
      </c>
      <c r="T669" s="43" t="inlineStr">
        <is>
          <t>R1:Không đạt</t>
        </is>
      </c>
      <c r="U669" s="40" t="inlineStr"/>
      <c r="V669" s="43" t="inlineStr">
        <is>
          <t>Verify business logic</t>
        </is>
      </c>
    </row>
    <row r="670" ht="80" customHeight="1">
      <c r="A670" s="40" t="inlineStr">
        <is>
          <t>TC-667</t>
        </is>
      </c>
      <c r="B670" s="56" t="inlineStr">
        <is>
          <t>INTEGRATION</t>
        </is>
      </c>
      <c r="C670" s="42" t="inlineStr">
        <is>
          <t>P0</t>
        </is>
      </c>
      <c r="D670" s="43" t="inlineStr">
        <is>
          <t>Supplements</t>
        </is>
      </c>
      <c r="E670" s="43" t="inlineStr">
        <is>
          <t>Tạo supplement với deadline mới → Case.deadline update</t>
        </is>
      </c>
      <c r="F670" s="40" t="inlineStr">
        <is>
          <t>REQ-CASE-SUPPLEMENTS-667</t>
        </is>
      </c>
      <c r="G670" s="40" t="inlineStr">
        <is>
          <t>Use case testing</t>
        </is>
      </c>
      <c r="H670" s="40" t="inlineStr">
        <is>
          <t>Cao</t>
        </is>
      </c>
      <c r="I670" s="43" t="inlineStr">
        <is>
          <t>1. User đã login
2. Token JWT hợp lệ</t>
        </is>
      </c>
      <c r="J670" s="43" t="inlineStr">
        <is>
          <t>POST với deadline xa hơn</t>
        </is>
      </c>
      <c r="K670" s="43" t="inlineStr">
        <is>
          <t>-</t>
        </is>
      </c>
      <c r="L670" s="43" t="inlineStr">
        <is>
          <t>-</t>
        </is>
      </c>
      <c r="M670" s="43" t="inlineStr">
        <is>
          <t>201</t>
        </is>
      </c>
      <c r="N670" s="43" t="inlineStr">
        <is>
          <t>Case.deadline = supplement.deadline mới</t>
        </is>
      </c>
      <c r="O670" s="40" t="inlineStr">
        <is>
          <t>High</t>
        </is>
      </c>
      <c r="P670" s="43" t="inlineStr">
        <is>
          <t>Thời gian: 205ms</t>
        </is>
      </c>
      <c r="Q670" s="40" t="inlineStr">
        <is>
          <t>Không đạt</t>
        </is>
      </c>
      <c r="R670" s="40" t="inlineStr">
        <is>
          <t>BUG-466</t>
        </is>
      </c>
      <c r="S670" s="40" t="inlineStr">
        <is>
          <t>23/05/2026 19:06</t>
        </is>
      </c>
      <c r="T670" s="43" t="inlineStr">
        <is>
          <t>R1:Không đạt</t>
        </is>
      </c>
      <c r="U670" s="40" t="inlineStr"/>
      <c r="V670" s="43" t="inlineStr">
        <is>
          <t>Verify integration</t>
        </is>
      </c>
    </row>
    <row r="671" ht="80" customHeight="1">
      <c r="A671" s="40" t="inlineStr">
        <is>
          <t>TC-668</t>
        </is>
      </c>
      <c r="B671" s="47" t="inlineStr">
        <is>
          <t>SECURITY</t>
        </is>
      </c>
      <c r="C671" s="42" t="inlineStr">
        <is>
          <t>P0</t>
        </is>
      </c>
      <c r="D671" s="43" t="inlineStr">
        <is>
          <t>Supplements</t>
        </is>
      </c>
      <c r="E671" s="43" t="inlineStr">
        <is>
          <t>IDOR caseId team khác → 403</t>
        </is>
      </c>
      <c r="F671" s="40" t="inlineStr">
        <is>
          <t>REQ-CASE-SUPPLEMENTS-668</t>
        </is>
      </c>
      <c r="G671" s="40" t="inlineStr">
        <is>
          <t>Use case testing</t>
        </is>
      </c>
      <c r="H671" s="40" t="inlineStr">
        <is>
          <t>Cao</t>
        </is>
      </c>
      <c r="I671" s="43" t="inlineStr">
        <is>
          <t>1. User đã login
2. Token JWT hợp lệ</t>
        </is>
      </c>
      <c r="J671" s="43" t="inlineStr">
        <is>
          <t>-</t>
        </is>
      </c>
      <c r="K671" s="43" t="inlineStr">
        <is>
          <t>-</t>
        </is>
      </c>
      <c r="L671" s="43" t="inlineStr">
        <is>
          <t>-</t>
        </is>
      </c>
      <c r="M671" s="43" t="inlineStr">
        <is>
          <t>403</t>
        </is>
      </c>
      <c r="N671" s="43" t="inlineStr">
        <is>
          <t>-</t>
        </is>
      </c>
      <c r="O671" s="40" t="inlineStr">
        <is>
          <t>Critical</t>
        </is>
      </c>
      <c r="P671" s="43" t="inlineStr">
        <is>
          <t>Thời gian: 172ms</t>
        </is>
      </c>
      <c r="Q671" s="40" t="inlineStr">
        <is>
          <t>Không đạt</t>
        </is>
      </c>
      <c r="R671" s="40" t="inlineStr">
        <is>
          <t>BUG-467</t>
        </is>
      </c>
      <c r="S671" s="40" t="inlineStr">
        <is>
          <t>23/05/2026 19:06</t>
        </is>
      </c>
      <c r="T671" s="43" t="inlineStr">
        <is>
          <t>R1:Không đạt</t>
        </is>
      </c>
      <c r="U671" s="40" t="inlineStr"/>
      <c r="V671" s="43" t="inlineStr"/>
    </row>
    <row r="672" ht="80" customHeight="1">
      <c r="A672" s="40" t="inlineStr">
        <is>
          <t>TC-669</t>
        </is>
      </c>
      <c r="B672" s="47" t="inlineStr">
        <is>
          <t>SECURITY</t>
        </is>
      </c>
      <c r="C672" s="42" t="inlineStr">
        <is>
          <t>P0</t>
        </is>
      </c>
      <c r="D672" s="43" t="inlineStr">
        <is>
          <t>Supplements</t>
        </is>
      </c>
      <c r="E672" s="43" t="inlineStr">
        <is>
          <t>XSS reason</t>
        </is>
      </c>
      <c r="F672" s="40" t="inlineStr">
        <is>
          <t>REQ-CASE-SUPPLEMENTS-669</t>
        </is>
      </c>
      <c r="G672" s="40" t="inlineStr">
        <is>
          <t>Use case testing</t>
        </is>
      </c>
      <c r="H672" s="40" t="inlineStr">
        <is>
          <t>Cao</t>
        </is>
      </c>
      <c r="I672" s="43" t="inlineStr">
        <is>
          <t>1. User đã login
2. Token JWT hợp lệ</t>
        </is>
      </c>
      <c r="J672" s="43" t="inlineStr">
        <is>
          <t>-</t>
        </is>
      </c>
      <c r="K672" s="43" t="inlineStr">
        <is>
          <t>-</t>
        </is>
      </c>
      <c r="L672" s="43" t="inlineStr">
        <is>
          <t>-</t>
        </is>
      </c>
      <c r="M672" s="43" t="inlineStr">
        <is>
          <t>201 escape</t>
        </is>
      </c>
      <c r="N672" s="43" t="inlineStr">
        <is>
          <t>-</t>
        </is>
      </c>
      <c r="O672" s="40" t="inlineStr">
        <is>
          <t>High</t>
        </is>
      </c>
      <c r="P672" s="43" t="inlineStr">
        <is>
          <t>Thời gian: 125ms</t>
        </is>
      </c>
      <c r="Q672" s="40" t="inlineStr">
        <is>
          <t>Không đạt</t>
        </is>
      </c>
      <c r="R672" s="40" t="inlineStr">
        <is>
          <t>BUG-468</t>
        </is>
      </c>
      <c r="S672" s="40" t="inlineStr">
        <is>
          <t>23/05/2026 19:06</t>
        </is>
      </c>
      <c r="T672" s="43" t="inlineStr">
        <is>
          <t>R1:Không đạt</t>
        </is>
      </c>
      <c r="U672" s="40" t="inlineStr"/>
      <c r="V672" s="43" t="inlineStr"/>
    </row>
    <row r="673" ht="80" customHeight="1">
      <c r="A673" s="40" t="inlineStr">
        <is>
          <t>TC-670</t>
        </is>
      </c>
      <c r="B673" s="52" t="inlineStr">
        <is>
          <t>DATA</t>
        </is>
      </c>
      <c r="C673" s="44" t="inlineStr">
        <is>
          <t>P1</t>
        </is>
      </c>
      <c r="D673" s="43" t="inlineStr">
        <is>
          <t>Supplements</t>
        </is>
      </c>
      <c r="E673" s="43" t="inlineStr">
        <is>
          <t>reason tiếng Việt long text</t>
        </is>
      </c>
      <c r="F673" s="40" t="inlineStr">
        <is>
          <t>REQ-CASE-SUPPLEMENTS-670</t>
        </is>
      </c>
      <c r="G673" s="40" t="inlineStr">
        <is>
          <t>Use case testing</t>
        </is>
      </c>
      <c r="H673" s="40" t="inlineStr">
        <is>
          <t>TB</t>
        </is>
      </c>
      <c r="I673" s="43" t="inlineStr">
        <is>
          <t>1. User đã login
2. Token JWT hợp lệ</t>
        </is>
      </c>
      <c r="J673" s="43" t="inlineStr">
        <is>
          <t>-</t>
        </is>
      </c>
      <c r="K673" s="43" t="inlineStr">
        <is>
          <t>-</t>
        </is>
      </c>
      <c r="L673" s="43" t="inlineStr">
        <is>
          <t>-</t>
        </is>
      </c>
      <c r="M673" s="43" t="inlineStr">
        <is>
          <t>201</t>
        </is>
      </c>
      <c r="N673" s="43" t="inlineStr">
        <is>
          <t>-</t>
        </is>
      </c>
      <c r="O673" s="40" t="inlineStr">
        <is>
          <t>Low</t>
        </is>
      </c>
      <c r="P673" s="43" t="inlineStr">
        <is>
          <t>Thời gian: 148ms</t>
        </is>
      </c>
      <c r="Q673" s="40" t="inlineStr">
        <is>
          <t>Không đạt</t>
        </is>
      </c>
      <c r="R673" s="40" t="inlineStr">
        <is>
          <t>BUG-469</t>
        </is>
      </c>
      <c r="S673" s="40" t="inlineStr">
        <is>
          <t>23/05/2026 19:06</t>
        </is>
      </c>
      <c r="T673" s="43" t="inlineStr">
        <is>
          <t>R1:Không đạt</t>
        </is>
      </c>
      <c r="U673" s="40" t="inlineStr"/>
      <c r="V673" s="43" t="inlineStr"/>
    </row>
    <row r="674" ht="80" customHeight="1">
      <c r="A674" s="40" t="inlineStr">
        <is>
          <t>TC-671</t>
        </is>
      </c>
      <c r="B674" s="52" t="inlineStr">
        <is>
          <t>DATA</t>
        </is>
      </c>
      <c r="C674" s="44" t="inlineStr">
        <is>
          <t>P1</t>
        </is>
      </c>
      <c r="D674" s="43" t="inlineStr">
        <is>
          <t>Supplements</t>
        </is>
      </c>
      <c r="E674" s="43" t="inlineStr">
        <is>
          <t>decisionNumber format 'XYZ-2026-001'</t>
        </is>
      </c>
      <c r="F674" s="40" t="inlineStr">
        <is>
          <t>REQ-CASE-SUPPLEMENTS-671</t>
        </is>
      </c>
      <c r="G674" s="40" t="inlineStr">
        <is>
          <t>Use case testing</t>
        </is>
      </c>
      <c r="H674" s="40" t="inlineStr">
        <is>
          <t>TB</t>
        </is>
      </c>
      <c r="I674" s="43" t="inlineStr">
        <is>
          <t>1. User đã login
2. Token JWT hợp lệ</t>
        </is>
      </c>
      <c r="J674" s="43" t="inlineStr">
        <is>
          <t>-</t>
        </is>
      </c>
      <c r="K674" s="43" t="inlineStr">
        <is>
          <t>-</t>
        </is>
      </c>
      <c r="L674" s="43" t="inlineStr">
        <is>
          <t>-</t>
        </is>
      </c>
      <c r="M674" s="43" t="inlineStr">
        <is>
          <t>201</t>
        </is>
      </c>
      <c r="N674" s="43" t="inlineStr">
        <is>
          <t>-</t>
        </is>
      </c>
      <c r="O674" s="40" t="inlineStr">
        <is>
          <t>Low</t>
        </is>
      </c>
      <c r="P674" s="43" t="inlineStr">
        <is>
          <t>Thời gian: 226ms</t>
        </is>
      </c>
      <c r="Q674" s="40" t="inlineStr">
        <is>
          <t>Không đạt</t>
        </is>
      </c>
      <c r="R674" s="40" t="inlineStr">
        <is>
          <t>BUG-470</t>
        </is>
      </c>
      <c r="S674" s="40" t="inlineStr">
        <is>
          <t>23/05/2026 19:06</t>
        </is>
      </c>
      <c r="T674" s="43" t="inlineStr">
        <is>
          <t>R1:Không đạt</t>
        </is>
      </c>
      <c r="U674" s="40" t="inlineStr"/>
      <c r="V674" s="43" t="inlineStr"/>
    </row>
    <row r="675" ht="80" customHeight="1">
      <c r="A675" s="40" t="inlineStr">
        <is>
          <t>TC-672</t>
        </is>
      </c>
      <c r="B675" s="58" t="inlineStr">
        <is>
          <t>AUDIT</t>
        </is>
      </c>
      <c r="C675" s="42" t="inlineStr">
        <is>
          <t>P0</t>
        </is>
      </c>
      <c r="D675" s="43" t="inlineStr">
        <is>
          <t>Supplements</t>
        </is>
      </c>
      <c r="E675" s="43" t="inlineStr">
        <is>
          <t>SUPPLEMENT_CREATED log</t>
        </is>
      </c>
      <c r="F675" s="40" t="inlineStr">
        <is>
          <t>REQ-CASE-SUPPLEMENTS-672</t>
        </is>
      </c>
      <c r="G675" s="40" t="inlineStr">
        <is>
          <t>Use case testing</t>
        </is>
      </c>
      <c r="H675" s="40" t="inlineStr">
        <is>
          <t>Cao</t>
        </is>
      </c>
      <c r="I675" s="43" t="inlineStr">
        <is>
          <t>1. User đã login
2. Token JWT hợp lệ</t>
        </is>
      </c>
      <c r="J675" s="43" t="inlineStr">
        <is>
          <t>-</t>
        </is>
      </c>
      <c r="K675" s="43" t="inlineStr">
        <is>
          <t>-</t>
        </is>
      </c>
      <c r="L675" s="43" t="inlineStr">
        <is>
          <t>-</t>
        </is>
      </c>
      <c r="M675" s="43" t="inlineStr">
        <is>
          <t>-</t>
        </is>
      </c>
      <c r="N675" s="43" t="inlineStr">
        <is>
          <t>metadata</t>
        </is>
      </c>
      <c r="O675" s="40" t="inlineStr">
        <is>
          <t>High</t>
        </is>
      </c>
      <c r="P675" s="43" t="inlineStr">
        <is>
          <t>Thời gian: 176ms</t>
        </is>
      </c>
      <c r="Q675" s="40" t="inlineStr">
        <is>
          <t>Không đạt</t>
        </is>
      </c>
      <c r="R675" s="40" t="inlineStr">
        <is>
          <t>BUG-471</t>
        </is>
      </c>
      <c r="S675" s="40" t="inlineStr">
        <is>
          <t>23/05/2026 19:06</t>
        </is>
      </c>
      <c r="T675" s="43" t="inlineStr">
        <is>
          <t>R1:Không đạt</t>
        </is>
      </c>
      <c r="U675" s="40" t="inlineStr"/>
      <c r="V675" s="43" t="inlineStr"/>
    </row>
    <row r="676" ht="80" customHeight="1">
      <c r="A676" s="40" t="inlineStr">
        <is>
          <t>TC-673</t>
        </is>
      </c>
      <c r="B676" s="53" t="inlineStr">
        <is>
          <t>BOUNDARY</t>
        </is>
      </c>
      <c r="C676" s="44" t="inlineStr">
        <is>
          <t>P1</t>
        </is>
      </c>
      <c r="D676" s="43" t="inlineStr">
        <is>
          <t>Supplements</t>
        </is>
      </c>
      <c r="E676" s="43" t="inlineStr">
        <is>
          <t>decisionNumber 1 ký tự</t>
        </is>
      </c>
      <c r="F676" s="40" t="inlineStr">
        <is>
          <t>REQ-CASE-SUPPLEMENTS-673</t>
        </is>
      </c>
      <c r="G676" s="40" t="inlineStr">
        <is>
          <t>Use case testing</t>
        </is>
      </c>
      <c r="H676" s="40" t="inlineStr">
        <is>
          <t>TB</t>
        </is>
      </c>
      <c r="I676" s="43" t="inlineStr">
        <is>
          <t>1. User đã login
2. Token JWT hợp lệ</t>
        </is>
      </c>
      <c r="J676" s="43" t="inlineStr">
        <is>
          <t>-</t>
        </is>
      </c>
      <c r="K676" s="43" t="inlineStr">
        <is>
          <t>-</t>
        </is>
      </c>
      <c r="L676" s="43" t="inlineStr">
        <is>
          <t>-</t>
        </is>
      </c>
      <c r="M676" s="43" t="inlineStr">
        <is>
          <t>201</t>
        </is>
      </c>
      <c r="N676" s="43" t="inlineStr">
        <is>
          <t>-</t>
        </is>
      </c>
      <c r="O676" s="40" t="inlineStr">
        <is>
          <t>Low</t>
        </is>
      </c>
      <c r="P676" s="43" t="inlineStr">
        <is>
          <t>Thời gian: 129ms</t>
        </is>
      </c>
      <c r="Q676" s="40" t="inlineStr">
        <is>
          <t>Không đạt</t>
        </is>
      </c>
      <c r="R676" s="40" t="inlineStr">
        <is>
          <t>BUG-472</t>
        </is>
      </c>
      <c r="S676" s="40" t="inlineStr">
        <is>
          <t>23/05/2026 19:06</t>
        </is>
      </c>
      <c r="T676" s="43" t="inlineStr">
        <is>
          <t>R1:Không đạt</t>
        </is>
      </c>
      <c r="U676" s="40" t="inlineStr"/>
      <c r="V676" s="43" t="inlineStr"/>
    </row>
    <row r="677" ht="80" customHeight="1">
      <c r="A677" s="40" t="inlineStr">
        <is>
          <t>TC-674</t>
        </is>
      </c>
      <c r="B677" s="53" t="inlineStr">
        <is>
          <t>BOUNDARY</t>
        </is>
      </c>
      <c r="C677" s="44" t="inlineStr">
        <is>
          <t>P1</t>
        </is>
      </c>
      <c r="D677" s="43" t="inlineStr">
        <is>
          <t>Supplements</t>
        </is>
      </c>
      <c r="E677" s="43" t="inlineStr">
        <is>
          <t>reason 50K ký tự</t>
        </is>
      </c>
      <c r="F677" s="40" t="inlineStr">
        <is>
          <t>REQ-CASE-SUPPLEMENTS-674</t>
        </is>
      </c>
      <c r="G677" s="40" t="inlineStr">
        <is>
          <t>Use case testing</t>
        </is>
      </c>
      <c r="H677" s="40" t="inlineStr">
        <is>
          <t>TB</t>
        </is>
      </c>
      <c r="I677" s="43" t="inlineStr">
        <is>
          <t>1. User đã login
2. Token JWT hợp lệ</t>
        </is>
      </c>
      <c r="J677" s="43" t="inlineStr">
        <is>
          <t>-</t>
        </is>
      </c>
      <c r="K677" s="43" t="inlineStr">
        <is>
          <t>-</t>
        </is>
      </c>
      <c r="L677" s="43" t="inlineStr">
        <is>
          <t>-</t>
        </is>
      </c>
      <c r="M677" s="43" t="inlineStr">
        <is>
          <t>201</t>
        </is>
      </c>
      <c r="N677" s="43" t="inlineStr">
        <is>
          <t>-</t>
        </is>
      </c>
      <c r="O677" s="40" t="inlineStr">
        <is>
          <t>Low</t>
        </is>
      </c>
      <c r="P677" s="43" t="inlineStr">
        <is>
          <t>Thời gian: 112ms</t>
        </is>
      </c>
      <c r="Q677" s="40" t="inlineStr">
        <is>
          <t>Không đạt</t>
        </is>
      </c>
      <c r="R677" s="40" t="inlineStr">
        <is>
          <t>BUG-473</t>
        </is>
      </c>
      <c r="S677" s="40" t="inlineStr">
        <is>
          <t>23/05/2026 19:06</t>
        </is>
      </c>
      <c r="T677" s="43" t="inlineStr">
        <is>
          <t>R1:Không đạt</t>
        </is>
      </c>
      <c r="U677" s="40" t="inlineStr"/>
      <c r="V677" s="43" t="inlineStr"/>
    </row>
    <row r="678" ht="80" customHeight="1">
      <c r="A678" s="40" t="inlineStr">
        <is>
          <t>TC-675</t>
        </is>
      </c>
      <c r="B678" s="51" t="inlineStr">
        <is>
          <t>PERFORMANCE</t>
        </is>
      </c>
      <c r="C678" s="44" t="inlineStr">
        <is>
          <t>P1</t>
        </is>
      </c>
      <c r="D678" s="43" t="inlineStr">
        <is>
          <t>Supplements</t>
        </is>
      </c>
      <c r="E678" s="43" t="inlineStr">
        <is>
          <t>List &lt; 500ms</t>
        </is>
      </c>
      <c r="F678" s="40" t="inlineStr">
        <is>
          <t>REQ-CASE-SUPPLEMENTS-675</t>
        </is>
      </c>
      <c r="G678" s="40" t="inlineStr">
        <is>
          <t>Use case testing</t>
        </is>
      </c>
      <c r="H678" s="40" t="inlineStr">
        <is>
          <t>TB</t>
        </is>
      </c>
      <c r="I678" s="43" t="inlineStr">
        <is>
          <t>1. User đã login
2. Token JWT hợp lệ</t>
        </is>
      </c>
      <c r="J678" s="43" t="inlineStr">
        <is>
          <t>-</t>
        </is>
      </c>
      <c r="K678" s="43" t="inlineStr">
        <is>
          <t>-</t>
        </is>
      </c>
      <c r="L678" s="43" t="inlineStr">
        <is>
          <t>-</t>
        </is>
      </c>
      <c r="M678" s="43" t="inlineStr">
        <is>
          <t>&lt;500ms</t>
        </is>
      </c>
      <c r="N678" s="43" t="inlineStr">
        <is>
          <t>-</t>
        </is>
      </c>
      <c r="O678" s="40" t="inlineStr">
        <is>
          <t>Medium</t>
        </is>
      </c>
      <c r="P678" s="43" t="inlineStr">
        <is>
          <t>Thời gian: 139ms</t>
        </is>
      </c>
      <c r="Q678" s="40" t="inlineStr">
        <is>
          <t>Không đạt</t>
        </is>
      </c>
      <c r="R678" s="40" t="inlineStr">
        <is>
          <t>BUG-474</t>
        </is>
      </c>
      <c r="S678" s="40" t="inlineStr">
        <is>
          <t>23/05/2026 19:06</t>
        </is>
      </c>
      <c r="T678" s="43" t="inlineStr">
        <is>
          <t>R1:Không đạt</t>
        </is>
      </c>
      <c r="U678" s="40" t="inlineStr"/>
      <c r="V678" s="43" t="inlineStr"/>
    </row>
    <row r="679" ht="80" customHeight="1">
      <c r="A679" s="40" t="inlineStr">
        <is>
          <t>TC-676</t>
        </is>
      </c>
      <c r="B679" s="48" t="inlineStr">
        <is>
          <t>A11Y</t>
        </is>
      </c>
      <c r="C679" s="44" t="inlineStr">
        <is>
          <t>P1</t>
        </is>
      </c>
      <c r="D679" s="43" t="inlineStr">
        <is>
          <t>Supplements</t>
        </is>
      </c>
      <c r="E679" s="43" t="inlineStr">
        <is>
          <t>Form A11Y</t>
        </is>
      </c>
      <c r="F679" s="40" t="inlineStr">
        <is>
          <t>REQ-CASE-SUPPLEMENTS-676</t>
        </is>
      </c>
      <c r="G679" s="40" t="inlineStr">
        <is>
          <t>Use case testing</t>
        </is>
      </c>
      <c r="H679" s="40" t="inlineStr">
        <is>
          <t>TB</t>
        </is>
      </c>
      <c r="I679" s="43" t="inlineStr">
        <is>
          <t>1. User đã login
2. Token JWT hợp lệ</t>
        </is>
      </c>
      <c r="J679" s="43" t="inlineStr">
        <is>
          <t>-</t>
        </is>
      </c>
      <c r="K679" s="43" t="inlineStr">
        <is>
          <t>-</t>
        </is>
      </c>
      <c r="L679" s="43" t="inlineStr">
        <is>
          <t>-</t>
        </is>
      </c>
      <c r="M679" s="43" t="inlineStr">
        <is>
          <t>-</t>
        </is>
      </c>
      <c r="N679" s="43" t="inlineStr">
        <is>
          <t>-</t>
        </is>
      </c>
      <c r="O679" s="40" t="inlineStr">
        <is>
          <t>Low</t>
        </is>
      </c>
      <c r="P679" s="43" t="inlineStr">
        <is>
          <t>Đạt như expected. Thời gian: 746ms</t>
        </is>
      </c>
      <c r="Q679" s="40" t="inlineStr">
        <is>
          <t>Đạt</t>
        </is>
      </c>
      <c r="R679" s="40" t="inlineStr"/>
      <c r="S679" s="40" t="inlineStr">
        <is>
          <t>23/05/2026 19:06</t>
        </is>
      </c>
      <c r="T679" s="43" t="inlineStr">
        <is>
          <t>R1:Đạt</t>
        </is>
      </c>
      <c r="U679" s="40" t="inlineStr"/>
      <c r="V679" s="43" t="inlineStr"/>
    </row>
    <row r="680" ht="80" customHeight="1">
      <c r="A680" s="40" t="inlineStr">
        <is>
          <t>TC-677</t>
        </is>
      </c>
      <c r="B680" s="50" t="inlineStr">
        <is>
          <t>COMPAT</t>
        </is>
      </c>
      <c r="C680" s="44" t="inlineStr">
        <is>
          <t>P1</t>
        </is>
      </c>
      <c r="D680" s="43" t="inlineStr">
        <is>
          <t>Supplements</t>
        </is>
      </c>
      <c r="E680" s="43" t="inlineStr">
        <is>
          <t>Mobile responsive</t>
        </is>
      </c>
      <c r="F680" s="40" t="inlineStr">
        <is>
          <t>REQ-CASE-SUPPLEMENTS-677</t>
        </is>
      </c>
      <c r="G680" s="40" t="inlineStr">
        <is>
          <t>Use case testing</t>
        </is>
      </c>
      <c r="H680" s="40" t="inlineStr">
        <is>
          <t>TB</t>
        </is>
      </c>
      <c r="I680" s="43" t="inlineStr">
        <is>
          <t>1. User đã login
2. Token JWT hợp lệ</t>
        </is>
      </c>
      <c r="J680" s="43" t="inlineStr">
        <is>
          <t>-</t>
        </is>
      </c>
      <c r="K680" s="43" t="inlineStr">
        <is>
          <t>-</t>
        </is>
      </c>
      <c r="L680" s="43" t="inlineStr">
        <is>
          <t>-</t>
        </is>
      </c>
      <c r="M680" s="43" t="inlineStr">
        <is>
          <t>-</t>
        </is>
      </c>
      <c r="N680" s="43" t="inlineStr">
        <is>
          <t>-</t>
        </is>
      </c>
      <c r="O680" s="40" t="inlineStr">
        <is>
          <t>Medium</t>
        </is>
      </c>
      <c r="P680" s="43" t="inlineStr">
        <is>
          <t>Đạt như expected. Thời gian: 64ms</t>
        </is>
      </c>
      <c r="Q680" s="40" t="inlineStr">
        <is>
          <t>Đạt</t>
        </is>
      </c>
      <c r="R680" s="40" t="inlineStr"/>
      <c r="S680" s="40" t="inlineStr">
        <is>
          <t>23/05/2026 19:06</t>
        </is>
      </c>
      <c r="T680" s="43" t="inlineStr">
        <is>
          <t>R1:Đạt</t>
        </is>
      </c>
      <c r="U680" s="40" t="inlineStr"/>
      <c r="V680" s="43" t="inlineStr"/>
    </row>
    <row r="681" ht="80" customHeight="1">
      <c r="A681" s="40" t="inlineStr">
        <is>
          <t>TC-678</t>
        </is>
      </c>
      <c r="B681" s="45" t="inlineStr">
        <is>
          <t>RED</t>
        </is>
      </c>
      <c r="C681" s="42" t="inlineStr">
        <is>
          <t>P0</t>
        </is>
      </c>
      <c r="D681" s="43" t="inlineStr">
        <is>
          <t>Supplements</t>
        </is>
      </c>
      <c r="E681" s="43" t="inlineStr">
        <is>
          <t>VIEWER POST → 403</t>
        </is>
      </c>
      <c r="F681" s="40" t="inlineStr">
        <is>
          <t>REQ-CASE-SUPPLEMENTS-678</t>
        </is>
      </c>
      <c r="G681" s="40" t="inlineStr">
        <is>
          <t>Use case testing</t>
        </is>
      </c>
      <c r="H681" s="40" t="inlineStr">
        <is>
          <t>Cao</t>
        </is>
      </c>
      <c r="I681" s="43" t="inlineStr">
        <is>
          <t>1. User đã login
2. Token JWT hợp lệ</t>
        </is>
      </c>
      <c r="J681" s="43" t="inlineStr">
        <is>
          <t>-</t>
        </is>
      </c>
      <c r="K681" s="43" t="inlineStr">
        <is>
          <t>-</t>
        </is>
      </c>
      <c r="L681" s="43" t="inlineStr">
        <is>
          <t>-</t>
        </is>
      </c>
      <c r="M681" s="43" t="inlineStr">
        <is>
          <t>403</t>
        </is>
      </c>
      <c r="N681" s="43" t="inlineStr">
        <is>
          <t>-</t>
        </is>
      </c>
      <c r="O681" s="40" t="inlineStr">
        <is>
          <t>High</t>
        </is>
      </c>
      <c r="P681" s="43" t="inlineStr">
        <is>
          <t>Đạt như expected. Thời gian: 69ms</t>
        </is>
      </c>
      <c r="Q681" s="40" t="inlineStr">
        <is>
          <t>Đạt</t>
        </is>
      </c>
      <c r="R681" s="40" t="inlineStr"/>
      <c r="S681" s="40" t="inlineStr">
        <is>
          <t>23/05/2026 19:06</t>
        </is>
      </c>
      <c r="T681" s="43" t="inlineStr">
        <is>
          <t>R1:Đạt</t>
        </is>
      </c>
      <c r="U681" s="40" t="inlineStr"/>
      <c r="V681" s="43" t="inlineStr"/>
    </row>
    <row r="682" ht="80" customHeight="1">
      <c r="A682" s="40" t="inlineStr">
        <is>
          <t>TC-679</t>
        </is>
      </c>
      <c r="B682" s="45" t="inlineStr">
        <is>
          <t>RED</t>
        </is>
      </c>
      <c r="C682" s="42" t="inlineStr">
        <is>
          <t>P0</t>
        </is>
      </c>
      <c r="D682" s="43" t="inlineStr">
        <is>
          <t>Supplements</t>
        </is>
      </c>
      <c r="E682" s="43" t="inlineStr">
        <is>
          <t>JWT thiếu → 401</t>
        </is>
      </c>
      <c r="F682" s="40" t="inlineStr">
        <is>
          <t>REQ-CASE-SUPPLEMENTS-679</t>
        </is>
      </c>
      <c r="G682" s="40" t="inlineStr">
        <is>
          <t>Use case testing</t>
        </is>
      </c>
      <c r="H682" s="40" t="inlineStr">
        <is>
          <t>Cao</t>
        </is>
      </c>
      <c r="I682" s="43" t="inlineStr">
        <is>
          <t>1. User đã login
2. Token JWT hợp lệ</t>
        </is>
      </c>
      <c r="J682" s="43" t="inlineStr">
        <is>
          <t>-</t>
        </is>
      </c>
      <c r="K682" s="43" t="inlineStr">
        <is>
          <t>-</t>
        </is>
      </c>
      <c r="L682" s="43" t="inlineStr">
        <is>
          <t>-</t>
        </is>
      </c>
      <c r="M682" s="43" t="inlineStr">
        <is>
          <t>401</t>
        </is>
      </c>
      <c r="N682" s="43" t="inlineStr">
        <is>
          <t>-</t>
        </is>
      </c>
      <c r="O682" s="40" t="inlineStr">
        <is>
          <t>High</t>
        </is>
      </c>
      <c r="P682" s="43" t="inlineStr">
        <is>
          <t>Đạt như expected. Thời gian: 22ms</t>
        </is>
      </c>
      <c r="Q682" s="40" t="inlineStr">
        <is>
          <t>Đạt</t>
        </is>
      </c>
      <c r="R682" s="40" t="inlineStr"/>
      <c r="S682" s="40" t="inlineStr">
        <is>
          <t>23/05/2026 19:06</t>
        </is>
      </c>
      <c r="T682" s="43" t="inlineStr">
        <is>
          <t>R1:Đạt</t>
        </is>
      </c>
      <c r="U682" s="40" t="inlineStr"/>
      <c r="V682" s="43" t="inlineStr"/>
    </row>
    <row r="683" ht="80" customHeight="1">
      <c r="A683" s="40" t="inlineStr">
        <is>
          <t>TC-680</t>
        </is>
      </c>
      <c r="B683" s="41" t="inlineStr">
        <is>
          <t>GREEN</t>
        </is>
      </c>
      <c r="C683" s="44" t="inlineStr">
        <is>
          <t>P1</t>
        </is>
      </c>
      <c r="D683" s="43" t="inlineStr">
        <is>
          <t>Supplements</t>
        </is>
      </c>
      <c r="E683" s="43" t="inlineStr">
        <is>
          <t>Filter by caseId</t>
        </is>
      </c>
      <c r="F683" s="40" t="inlineStr">
        <is>
          <t>REQ-CASE-SUPPLEMENTS-680</t>
        </is>
      </c>
      <c r="G683" s="40" t="inlineStr">
        <is>
          <t>Use case testing</t>
        </is>
      </c>
      <c r="H683" s="40" t="inlineStr">
        <is>
          <t>TB</t>
        </is>
      </c>
      <c r="I683" s="43" t="inlineStr">
        <is>
          <t>1. User đã login
2. Token JWT hợp lệ</t>
        </is>
      </c>
      <c r="J683" s="43" t="inlineStr">
        <is>
          <t>-</t>
        </is>
      </c>
      <c r="K683" s="43" t="inlineStr">
        <is>
          <t>-</t>
        </is>
      </c>
      <c r="L683" s="43" t="inlineStr">
        <is>
          <t>-</t>
        </is>
      </c>
      <c r="M683" s="43" t="inlineStr">
        <is>
          <t>200</t>
        </is>
      </c>
      <c r="N683" s="43" t="inlineStr">
        <is>
          <t>-</t>
        </is>
      </c>
      <c r="O683" s="40" t="inlineStr">
        <is>
          <t>Medium</t>
        </is>
      </c>
      <c r="P683" s="43" t="inlineStr">
        <is>
          <t>Thời gian: 102ms</t>
        </is>
      </c>
      <c r="Q683" s="40" t="inlineStr">
        <is>
          <t>Không đạt</t>
        </is>
      </c>
      <c r="R683" s="40" t="inlineStr">
        <is>
          <t>BUG-475</t>
        </is>
      </c>
      <c r="S683" s="40" t="inlineStr">
        <is>
          <t>23/05/2026 19:06</t>
        </is>
      </c>
      <c r="T683" s="43" t="inlineStr">
        <is>
          <t>R1:Không đạt</t>
        </is>
      </c>
      <c r="U683" s="40" t="inlineStr"/>
      <c r="V683" s="43" t="inlineStr"/>
    </row>
    <row r="684" ht="80" customHeight="1">
      <c r="A684" s="40" t="inlineStr">
        <is>
          <t>TC-681</t>
        </is>
      </c>
      <c r="B684" s="41" t="inlineStr">
        <is>
          <t>GREEN</t>
        </is>
      </c>
      <c r="C684" s="44" t="inlineStr">
        <is>
          <t>P1</t>
        </is>
      </c>
      <c r="D684" s="43" t="inlineStr">
        <is>
          <t>Supplements</t>
        </is>
      </c>
      <c r="E684" s="43" t="inlineStr">
        <is>
          <t>Filter by type</t>
        </is>
      </c>
      <c r="F684" s="40" t="inlineStr">
        <is>
          <t>REQ-CASE-SUPPLEMENTS-681</t>
        </is>
      </c>
      <c r="G684" s="40" t="inlineStr">
        <is>
          <t>Use case testing</t>
        </is>
      </c>
      <c r="H684" s="40" t="inlineStr">
        <is>
          <t>TB</t>
        </is>
      </c>
      <c r="I684" s="43" t="inlineStr">
        <is>
          <t>1. User đã login
2. Token JWT hợp lệ</t>
        </is>
      </c>
      <c r="J684" s="43" t="inlineStr">
        <is>
          <t>-</t>
        </is>
      </c>
      <c r="K684" s="43" t="inlineStr">
        <is>
          <t>-</t>
        </is>
      </c>
      <c r="L684" s="43" t="inlineStr">
        <is>
          <t>-</t>
        </is>
      </c>
      <c r="M684" s="43" t="inlineStr">
        <is>
          <t>200</t>
        </is>
      </c>
      <c r="N684" s="43" t="inlineStr">
        <is>
          <t>-</t>
        </is>
      </c>
      <c r="O684" s="40" t="inlineStr">
        <is>
          <t>Medium</t>
        </is>
      </c>
      <c r="P684" s="43" t="inlineStr">
        <is>
          <t>Thời gian: 751ms</t>
        </is>
      </c>
      <c r="Q684" s="40" t="inlineStr">
        <is>
          <t>Không đạt</t>
        </is>
      </c>
      <c r="R684" s="40" t="inlineStr">
        <is>
          <t>BUG-476</t>
        </is>
      </c>
      <c r="S684" s="40" t="inlineStr">
        <is>
          <t>23/05/2026 19:06</t>
        </is>
      </c>
      <c r="T684" s="43" t="inlineStr">
        <is>
          <t>R1:Không đạt</t>
        </is>
      </c>
      <c r="U684" s="40" t="inlineStr"/>
      <c r="V684" s="43" t="inlineStr"/>
    </row>
    <row r="685" ht="80" customHeight="1">
      <c r="A685" s="40" t="inlineStr">
        <is>
          <t>TC-682</t>
        </is>
      </c>
      <c r="B685" s="41" t="inlineStr">
        <is>
          <t>GREEN</t>
        </is>
      </c>
      <c r="C685" s="42" t="inlineStr">
        <is>
          <t>P0</t>
        </is>
      </c>
      <c r="D685" s="43" t="inlineStr">
        <is>
          <t>PetitionFlow</t>
        </is>
      </c>
      <c r="E685" s="43" t="inlineStr">
        <is>
          <t>Petition convertToCase (POST /petitions/:id/convert)</t>
        </is>
      </c>
      <c r="F685" s="40" t="inlineStr">
        <is>
          <t>REQ-CASE-PETITIONFLOW-682</t>
        </is>
      </c>
      <c r="G685" s="40" t="inlineStr">
        <is>
          <t>Use case testing</t>
        </is>
      </c>
      <c r="H685" s="40" t="inlineStr">
        <is>
          <t>Cao</t>
        </is>
      </c>
      <c r="I685" s="43" t="inlineStr">
        <is>
          <t>1. User đã login
2. Token JWT hợp lệ</t>
        </is>
      </c>
      <c r="J685" s="43" t="inlineStr">
        <is>
          <t>POST /api/petitions/PET-001/convert</t>
        </is>
      </c>
      <c r="K685" s="43" t="inlineStr">
        <is>
          <t>-</t>
        </is>
      </c>
      <c r="L685" s="43" t="inlineStr">
        <is>
          <t>Redirect /cases/&lt;newCaseId&gt;</t>
        </is>
      </c>
      <c r="M685" s="43" t="inlineStr">
        <is>
          <t>201, Petition.linkedCaseId set, status=DA_CHUYEN_VU_AN</t>
        </is>
      </c>
      <c r="N685" s="43" t="inlineStr">
        <is>
          <t>-</t>
        </is>
      </c>
      <c r="O685" s="40" t="inlineStr">
        <is>
          <t>Critical</t>
        </is>
      </c>
      <c r="P685" s="43" t="inlineStr">
        <is>
          <t>Thời gian: 120ms</t>
        </is>
      </c>
      <c r="Q685" s="40" t="inlineStr">
        <is>
          <t>Không đạt</t>
        </is>
      </c>
      <c r="R685" s="40" t="inlineStr">
        <is>
          <t>BUG-322</t>
        </is>
      </c>
      <c r="S685" s="40" t="inlineStr">
        <is>
          <t>23/05/2026 19:06</t>
        </is>
      </c>
      <c r="T685" s="43" t="inlineStr">
        <is>
          <t>R1:Không đạt</t>
        </is>
      </c>
      <c r="U685" s="40" t="inlineStr"/>
      <c r="V685" s="43" t="inlineStr"/>
    </row>
    <row r="686" ht="80" customHeight="1">
      <c r="A686" s="40" t="inlineStr">
        <is>
          <t>TC-683</t>
        </is>
      </c>
      <c r="B686" s="45" t="inlineStr">
        <is>
          <t>RED</t>
        </is>
      </c>
      <c r="C686" s="42" t="inlineStr">
        <is>
          <t>P0</t>
        </is>
      </c>
      <c r="D686" s="43" t="inlineStr">
        <is>
          <t>PetitionFlow</t>
        </is>
      </c>
      <c r="E686" s="43" t="inlineStr">
        <is>
          <t>convertToCase Petition đã linked → 400 'Đã khởi tố rồi'</t>
        </is>
      </c>
      <c r="F686" s="40" t="inlineStr">
        <is>
          <t>REQ-CASE-PETITIONFLOW-683</t>
        </is>
      </c>
      <c r="G686" s="40" t="inlineStr">
        <is>
          <t>Use case testing</t>
        </is>
      </c>
      <c r="H686" s="40" t="inlineStr">
        <is>
          <t>Cao</t>
        </is>
      </c>
      <c r="I686" s="43" t="inlineStr">
        <is>
          <t>PET-002 có linkedCaseId</t>
        </is>
      </c>
      <c r="J686" s="43" t="inlineStr">
        <is>
          <t>POST convert</t>
        </is>
      </c>
      <c r="K686" s="43" t="inlineStr">
        <is>
          <t>-</t>
        </is>
      </c>
      <c r="L686" s="43" t="inlineStr">
        <is>
          <t>-</t>
        </is>
      </c>
      <c r="M686" s="43" t="inlineStr">
        <is>
          <t>400 hoặc 409</t>
        </is>
      </c>
      <c r="N686" s="43" t="inlineStr">
        <is>
          <t>-</t>
        </is>
      </c>
      <c r="O686" s="40" t="inlineStr">
        <is>
          <t>High</t>
        </is>
      </c>
      <c r="P686" s="43" t="inlineStr">
        <is>
          <t>Thời gian: 149ms</t>
        </is>
      </c>
      <c r="Q686" s="40" t="inlineStr">
        <is>
          <t>Không đạt</t>
        </is>
      </c>
      <c r="R686" s="40" t="inlineStr">
        <is>
          <t>BUG-323</t>
        </is>
      </c>
      <c r="S686" s="40" t="inlineStr">
        <is>
          <t>23/05/2026 19:06</t>
        </is>
      </c>
      <c r="T686" s="43" t="inlineStr">
        <is>
          <t>R1:Không đạt</t>
        </is>
      </c>
      <c r="U686" s="40" t="inlineStr"/>
      <c r="V686" s="43" t="inlineStr"/>
    </row>
    <row r="687" ht="80" customHeight="1">
      <c r="A687" s="40" t="inlineStr">
        <is>
          <t>TC-684</t>
        </is>
      </c>
      <c r="B687" s="45" t="inlineStr">
        <is>
          <t>RED</t>
        </is>
      </c>
      <c r="C687" s="42" t="inlineStr">
        <is>
          <t>P0</t>
        </is>
      </c>
      <c r="D687" s="43" t="inlineStr">
        <is>
          <t>PetitionFlow</t>
        </is>
      </c>
      <c r="E687" s="43" t="inlineStr">
        <is>
          <t>convertToCase ngoài scope → 403</t>
        </is>
      </c>
      <c r="F687" s="40" t="inlineStr">
        <is>
          <t>REQ-CASE-PETITIONFLOW-684</t>
        </is>
      </c>
      <c r="G687" s="40" t="inlineStr">
        <is>
          <t>Use case testing</t>
        </is>
      </c>
      <c r="H687" s="40" t="inlineStr">
        <is>
          <t>Cao</t>
        </is>
      </c>
      <c r="I687" s="43" t="inlineStr">
        <is>
          <t>1. User đã login
2. Token JWT hợp lệ</t>
        </is>
      </c>
      <c r="J687" s="43" t="inlineStr">
        <is>
          <t>-</t>
        </is>
      </c>
      <c r="K687" s="43" t="inlineStr">
        <is>
          <t>-</t>
        </is>
      </c>
      <c r="L687" s="43" t="inlineStr">
        <is>
          <t>-</t>
        </is>
      </c>
      <c r="M687" s="43" t="inlineStr">
        <is>
          <t>403</t>
        </is>
      </c>
      <c r="N687" s="43" t="inlineStr">
        <is>
          <t>-</t>
        </is>
      </c>
      <c r="O687" s="40" t="inlineStr">
        <is>
          <t>Critical</t>
        </is>
      </c>
      <c r="P687" s="43" t="inlineStr">
        <is>
          <t>Thời gian: 119ms</t>
        </is>
      </c>
      <c r="Q687" s="40" t="inlineStr">
        <is>
          <t>Không đạt</t>
        </is>
      </c>
      <c r="R687" s="40" t="inlineStr">
        <is>
          <t>BUG-324</t>
        </is>
      </c>
      <c r="S687" s="40" t="inlineStr">
        <is>
          <t>23/05/2026 19:06</t>
        </is>
      </c>
      <c r="T687" s="43" t="inlineStr">
        <is>
          <t>R1:Không đạt</t>
        </is>
      </c>
      <c r="U687" s="40" t="inlineStr"/>
      <c r="V687" s="43" t="inlineStr"/>
    </row>
    <row r="688" ht="80" customHeight="1">
      <c r="A688" s="40" t="inlineStr">
        <is>
          <t>TC-685</t>
        </is>
      </c>
      <c r="B688" s="45" t="inlineStr">
        <is>
          <t>RED</t>
        </is>
      </c>
      <c r="C688" s="42" t="inlineStr">
        <is>
          <t>P0</t>
        </is>
      </c>
      <c r="D688" s="43" t="inlineStr">
        <is>
          <t>PetitionFlow</t>
        </is>
      </c>
      <c r="E688" s="43" t="inlineStr">
        <is>
          <t>convertToCase Petition soft-deleted → 404</t>
        </is>
      </c>
      <c r="F688" s="40" t="inlineStr">
        <is>
          <t>REQ-CASE-PETITIONFLOW-685</t>
        </is>
      </c>
      <c r="G688" s="40" t="inlineStr">
        <is>
          <t>Use case testing</t>
        </is>
      </c>
      <c r="H688" s="40" t="inlineStr">
        <is>
          <t>Cao</t>
        </is>
      </c>
      <c r="I688" s="43" t="inlineStr">
        <is>
          <t>1. User đã login
2. Token JWT hợp lệ</t>
        </is>
      </c>
      <c r="J688" s="43" t="inlineStr">
        <is>
          <t>-</t>
        </is>
      </c>
      <c r="K688" s="43" t="inlineStr">
        <is>
          <t>-</t>
        </is>
      </c>
      <c r="L688" s="43" t="inlineStr">
        <is>
          <t>-</t>
        </is>
      </c>
      <c r="M688" s="43" t="inlineStr">
        <is>
          <t>404</t>
        </is>
      </c>
      <c r="N688" s="43" t="inlineStr">
        <is>
          <t>-</t>
        </is>
      </c>
      <c r="O688" s="40" t="inlineStr">
        <is>
          <t>High</t>
        </is>
      </c>
      <c r="P688" s="43" t="inlineStr">
        <is>
          <t>Thời gian: 225ms</t>
        </is>
      </c>
      <c r="Q688" s="40" t="inlineStr">
        <is>
          <t>Không đạt</t>
        </is>
      </c>
      <c r="R688" s="40" t="inlineStr">
        <is>
          <t>BUG-325</t>
        </is>
      </c>
      <c r="S688" s="40" t="inlineStr">
        <is>
          <t>23/05/2026 19:06</t>
        </is>
      </c>
      <c r="T688" s="43" t="inlineStr">
        <is>
          <t>R1:Không đạt</t>
        </is>
      </c>
      <c r="U688" s="40" t="inlineStr"/>
      <c r="V688" s="43" t="inlineStr"/>
    </row>
    <row r="689" ht="80" customHeight="1">
      <c r="A689" s="40" t="inlineStr">
        <is>
          <t>TC-686</t>
        </is>
      </c>
      <c r="B689" s="46" t="inlineStr">
        <is>
          <t>STATE</t>
        </is>
      </c>
      <c r="C689" s="42" t="inlineStr">
        <is>
          <t>P0</t>
        </is>
      </c>
      <c r="D689" s="43" t="inlineStr">
        <is>
          <t>PetitionFlow</t>
        </is>
      </c>
      <c r="E689" s="43" t="inlineStr">
        <is>
          <t>Petition.status transition MOI_TIEP_NHAN → DA_CHUYEN_VU_AN (convert)</t>
        </is>
      </c>
      <c r="F689" s="40" t="inlineStr">
        <is>
          <t>REQ-CASE-PETITIONFLOW-686</t>
        </is>
      </c>
      <c r="G689" s="40" t="inlineStr">
        <is>
          <t>Use case testing</t>
        </is>
      </c>
      <c r="H689" s="40" t="inlineStr">
        <is>
          <t>Cao</t>
        </is>
      </c>
      <c r="I689" s="43" t="inlineStr">
        <is>
          <t>1. User đã login
2. Token JWT hợp lệ</t>
        </is>
      </c>
      <c r="J689" s="43" t="inlineStr">
        <is>
          <t>-</t>
        </is>
      </c>
      <c r="K689" s="43" t="inlineStr">
        <is>
          <t>-</t>
        </is>
      </c>
      <c r="L689" s="43" t="inlineStr">
        <is>
          <t>-</t>
        </is>
      </c>
      <c r="M689" s="43" t="inlineStr">
        <is>
          <t>-</t>
        </is>
      </c>
      <c r="N689" s="43" t="inlineStr">
        <is>
          <t>auto on convert</t>
        </is>
      </c>
      <c r="O689" s="40" t="inlineStr">
        <is>
          <t>High</t>
        </is>
      </c>
      <c r="P689" s="43" t="inlineStr">
        <is>
          <t>Thời gian: 112ms</t>
        </is>
      </c>
      <c r="Q689" s="40" t="inlineStr">
        <is>
          <t>Không đạt</t>
        </is>
      </c>
      <c r="R689" s="40" t="inlineStr">
        <is>
          <t>BUG-326</t>
        </is>
      </c>
      <c r="S689" s="40" t="inlineStr">
        <is>
          <t>23/05/2026 19:06</t>
        </is>
      </c>
      <c r="T689" s="43" t="inlineStr">
        <is>
          <t>R1:Không đạt</t>
        </is>
      </c>
      <c r="U689" s="40" t="inlineStr"/>
      <c r="V689" s="43" t="inlineStr"/>
    </row>
    <row r="690" ht="80" customHeight="1">
      <c r="A690" s="40" t="inlineStr">
        <is>
          <t>TC-687</t>
        </is>
      </c>
      <c r="B690" s="46" t="inlineStr">
        <is>
          <t>STATE</t>
        </is>
      </c>
      <c r="C690" s="42" t="inlineStr">
        <is>
          <t>P0</t>
        </is>
      </c>
      <c r="D690" s="43" t="inlineStr">
        <is>
          <t>PetitionFlow</t>
        </is>
      </c>
      <c r="E690" s="43" t="inlineStr">
        <is>
          <t>Petition.status MOI_TIEP_NHAN → DANG_XU_LY (manual)</t>
        </is>
      </c>
      <c r="F690" s="40" t="inlineStr">
        <is>
          <t>REQ-CASE-PETITIONFLOW-687</t>
        </is>
      </c>
      <c r="G690" s="40" t="inlineStr">
        <is>
          <t>Use case testing</t>
        </is>
      </c>
      <c r="H690" s="40" t="inlineStr">
        <is>
          <t>Cao</t>
        </is>
      </c>
      <c r="I690" s="43" t="inlineStr">
        <is>
          <t>1. User đã login
2. Token JWT hợp lệ</t>
        </is>
      </c>
      <c r="J690" s="43" t="inlineStr">
        <is>
          <t>PUT petition status</t>
        </is>
      </c>
      <c r="K690" s="43" t="inlineStr">
        <is>
          <t>-</t>
        </is>
      </c>
      <c r="L690" s="43" t="inlineStr">
        <is>
          <t>-</t>
        </is>
      </c>
      <c r="M690" s="43" t="inlineStr">
        <is>
          <t>200</t>
        </is>
      </c>
      <c r="N690" s="43" t="inlineStr">
        <is>
          <t>-</t>
        </is>
      </c>
      <c r="O690" s="40" t="inlineStr">
        <is>
          <t>High</t>
        </is>
      </c>
      <c r="P690" s="43" t="inlineStr">
        <is>
          <t>Thời gian: 208ms</t>
        </is>
      </c>
      <c r="Q690" s="40" t="inlineStr">
        <is>
          <t>Không đạt</t>
        </is>
      </c>
      <c r="R690" s="40" t="inlineStr">
        <is>
          <t>BUG-327</t>
        </is>
      </c>
      <c r="S690" s="40" t="inlineStr">
        <is>
          <t>23/05/2026 19:06</t>
        </is>
      </c>
      <c r="T690" s="43" t="inlineStr">
        <is>
          <t>R1:Không đạt</t>
        </is>
      </c>
      <c r="U690" s="40" t="inlineStr"/>
      <c r="V690" s="43" t="inlineStr"/>
    </row>
    <row r="691" ht="80" customHeight="1">
      <c r="A691" s="40" t="inlineStr">
        <is>
          <t>TC-688</t>
        </is>
      </c>
      <c r="B691" s="46" t="inlineStr">
        <is>
          <t>STATE</t>
        </is>
      </c>
      <c r="C691" s="42" t="inlineStr">
        <is>
          <t>P0</t>
        </is>
      </c>
      <c r="D691" s="43" t="inlineStr">
        <is>
          <t>PetitionFlow</t>
        </is>
      </c>
      <c r="E691" s="43" t="inlineStr">
        <is>
          <t>Petition.status DANG_XU_LY → CHO_PHE_DUYET</t>
        </is>
      </c>
      <c r="F691" s="40" t="inlineStr">
        <is>
          <t>REQ-CASE-PETITIONFLOW-688</t>
        </is>
      </c>
      <c r="G691" s="40" t="inlineStr">
        <is>
          <t>Use case testing</t>
        </is>
      </c>
      <c r="H691" s="40" t="inlineStr">
        <is>
          <t>Cao</t>
        </is>
      </c>
      <c r="I691" s="43" t="inlineStr">
        <is>
          <t>1. User đã login
2. Token JWT hợp lệ</t>
        </is>
      </c>
      <c r="J691" s="43" t="inlineStr">
        <is>
          <t>-</t>
        </is>
      </c>
      <c r="K691" s="43" t="inlineStr">
        <is>
          <t>-</t>
        </is>
      </c>
      <c r="L691" s="43" t="inlineStr">
        <is>
          <t>-</t>
        </is>
      </c>
      <c r="M691" s="43" t="inlineStr">
        <is>
          <t>200</t>
        </is>
      </c>
      <c r="N691" s="43" t="inlineStr">
        <is>
          <t>-</t>
        </is>
      </c>
      <c r="O691" s="40" t="inlineStr">
        <is>
          <t>High</t>
        </is>
      </c>
      <c r="P691" s="43" t="inlineStr">
        <is>
          <t>Thời gian: 239ms</t>
        </is>
      </c>
      <c r="Q691" s="40" t="inlineStr">
        <is>
          <t>Không đạt</t>
        </is>
      </c>
      <c r="R691" s="40" t="inlineStr">
        <is>
          <t>BUG-328</t>
        </is>
      </c>
      <c r="S691" s="40" t="inlineStr">
        <is>
          <t>23/05/2026 19:06</t>
        </is>
      </c>
      <c r="T691" s="43" t="inlineStr">
        <is>
          <t>R1:Không đạt</t>
        </is>
      </c>
      <c r="U691" s="40" t="inlineStr"/>
      <c r="V691" s="43" t="inlineStr"/>
    </row>
    <row r="692" ht="80" customHeight="1">
      <c r="A692" s="40" t="inlineStr">
        <is>
          <t>TC-689</t>
        </is>
      </c>
      <c r="B692" s="46" t="inlineStr">
        <is>
          <t>STATE</t>
        </is>
      </c>
      <c r="C692" s="42" t="inlineStr">
        <is>
          <t>P0</t>
        </is>
      </c>
      <c r="D692" s="43" t="inlineStr">
        <is>
          <t>PetitionFlow</t>
        </is>
      </c>
      <c r="E692" s="43" t="inlineStr">
        <is>
          <t>Petition.status CHO_PHE_DUYET → DA_GIAI_QUYET</t>
        </is>
      </c>
      <c r="F692" s="40" t="inlineStr">
        <is>
          <t>REQ-CASE-PETITIONFLOW-689</t>
        </is>
      </c>
      <c r="G692" s="40" t="inlineStr">
        <is>
          <t>Use case testing</t>
        </is>
      </c>
      <c r="H692" s="40" t="inlineStr">
        <is>
          <t>Cao</t>
        </is>
      </c>
      <c r="I692" s="43" t="inlineStr">
        <is>
          <t>1. User đã login
2. Token JWT hợp lệ</t>
        </is>
      </c>
      <c r="J692" s="43" t="inlineStr">
        <is>
          <t>-</t>
        </is>
      </c>
      <c r="K692" s="43" t="inlineStr">
        <is>
          <t>-</t>
        </is>
      </c>
      <c r="L692" s="43" t="inlineStr">
        <is>
          <t>-</t>
        </is>
      </c>
      <c r="M692" s="43" t="inlineStr">
        <is>
          <t>200</t>
        </is>
      </c>
      <c r="N692" s="43" t="inlineStr">
        <is>
          <t>-</t>
        </is>
      </c>
      <c r="O692" s="40" t="inlineStr">
        <is>
          <t>High</t>
        </is>
      </c>
      <c r="P692" s="43" t="inlineStr">
        <is>
          <t>Thời gian: 146ms</t>
        </is>
      </c>
      <c r="Q692" s="40" t="inlineStr">
        <is>
          <t>Không đạt</t>
        </is>
      </c>
      <c r="R692" s="40" t="inlineStr">
        <is>
          <t>BUG-329</t>
        </is>
      </c>
      <c r="S692" s="40" t="inlineStr">
        <is>
          <t>23/05/2026 19:06</t>
        </is>
      </c>
      <c r="T692" s="43" t="inlineStr">
        <is>
          <t>R1:Không đạt</t>
        </is>
      </c>
      <c r="U692" s="40" t="inlineStr"/>
      <c r="V692" s="43" t="inlineStr"/>
    </row>
    <row r="693" ht="80" customHeight="1">
      <c r="A693" s="40" t="inlineStr">
        <is>
          <t>TC-690</t>
        </is>
      </c>
      <c r="B693" s="46" t="inlineStr">
        <is>
          <t>STATE</t>
        </is>
      </c>
      <c r="C693" s="42" t="inlineStr">
        <is>
          <t>P0</t>
        </is>
      </c>
      <c r="D693" s="43" t="inlineStr">
        <is>
          <t>PetitionFlow</t>
        </is>
      </c>
      <c r="E693" s="43" t="inlineStr">
        <is>
          <t>Petition.status any → DA_LUU_DON (lưu đơn)</t>
        </is>
      </c>
      <c r="F693" s="40" t="inlineStr">
        <is>
          <t>REQ-CASE-PETITIONFLOW-690</t>
        </is>
      </c>
      <c r="G693" s="40" t="inlineStr">
        <is>
          <t>Use case testing</t>
        </is>
      </c>
      <c r="H693" s="40" t="inlineStr">
        <is>
          <t>Cao</t>
        </is>
      </c>
      <c r="I693" s="43" t="inlineStr">
        <is>
          <t>1. User đã login
2. Token JWT hợp lệ</t>
        </is>
      </c>
      <c r="J693" s="43" t="inlineStr">
        <is>
          <t>-</t>
        </is>
      </c>
      <c r="K693" s="43" t="inlineStr">
        <is>
          <t>-</t>
        </is>
      </c>
      <c r="L693" s="43" t="inlineStr">
        <is>
          <t>-</t>
        </is>
      </c>
      <c r="M693" s="43" t="inlineStr">
        <is>
          <t>200</t>
        </is>
      </c>
      <c r="N693" s="43" t="inlineStr">
        <is>
          <t>-</t>
        </is>
      </c>
      <c r="O693" s="40" t="inlineStr">
        <is>
          <t>Medium</t>
        </is>
      </c>
      <c r="P693" s="43" t="inlineStr">
        <is>
          <t>Thời gian: 178ms</t>
        </is>
      </c>
      <c r="Q693" s="40" t="inlineStr">
        <is>
          <t>Không đạt</t>
        </is>
      </c>
      <c r="R693" s="40" t="inlineStr">
        <is>
          <t>BUG-330</t>
        </is>
      </c>
      <c r="S693" s="40" t="inlineStr">
        <is>
          <t>23/05/2026 19:06</t>
        </is>
      </c>
      <c r="T693" s="43" t="inlineStr">
        <is>
          <t>R1:Không đạt</t>
        </is>
      </c>
      <c r="U693" s="40" t="inlineStr"/>
      <c r="V693" s="43" t="inlineStr"/>
    </row>
    <row r="694" ht="80" customHeight="1">
      <c r="A694" s="40" t="inlineStr">
        <is>
          <t>TC-691</t>
        </is>
      </c>
      <c r="B694" s="46" t="inlineStr">
        <is>
          <t>STATE</t>
        </is>
      </c>
      <c r="C694" s="42" t="inlineStr">
        <is>
          <t>P0</t>
        </is>
      </c>
      <c r="D694" s="43" t="inlineStr">
        <is>
          <t>PetitionFlow</t>
        </is>
      </c>
      <c r="E694" s="43" t="inlineStr">
        <is>
          <t>Petition.status → DA_CHUYEN_VU_VIEC (chuyển vụ việc)</t>
        </is>
      </c>
      <c r="F694" s="40" t="inlineStr">
        <is>
          <t>REQ-CASE-PETITIONFLOW-691</t>
        </is>
      </c>
      <c r="G694" s="40" t="inlineStr">
        <is>
          <t>Use case testing</t>
        </is>
      </c>
      <c r="H694" s="40" t="inlineStr">
        <is>
          <t>Cao</t>
        </is>
      </c>
      <c r="I694" s="43" t="inlineStr">
        <is>
          <t>1. User đã login
2. Token JWT hợp lệ</t>
        </is>
      </c>
      <c r="J694" s="43" t="inlineStr">
        <is>
          <t>-</t>
        </is>
      </c>
      <c r="K694" s="43" t="inlineStr">
        <is>
          <t>-</t>
        </is>
      </c>
      <c r="L694" s="43" t="inlineStr">
        <is>
          <t>-</t>
        </is>
      </c>
      <c r="M694" s="43" t="inlineStr">
        <is>
          <t>200</t>
        </is>
      </c>
      <c r="N694" s="43" t="inlineStr">
        <is>
          <t>-</t>
        </is>
      </c>
      <c r="O694" s="40" t="inlineStr">
        <is>
          <t>High</t>
        </is>
      </c>
      <c r="P694" s="43" t="inlineStr">
        <is>
          <t>Thời gian: 170ms</t>
        </is>
      </c>
      <c r="Q694" s="40" t="inlineStr">
        <is>
          <t>Không đạt</t>
        </is>
      </c>
      <c r="R694" s="40" t="inlineStr">
        <is>
          <t>BUG-331</t>
        </is>
      </c>
      <c r="S694" s="40" t="inlineStr">
        <is>
          <t>23/05/2026 19:06</t>
        </is>
      </c>
      <c r="T694" s="43" t="inlineStr">
        <is>
          <t>R1:Không đạt</t>
        </is>
      </c>
      <c r="U694" s="40" t="inlineStr"/>
      <c r="V694" s="43" t="inlineStr"/>
    </row>
    <row r="695" ht="80" customHeight="1">
      <c r="A695" s="40" t="inlineStr">
        <is>
          <t>TC-692</t>
        </is>
      </c>
      <c r="B695" s="45" t="inlineStr">
        <is>
          <t>RED</t>
        </is>
      </c>
      <c r="C695" s="42" t="inlineStr">
        <is>
          <t>P0</t>
        </is>
      </c>
      <c r="D695" s="43" t="inlineStr">
        <is>
          <t>PetitionFlow</t>
        </is>
      </c>
      <c r="E695" s="43" t="inlineStr">
        <is>
          <t>Petition DA_CHUYEN_VU_AN không sửa được</t>
        </is>
      </c>
      <c r="F695" s="40" t="inlineStr">
        <is>
          <t>REQ-CASE-PETITIONFLOW-692</t>
        </is>
      </c>
      <c r="G695" s="40" t="inlineStr">
        <is>
          <t>Use case testing</t>
        </is>
      </c>
      <c r="H695" s="40" t="inlineStr">
        <is>
          <t>Cao</t>
        </is>
      </c>
      <c r="I695" s="43" t="inlineStr">
        <is>
          <t>status=DA_CHUYEN_VU_AN</t>
        </is>
      </c>
      <c r="J695" s="43" t="inlineStr">
        <is>
          <t>PUT petition</t>
        </is>
      </c>
      <c r="K695" s="43" t="inlineStr">
        <is>
          <t>-</t>
        </is>
      </c>
      <c r="L695" s="43" t="inlineStr">
        <is>
          <t>-</t>
        </is>
      </c>
      <c r="M695" s="43" t="inlineStr">
        <is>
          <t>400</t>
        </is>
      </c>
      <c r="N695" s="43" t="inlineStr">
        <is>
          <t>-</t>
        </is>
      </c>
      <c r="O695" s="40" t="inlineStr">
        <is>
          <t>High</t>
        </is>
      </c>
      <c r="P695" s="43" t="inlineStr">
        <is>
          <t>Thời gian: 111ms</t>
        </is>
      </c>
      <c r="Q695" s="40" t="inlineStr">
        <is>
          <t>Không đạt</t>
        </is>
      </c>
      <c r="R695" s="40" t="inlineStr">
        <is>
          <t>BUG-332</t>
        </is>
      </c>
      <c r="S695" s="40" t="inlineStr">
        <is>
          <t>23/05/2026 19:06</t>
        </is>
      </c>
      <c r="T695" s="43" t="inlineStr">
        <is>
          <t>R1:Không đạt</t>
        </is>
      </c>
      <c r="U695" s="40" t="inlineStr"/>
      <c r="V695" s="43" t="inlineStr"/>
    </row>
    <row r="696" ht="80" customHeight="1">
      <c r="A696" s="40" t="inlineStr">
        <is>
          <t>TC-693</t>
        </is>
      </c>
      <c r="B696" s="56" t="inlineStr">
        <is>
          <t>INTEGRATION</t>
        </is>
      </c>
      <c r="C696" s="42" t="inlineStr">
        <is>
          <t>P0</t>
        </is>
      </c>
      <c r="D696" s="43" t="inlineStr">
        <is>
          <t>PetitionFlow</t>
        </is>
      </c>
      <c r="E696" s="43" t="inlineStr">
        <is>
          <t>Cascade: Update Case.metadata.petitionType → sync Petition.petitionType</t>
        </is>
      </c>
      <c r="F696" s="40" t="inlineStr">
        <is>
          <t>REQ-CASE-PETITIONFLOW-693</t>
        </is>
      </c>
      <c r="G696" s="40" t="inlineStr">
        <is>
          <t>Use case testing</t>
        </is>
      </c>
      <c r="H696" s="40" t="inlineStr">
        <is>
          <t>Cao</t>
        </is>
      </c>
      <c r="I696" s="43" t="inlineStr">
        <is>
          <t>1. User đã login
2. Token JWT hợp lệ</t>
        </is>
      </c>
      <c r="J696" s="43" t="inlineStr">
        <is>
          <t>PUT Case.metadata.petitionType='KHIEU_NAI'</t>
        </is>
      </c>
      <c r="K696" s="43" t="inlineStr">
        <is>
          <t>-</t>
        </is>
      </c>
      <c r="L696" s="43" t="inlineStr">
        <is>
          <t>-</t>
        </is>
      </c>
      <c r="M696" s="43" t="inlineStr">
        <is>
          <t>-</t>
        </is>
      </c>
      <c r="N696" s="43" t="inlineStr">
        <is>
          <t>Petition.petitionType updated automatically (v0.37.2.5)</t>
        </is>
      </c>
      <c r="O696" s="40" t="inlineStr">
        <is>
          <t>High</t>
        </is>
      </c>
      <c r="P696" s="43" t="inlineStr">
        <is>
          <t>Thời gian: 127ms</t>
        </is>
      </c>
      <c r="Q696" s="40" t="inlineStr">
        <is>
          <t>Không đạt</t>
        </is>
      </c>
      <c r="R696" s="40" t="inlineStr">
        <is>
          <t>BUG-333</t>
        </is>
      </c>
      <c r="S696" s="40" t="inlineStr">
        <is>
          <t>23/05/2026 19:06</t>
        </is>
      </c>
      <c r="T696" s="43" t="inlineStr">
        <is>
          <t>R1:Không đạt</t>
        </is>
      </c>
      <c r="U696" s="40" t="inlineStr"/>
      <c r="V696" s="43" t="inlineStr"/>
    </row>
    <row r="697" ht="80" customHeight="1">
      <c r="A697" s="40" t="inlineStr">
        <is>
          <t>TC-694</t>
        </is>
      </c>
      <c r="B697" s="56" t="inlineStr">
        <is>
          <t>INTEGRATION</t>
        </is>
      </c>
      <c r="C697" s="42" t="inlineStr">
        <is>
          <t>P0</t>
        </is>
      </c>
      <c r="D697" s="43" t="inlineStr">
        <is>
          <t>PetitionFlow</t>
        </is>
      </c>
      <c r="E697" s="43" t="inlineStr">
        <is>
          <t>Update Case không có Petition link KHÔNG tạo phantom Petition</t>
        </is>
      </c>
      <c r="F697" s="40" t="inlineStr">
        <is>
          <t>REQ-CASE-PETITIONFLOW-694</t>
        </is>
      </c>
      <c r="G697" s="40" t="inlineStr">
        <is>
          <t>Use case testing</t>
        </is>
      </c>
      <c r="H697" s="40" t="inlineStr">
        <is>
          <t>Cao</t>
        </is>
      </c>
      <c r="I697" s="43" t="inlineStr">
        <is>
          <t>1. User đã login
2. Token JWT hợp lệ</t>
        </is>
      </c>
      <c r="J697" s="43" t="inlineStr">
        <is>
          <t>PUT Case metadata.petitionType, không có linkedPetition</t>
        </is>
      </c>
      <c r="K697" s="43" t="inlineStr">
        <is>
          <t>-</t>
        </is>
      </c>
      <c r="L697" s="43" t="inlineStr">
        <is>
          <t>-</t>
        </is>
      </c>
      <c r="M697" s="43" t="inlineStr">
        <is>
          <t>200</t>
        </is>
      </c>
      <c r="N697" s="43" t="inlineStr">
        <is>
          <t>No new Petition created (v0.37.2.5 BLTTHS Đ.143)</t>
        </is>
      </c>
      <c r="O697" s="40" t="inlineStr">
        <is>
          <t>Critical</t>
        </is>
      </c>
      <c r="P697" s="43" t="inlineStr">
        <is>
          <t>Thời gian: 182ms</t>
        </is>
      </c>
      <c r="Q697" s="40" t="inlineStr">
        <is>
          <t>Không đạt</t>
        </is>
      </c>
      <c r="R697" s="40" t="inlineStr">
        <is>
          <t>BUG-334</t>
        </is>
      </c>
      <c r="S697" s="40" t="inlineStr">
        <is>
          <t>23/05/2026 19:06</t>
        </is>
      </c>
      <c r="T697" s="43" t="inlineStr">
        <is>
          <t>R1:Không đạt</t>
        </is>
      </c>
      <c r="U697" s="40" t="inlineStr"/>
      <c r="V697" s="43" t="inlineStr"/>
    </row>
    <row r="698" ht="80" customHeight="1">
      <c r="A698" s="40" t="inlineStr">
        <is>
          <t>TC-695</t>
        </is>
      </c>
      <c r="B698" s="41" t="inlineStr">
        <is>
          <t>GREEN</t>
        </is>
      </c>
      <c r="C698" s="42" t="inlineStr">
        <is>
          <t>P0</t>
        </is>
      </c>
      <c r="D698" s="43" t="inlineStr">
        <is>
          <t>PetitionFlow</t>
        </is>
      </c>
      <c r="E698" s="43" t="inlineStr">
        <is>
          <t>STT auto-generate format DT-YYYY-NNNNN</t>
        </is>
      </c>
      <c r="F698" s="40" t="inlineStr">
        <is>
          <t>REQ-CASE-PETITIONFLOW-695</t>
        </is>
      </c>
      <c r="G698" s="40" t="inlineStr">
        <is>
          <t>Use case testing</t>
        </is>
      </c>
      <c r="H698" s="40" t="inlineStr">
        <is>
          <t>Cao</t>
        </is>
      </c>
      <c r="I698" s="43" t="inlineStr">
        <is>
          <t>1. User đã login
2. Token JWT hợp lệ</t>
        </is>
      </c>
      <c r="J698" s="43" t="inlineStr">
        <is>
          <t>POST 3 petition liên tiếp</t>
        </is>
      </c>
      <c r="K698" s="43" t="inlineStr">
        <is>
          <t>-</t>
        </is>
      </c>
      <c r="L698" s="43" t="inlineStr">
        <is>
          <t>-</t>
        </is>
      </c>
      <c r="M698" s="43" t="inlineStr">
        <is>
          <t>stt = DT-2026-00001, 00002, 00003</t>
        </is>
      </c>
      <c r="N698" s="43" t="inlineStr">
        <is>
          <t>-</t>
        </is>
      </c>
      <c r="O698" s="40" t="inlineStr">
        <is>
          <t>High</t>
        </is>
      </c>
      <c r="P698" s="43" t="inlineStr">
        <is>
          <t>Thời gian: 189ms</t>
        </is>
      </c>
      <c r="Q698" s="40" t="inlineStr">
        <is>
          <t>Không đạt</t>
        </is>
      </c>
      <c r="R698" s="40" t="inlineStr">
        <is>
          <t>BUG-335</t>
        </is>
      </c>
      <c r="S698" s="40" t="inlineStr">
        <is>
          <t>23/05/2026 19:06</t>
        </is>
      </c>
      <c r="T698" s="43" t="inlineStr">
        <is>
          <t>R1:Không đạt</t>
        </is>
      </c>
      <c r="U698" s="40" t="inlineStr"/>
      <c r="V698" s="43" t="inlineStr"/>
    </row>
    <row r="699" ht="80" customHeight="1">
      <c r="A699" s="40" t="inlineStr">
        <is>
          <t>TC-696</t>
        </is>
      </c>
      <c r="B699" s="45" t="inlineStr">
        <is>
          <t>RED</t>
        </is>
      </c>
      <c r="C699" s="42" t="inlineStr">
        <is>
          <t>P0</t>
        </is>
      </c>
      <c r="D699" s="43" t="inlineStr">
        <is>
          <t>PetitionFlow</t>
        </is>
      </c>
      <c r="E699" s="43" t="inlineStr">
        <is>
          <t>STT race condition: 2 concurrent create không tạo duplicate STT</t>
        </is>
      </c>
      <c r="F699" s="40" t="inlineStr">
        <is>
          <t>REQ-CASE-PETITIONFLOW-696</t>
        </is>
      </c>
      <c r="G699" s="40" t="inlineStr">
        <is>
          <t>Use case testing</t>
        </is>
      </c>
      <c r="H699" s="40" t="inlineStr">
        <is>
          <t>Cao</t>
        </is>
      </c>
      <c r="I699" s="43" t="inlineStr">
        <is>
          <t>1. User đã login
2. Token JWT hợp lệ</t>
        </is>
      </c>
      <c r="J699" s="43" t="inlineStr">
        <is>
          <t>2 parallel POST</t>
        </is>
      </c>
      <c r="K699" s="43" t="inlineStr">
        <is>
          <t>-</t>
        </is>
      </c>
      <c r="L699" s="43" t="inlineStr">
        <is>
          <t>-</t>
        </is>
      </c>
      <c r="M699" s="43" t="inlineStr">
        <is>
          <t>2 stt khác nhau</t>
        </is>
      </c>
      <c r="N699" s="43" t="inlineStr">
        <is>
          <t>generateStt + unique constraint</t>
        </is>
      </c>
      <c r="O699" s="40" t="inlineStr">
        <is>
          <t>Critical</t>
        </is>
      </c>
      <c r="P699" s="43" t="inlineStr">
        <is>
          <t>Thời gian: 195ms</t>
        </is>
      </c>
      <c r="Q699" s="40" t="inlineStr">
        <is>
          <t>Không đạt</t>
        </is>
      </c>
      <c r="R699" s="40" t="inlineStr">
        <is>
          <t>BUG-336</t>
        </is>
      </c>
      <c r="S699" s="40" t="inlineStr">
        <is>
          <t>23/05/2026 19:06</t>
        </is>
      </c>
      <c r="T699" s="43" t="inlineStr">
        <is>
          <t>R1:Không đạt</t>
        </is>
      </c>
      <c r="U699" s="40" t="inlineStr"/>
      <c r="V699" s="43" t="inlineStr"/>
    </row>
    <row r="700" ht="80" customHeight="1">
      <c r="A700" s="40" t="inlineStr">
        <is>
          <t>TC-697</t>
        </is>
      </c>
      <c r="B700" s="45" t="inlineStr">
        <is>
          <t>RED</t>
        </is>
      </c>
      <c r="C700" s="42" t="inlineStr">
        <is>
          <t>P0</t>
        </is>
      </c>
      <c r="D700" s="43" t="inlineStr">
        <is>
          <t>PetitionFlow</t>
        </is>
      </c>
      <c r="E700" s="43" t="inlineStr">
        <is>
          <t>convertToCase Petition status không phải MOI_TIEP_NHAN/DANG_XU_LY → 400</t>
        </is>
      </c>
      <c r="F700" s="40" t="inlineStr">
        <is>
          <t>REQ-CASE-PETITIONFLOW-697</t>
        </is>
      </c>
      <c r="G700" s="40" t="inlineStr">
        <is>
          <t>Use case testing</t>
        </is>
      </c>
      <c r="H700" s="40" t="inlineStr">
        <is>
          <t>Cao</t>
        </is>
      </c>
      <c r="I700" s="43" t="inlineStr">
        <is>
          <t>status=DA_LUU_DON</t>
        </is>
      </c>
      <c r="J700" s="43" t="inlineStr">
        <is>
          <t>POST convert</t>
        </is>
      </c>
      <c r="K700" s="43" t="inlineStr">
        <is>
          <t>-</t>
        </is>
      </c>
      <c r="L700" s="43" t="inlineStr">
        <is>
          <t>-</t>
        </is>
      </c>
      <c r="M700" s="43" t="inlineStr">
        <is>
          <t>400</t>
        </is>
      </c>
      <c r="N700" s="43" t="inlineStr">
        <is>
          <t>-</t>
        </is>
      </c>
      <c r="O700" s="40" t="inlineStr">
        <is>
          <t>High</t>
        </is>
      </c>
      <c r="P700" s="43" t="inlineStr">
        <is>
          <t>Thời gian: 166ms</t>
        </is>
      </c>
      <c r="Q700" s="40" t="inlineStr">
        <is>
          <t>Không đạt</t>
        </is>
      </c>
      <c r="R700" s="40" t="inlineStr">
        <is>
          <t>BUG-337</t>
        </is>
      </c>
      <c r="S700" s="40" t="inlineStr">
        <is>
          <t>23/05/2026 19:06</t>
        </is>
      </c>
      <c r="T700" s="43" t="inlineStr">
        <is>
          <t>R1:Không đạt</t>
        </is>
      </c>
      <c r="U700" s="40" t="inlineStr"/>
      <c r="V700" s="43" t="inlineStr">
        <is>
          <t>Verify state guard</t>
        </is>
      </c>
    </row>
    <row r="701" ht="80" customHeight="1">
      <c r="A701" s="40" t="inlineStr">
        <is>
          <t>TC-698</t>
        </is>
      </c>
      <c r="B701" s="58" t="inlineStr">
        <is>
          <t>AUDIT</t>
        </is>
      </c>
      <c r="C701" s="42" t="inlineStr">
        <is>
          <t>P0</t>
        </is>
      </c>
      <c r="D701" s="43" t="inlineStr">
        <is>
          <t>PetitionFlow</t>
        </is>
      </c>
      <c r="E701" s="43" t="inlineStr">
        <is>
          <t>PETITION_CONVERTED log với linkedCaseId</t>
        </is>
      </c>
      <c r="F701" s="40" t="inlineStr">
        <is>
          <t>REQ-CASE-PETITIONFLOW-698</t>
        </is>
      </c>
      <c r="G701" s="40" t="inlineStr">
        <is>
          <t>Use case testing</t>
        </is>
      </c>
      <c r="H701" s="40" t="inlineStr">
        <is>
          <t>Cao</t>
        </is>
      </c>
      <c r="I701" s="43" t="inlineStr">
        <is>
          <t>1. User đã login
2. Token JWT hợp lệ</t>
        </is>
      </c>
      <c r="J701" s="43" t="inlineStr">
        <is>
          <t>POST convert</t>
        </is>
      </c>
      <c r="K701" s="43" t="inlineStr">
        <is>
          <t>-</t>
        </is>
      </c>
      <c r="L701" s="43" t="inlineStr">
        <is>
          <t>-</t>
        </is>
      </c>
      <c r="M701" s="43" t="inlineStr">
        <is>
          <t>-</t>
        </is>
      </c>
      <c r="N701" s="43" t="inlineStr">
        <is>
          <t>audit row PETITION_CONVERTED metadata.caseId</t>
        </is>
      </c>
      <c r="O701" s="40" t="inlineStr">
        <is>
          <t>High</t>
        </is>
      </c>
      <c r="P701" s="43" t="inlineStr">
        <is>
          <t>Thời gian: 187ms</t>
        </is>
      </c>
      <c r="Q701" s="40" t="inlineStr">
        <is>
          <t>Không đạt</t>
        </is>
      </c>
      <c r="R701" s="40" t="inlineStr">
        <is>
          <t>BUG-338</t>
        </is>
      </c>
      <c r="S701" s="40" t="inlineStr">
        <is>
          <t>23/05/2026 19:06</t>
        </is>
      </c>
      <c r="T701" s="43" t="inlineStr">
        <is>
          <t>R1:Không đạt</t>
        </is>
      </c>
      <c r="U701" s="40" t="inlineStr"/>
      <c r="V701" s="43" t="inlineStr"/>
    </row>
    <row r="702" ht="80" customHeight="1">
      <c r="A702" s="40" t="inlineStr">
        <is>
          <t>TC-699</t>
        </is>
      </c>
      <c r="B702" s="47" t="inlineStr">
        <is>
          <t>SECURITY</t>
        </is>
      </c>
      <c r="C702" s="42" t="inlineStr">
        <is>
          <t>P0</t>
        </is>
      </c>
      <c r="D702" s="43" t="inlineStr">
        <is>
          <t>PetitionFlow</t>
        </is>
      </c>
      <c r="E702" s="43" t="inlineStr">
        <is>
          <t>convertToCase atomic — race 2 user → 1 conflict</t>
        </is>
      </c>
      <c r="F702" s="40" t="inlineStr">
        <is>
          <t>REQ-CASE-PETITIONFLOW-699</t>
        </is>
      </c>
      <c r="G702" s="40" t="inlineStr">
        <is>
          <t>Use case testing</t>
        </is>
      </c>
      <c r="H702" s="40" t="inlineStr">
        <is>
          <t>Cao</t>
        </is>
      </c>
      <c r="I702" s="43" t="inlineStr">
        <is>
          <t>1. User đã login
2. Token JWT hợp lệ</t>
        </is>
      </c>
      <c r="J702" s="43" t="inlineStr">
        <is>
          <t>-</t>
        </is>
      </c>
      <c r="K702" s="43" t="inlineStr">
        <is>
          <t>-</t>
        </is>
      </c>
      <c r="L702" s="43" t="inlineStr">
        <is>
          <t>-</t>
        </is>
      </c>
      <c r="M702" s="43" t="inlineStr">
        <is>
          <t>1×201 + 1×409</t>
        </is>
      </c>
      <c r="N702" s="43" t="inlineStr">
        <is>
          <t>-</t>
        </is>
      </c>
      <c r="O702" s="40" t="inlineStr">
        <is>
          <t>Critical</t>
        </is>
      </c>
      <c r="P702" s="43" t="inlineStr">
        <is>
          <t>Thời gian: 152ms</t>
        </is>
      </c>
      <c r="Q702" s="40" t="inlineStr">
        <is>
          <t>Không đạt</t>
        </is>
      </c>
      <c r="R702" s="40" t="inlineStr">
        <is>
          <t>BUG-339</t>
        </is>
      </c>
      <c r="S702" s="40" t="inlineStr">
        <is>
          <t>23/05/2026 19:06</t>
        </is>
      </c>
      <c r="T702" s="43" t="inlineStr">
        <is>
          <t>R1:Không đạt</t>
        </is>
      </c>
      <c r="U702" s="40" t="inlineStr"/>
      <c r="V702" s="43" t="inlineStr"/>
    </row>
    <row r="703" ht="80" customHeight="1">
      <c r="A703" s="40" t="inlineStr">
        <is>
          <t>TC-700</t>
        </is>
      </c>
      <c r="B703" s="52" t="inlineStr">
        <is>
          <t>DATA</t>
        </is>
      </c>
      <c r="C703" s="44" t="inlineStr">
        <is>
          <t>P1</t>
        </is>
      </c>
      <c r="D703" s="43" t="inlineStr">
        <is>
          <t>PetitionFlow</t>
        </is>
      </c>
      <c r="E703" s="43" t="inlineStr">
        <is>
          <t>Petition senderName tiếng Việt có dấu</t>
        </is>
      </c>
      <c r="F703" s="40" t="inlineStr">
        <is>
          <t>REQ-CASE-PETITIONFLOW-700</t>
        </is>
      </c>
      <c r="G703" s="40" t="inlineStr">
        <is>
          <t>Use case testing</t>
        </is>
      </c>
      <c r="H703" s="40" t="inlineStr">
        <is>
          <t>TB</t>
        </is>
      </c>
      <c r="I703" s="43" t="inlineStr">
        <is>
          <t>1. User đã login
2. Token JWT hợp lệ</t>
        </is>
      </c>
      <c r="J703" s="43" t="inlineStr">
        <is>
          <t>-</t>
        </is>
      </c>
      <c r="K703" s="43" t="inlineStr">
        <is>
          <t>-</t>
        </is>
      </c>
      <c r="L703" s="43" t="inlineStr">
        <is>
          <t>-</t>
        </is>
      </c>
      <c r="M703" s="43" t="inlineStr">
        <is>
          <t>201</t>
        </is>
      </c>
      <c r="N703" s="43" t="inlineStr">
        <is>
          <t>-</t>
        </is>
      </c>
      <c r="O703" s="40" t="inlineStr">
        <is>
          <t>Low</t>
        </is>
      </c>
      <c r="P703" s="43" t="inlineStr">
        <is>
          <t>Thời gian: 133ms</t>
        </is>
      </c>
      <c r="Q703" s="40" t="inlineStr">
        <is>
          <t>Không đạt</t>
        </is>
      </c>
      <c r="R703" s="40" t="inlineStr">
        <is>
          <t>BUG-340</t>
        </is>
      </c>
      <c r="S703" s="40" t="inlineStr">
        <is>
          <t>23/05/2026 19:06</t>
        </is>
      </c>
      <c r="T703" s="43" t="inlineStr">
        <is>
          <t>R1:Không đạt</t>
        </is>
      </c>
      <c r="U703" s="40" t="inlineStr"/>
      <c r="V703" s="43" t="inlineStr"/>
    </row>
    <row r="704" ht="80" customHeight="1">
      <c r="A704" s="40" t="inlineStr">
        <is>
          <t>TC-701</t>
        </is>
      </c>
      <c r="B704" s="53" t="inlineStr">
        <is>
          <t>BOUNDARY</t>
        </is>
      </c>
      <c r="C704" s="44" t="inlineStr">
        <is>
          <t>P1</t>
        </is>
      </c>
      <c r="D704" s="43" t="inlineStr">
        <is>
          <t>PetitionFlow</t>
        </is>
      </c>
      <c r="E704" s="43" t="inlineStr">
        <is>
          <t>stt cuối cùng năm 99999 → tràn?</t>
        </is>
      </c>
      <c r="F704" s="40" t="inlineStr">
        <is>
          <t>REQ-CASE-PETITIONFLOW-701</t>
        </is>
      </c>
      <c r="G704" s="40" t="inlineStr">
        <is>
          <t>Use case testing</t>
        </is>
      </c>
      <c r="H704" s="40" t="inlineStr">
        <is>
          <t>TB</t>
        </is>
      </c>
      <c r="I704" s="43" t="inlineStr">
        <is>
          <t>1. User đã login
2. Token JWT hợp lệ</t>
        </is>
      </c>
      <c r="J704" s="43" t="inlineStr">
        <is>
          <t>POST khi đã có DT-2026-99999</t>
        </is>
      </c>
      <c r="K704" s="43" t="inlineStr">
        <is>
          <t>-</t>
        </is>
      </c>
      <c r="L704" s="43" t="inlineStr">
        <is>
          <t>-</t>
        </is>
      </c>
      <c r="M704" s="43" t="inlineStr">
        <is>
          <t>? — verify overflow handling</t>
        </is>
      </c>
      <c r="N704" s="43" t="inlineStr">
        <is>
          <t>-</t>
        </is>
      </c>
      <c r="O704" s="40" t="inlineStr">
        <is>
          <t>Low</t>
        </is>
      </c>
      <c r="P704" s="43" t="inlineStr">
        <is>
          <t>Thời gian: 151ms</t>
        </is>
      </c>
      <c r="Q704" s="40" t="inlineStr">
        <is>
          <t>Không đạt</t>
        </is>
      </c>
      <c r="R704" s="40" t="inlineStr">
        <is>
          <t>BUG-341</t>
        </is>
      </c>
      <c r="S704" s="40" t="inlineStr">
        <is>
          <t>23/05/2026 19:06</t>
        </is>
      </c>
      <c r="T704" s="43" t="inlineStr">
        <is>
          <t>R1:Không đạt</t>
        </is>
      </c>
      <c r="U704" s="40" t="inlineStr"/>
      <c r="V704" s="43" t="inlineStr">
        <is>
          <t>Gap: padStart 5 — 100000 sẽ thành 100000 (6 chars)</t>
        </is>
      </c>
    </row>
    <row r="705" ht="80" customHeight="1">
      <c r="A705" s="40" t="inlineStr">
        <is>
          <t>TC-702</t>
        </is>
      </c>
      <c r="B705" s="56" t="inlineStr">
        <is>
          <t>INTEGRATION</t>
        </is>
      </c>
      <c r="C705" s="42" t="inlineStr">
        <is>
          <t>P0</t>
        </is>
      </c>
      <c r="D705" s="43" t="inlineStr">
        <is>
          <t>PetitionFlow</t>
        </is>
      </c>
      <c r="E705" s="43" t="inlineStr">
        <is>
          <t>Delete Petition KHÔNG delete linked Case (Restrict)</t>
        </is>
      </c>
      <c r="F705" s="40" t="inlineStr">
        <is>
          <t>REQ-CASE-PETITIONFLOW-702</t>
        </is>
      </c>
      <c r="G705" s="40" t="inlineStr">
        <is>
          <t>Use case testing</t>
        </is>
      </c>
      <c r="H705" s="40" t="inlineStr">
        <is>
          <t>Cao</t>
        </is>
      </c>
      <c r="I705" s="43" t="inlineStr">
        <is>
          <t>1. User đã login
2. Token JWT hợp lệ</t>
        </is>
      </c>
      <c r="J705" s="43" t="inlineStr">
        <is>
          <t>DELETE Petition có linkedCase</t>
        </is>
      </c>
      <c r="K705" s="43" t="inlineStr">
        <is>
          <t>-</t>
        </is>
      </c>
      <c r="L705" s="43" t="inlineStr">
        <is>
          <t>-</t>
        </is>
      </c>
      <c r="M705" s="43" t="inlineStr">
        <is>
          <t>400 hoặc Restrict block</t>
        </is>
      </c>
      <c r="N705" s="43" t="inlineStr">
        <is>
          <t>-</t>
        </is>
      </c>
      <c r="O705" s="40" t="inlineStr">
        <is>
          <t>High</t>
        </is>
      </c>
      <c r="P705" s="43" t="inlineStr">
        <is>
          <t>Thời gian: 171ms</t>
        </is>
      </c>
      <c r="Q705" s="40" t="inlineStr">
        <is>
          <t>Không đạt</t>
        </is>
      </c>
      <c r="R705" s="40" t="inlineStr">
        <is>
          <t>BUG-342</t>
        </is>
      </c>
      <c r="S705" s="40" t="inlineStr">
        <is>
          <t>23/05/2026 19:06</t>
        </is>
      </c>
      <c r="T705" s="43" t="inlineStr">
        <is>
          <t>R1:Không đạt</t>
        </is>
      </c>
      <c r="U705" s="40" t="inlineStr"/>
      <c r="V705" s="43" t="inlineStr">
        <is>
          <t>onDelete: Restrict</t>
        </is>
      </c>
    </row>
    <row r="706" ht="80" customHeight="1">
      <c r="A706" s="40" t="inlineStr">
        <is>
          <t>TC-703</t>
        </is>
      </c>
      <c r="B706" s="56" t="inlineStr">
        <is>
          <t>INTEGRATION</t>
        </is>
      </c>
      <c r="C706" s="42" t="inlineStr">
        <is>
          <t>P0</t>
        </is>
      </c>
      <c r="D706" s="43" t="inlineStr">
        <is>
          <t>PetitionFlow</t>
        </is>
      </c>
      <c r="E706" s="43" t="inlineStr">
        <is>
          <t>Delete Case → Petition.linkedCaseId vẫn giữ (Restrict)</t>
        </is>
      </c>
      <c r="F706" s="40" t="inlineStr">
        <is>
          <t>REQ-CASE-PETITIONFLOW-703</t>
        </is>
      </c>
      <c r="G706" s="40" t="inlineStr">
        <is>
          <t>Use case testing</t>
        </is>
      </c>
      <c r="H706" s="40" t="inlineStr">
        <is>
          <t>Cao</t>
        </is>
      </c>
      <c r="I706" s="43" t="inlineStr">
        <is>
          <t>1. User đã login
2. Token JWT hợp lệ</t>
        </is>
      </c>
      <c r="J706" s="43" t="inlineStr">
        <is>
          <t>DELETE Case (status TIEP_NHAN không có Petition link)</t>
        </is>
      </c>
      <c r="K706" s="43" t="inlineStr">
        <is>
          <t>-</t>
        </is>
      </c>
      <c r="L706" s="43" t="inlineStr">
        <is>
          <t>-</t>
        </is>
      </c>
      <c r="M706" s="43" t="inlineStr">
        <is>
          <t>-</t>
        </is>
      </c>
      <c r="N706" s="43" t="inlineStr">
        <is>
          <t>No FK cascade</t>
        </is>
      </c>
      <c r="O706" s="40" t="inlineStr">
        <is>
          <t>High</t>
        </is>
      </c>
      <c r="P706" s="43" t="inlineStr">
        <is>
          <t>Thời gian: 180ms</t>
        </is>
      </c>
      <c r="Q706" s="40" t="inlineStr">
        <is>
          <t>Không đạt</t>
        </is>
      </c>
      <c r="R706" s="40" t="inlineStr">
        <is>
          <t>BUG-343</t>
        </is>
      </c>
      <c r="S706" s="40" t="inlineStr">
        <is>
          <t>23/05/2026 19:06</t>
        </is>
      </c>
      <c r="T706" s="43" t="inlineStr">
        <is>
          <t>R1:Không đạt</t>
        </is>
      </c>
      <c r="U706" s="40" t="inlineStr"/>
      <c r="V706" s="43" t="inlineStr"/>
    </row>
    <row r="707" ht="80" customHeight="1">
      <c r="A707" s="40" t="inlineStr">
        <is>
          <t>TC-704</t>
        </is>
      </c>
      <c r="B707" s="51" t="inlineStr">
        <is>
          <t>PERFORMANCE</t>
        </is>
      </c>
      <c r="C707" s="44" t="inlineStr">
        <is>
          <t>P1</t>
        </is>
      </c>
      <c r="D707" s="43" t="inlineStr">
        <is>
          <t>PetitionFlow</t>
        </is>
      </c>
      <c r="E707" s="43" t="inlineStr">
        <is>
          <t>convertToCase &lt; 1s</t>
        </is>
      </c>
      <c r="F707" s="40" t="inlineStr">
        <is>
          <t>REQ-CASE-PETITIONFLOW-704</t>
        </is>
      </c>
      <c r="G707" s="40" t="inlineStr">
        <is>
          <t>Use case testing</t>
        </is>
      </c>
      <c r="H707" s="40" t="inlineStr">
        <is>
          <t>TB</t>
        </is>
      </c>
      <c r="I707" s="43" t="inlineStr">
        <is>
          <t>1. User đã login
2. Token JWT hợp lệ</t>
        </is>
      </c>
      <c r="J707" s="43" t="inlineStr">
        <is>
          <t>-</t>
        </is>
      </c>
      <c r="K707" s="43" t="inlineStr">
        <is>
          <t>-</t>
        </is>
      </c>
      <c r="L707" s="43" t="inlineStr">
        <is>
          <t>-</t>
        </is>
      </c>
      <c r="M707" s="43" t="inlineStr">
        <is>
          <t>&lt;1s</t>
        </is>
      </c>
      <c r="N707" s="43" t="inlineStr">
        <is>
          <t>-</t>
        </is>
      </c>
      <c r="O707" s="40" t="inlineStr">
        <is>
          <t>Medium</t>
        </is>
      </c>
      <c r="P707" s="43" t="inlineStr">
        <is>
          <t>Thời gian: 138ms</t>
        </is>
      </c>
      <c r="Q707" s="40" t="inlineStr">
        <is>
          <t>Không đạt</t>
        </is>
      </c>
      <c r="R707" s="40" t="inlineStr">
        <is>
          <t>BUG-344</t>
        </is>
      </c>
      <c r="S707" s="40" t="inlineStr">
        <is>
          <t>23/05/2026 19:06</t>
        </is>
      </c>
      <c r="T707" s="43" t="inlineStr">
        <is>
          <t>R1:Không đạt</t>
        </is>
      </c>
      <c r="U707" s="40" t="inlineStr"/>
      <c r="V707" s="43" t="inlineStr"/>
    </row>
    <row r="708" ht="80" customHeight="1">
      <c r="A708" s="40" t="inlineStr">
        <is>
          <t>TC-705</t>
        </is>
      </c>
      <c r="B708" s="45" t="inlineStr">
        <is>
          <t>RED</t>
        </is>
      </c>
      <c r="C708" s="42" t="inlineStr">
        <is>
          <t>P0</t>
        </is>
      </c>
      <c r="D708" s="43" t="inlineStr">
        <is>
          <t>PetitionFlow</t>
        </is>
      </c>
      <c r="E708" s="43" t="inlineStr">
        <is>
          <t>convertToCase VIEWER → 403</t>
        </is>
      </c>
      <c r="F708" s="40" t="inlineStr">
        <is>
          <t>REQ-CASE-PETITIONFLOW-705</t>
        </is>
      </c>
      <c r="G708" s="40" t="inlineStr">
        <is>
          <t>Use case testing</t>
        </is>
      </c>
      <c r="H708" s="40" t="inlineStr">
        <is>
          <t>Cao</t>
        </is>
      </c>
      <c r="I708" s="43" t="inlineStr">
        <is>
          <t>1. User đã login
2. Token JWT hợp lệ</t>
        </is>
      </c>
      <c r="J708" s="43" t="inlineStr">
        <is>
          <t>-</t>
        </is>
      </c>
      <c r="K708" s="43" t="inlineStr">
        <is>
          <t>-</t>
        </is>
      </c>
      <c r="L708" s="43" t="inlineStr">
        <is>
          <t>-</t>
        </is>
      </c>
      <c r="M708" s="43" t="inlineStr">
        <is>
          <t>403</t>
        </is>
      </c>
      <c r="N708" s="43" t="inlineStr">
        <is>
          <t>-</t>
        </is>
      </c>
      <c r="O708" s="40" t="inlineStr">
        <is>
          <t>High</t>
        </is>
      </c>
      <c r="P708" s="43" t="inlineStr">
        <is>
          <t>Thời gian: 168ms</t>
        </is>
      </c>
      <c r="Q708" s="40" t="inlineStr">
        <is>
          <t>Không đạt</t>
        </is>
      </c>
      <c r="R708" s="40" t="inlineStr">
        <is>
          <t>BUG-345</t>
        </is>
      </c>
      <c r="S708" s="40" t="inlineStr">
        <is>
          <t>23/05/2026 19:06</t>
        </is>
      </c>
      <c r="T708" s="43" t="inlineStr">
        <is>
          <t>R1:Không đạt</t>
        </is>
      </c>
      <c r="U708" s="40" t="inlineStr"/>
      <c r="V708" s="43" t="inlineStr"/>
    </row>
    <row r="709" ht="80" customHeight="1">
      <c r="A709" s="40" t="inlineStr">
        <is>
          <t>TC-706</t>
        </is>
      </c>
      <c r="B709" s="45" t="inlineStr">
        <is>
          <t>RED</t>
        </is>
      </c>
      <c r="C709" s="42" t="inlineStr">
        <is>
          <t>P0</t>
        </is>
      </c>
      <c r="D709" s="43" t="inlineStr">
        <is>
          <t>PetitionFlow</t>
        </is>
      </c>
      <c r="E709" s="43" t="inlineStr">
        <is>
          <t>convertToCase JWT thiếu → 401</t>
        </is>
      </c>
      <c r="F709" s="40" t="inlineStr">
        <is>
          <t>REQ-CASE-PETITIONFLOW-706</t>
        </is>
      </c>
      <c r="G709" s="40" t="inlineStr">
        <is>
          <t>Use case testing</t>
        </is>
      </c>
      <c r="H709" s="40" t="inlineStr">
        <is>
          <t>Cao</t>
        </is>
      </c>
      <c r="I709" s="43" t="inlineStr">
        <is>
          <t>1. User đã login
2. Token JWT hợp lệ</t>
        </is>
      </c>
      <c r="J709" s="43" t="inlineStr">
        <is>
          <t>-</t>
        </is>
      </c>
      <c r="K709" s="43" t="inlineStr">
        <is>
          <t>-</t>
        </is>
      </c>
      <c r="L709" s="43" t="inlineStr">
        <is>
          <t>-</t>
        </is>
      </c>
      <c r="M709" s="43" t="inlineStr">
        <is>
          <t>401</t>
        </is>
      </c>
      <c r="N709" s="43" t="inlineStr">
        <is>
          <t>-</t>
        </is>
      </c>
      <c r="O709" s="40" t="inlineStr">
        <is>
          <t>High</t>
        </is>
      </c>
      <c r="P709" s="43" t="inlineStr">
        <is>
          <t>Thời gian: 206ms</t>
        </is>
      </c>
      <c r="Q709" s="40" t="inlineStr">
        <is>
          <t>Không đạt</t>
        </is>
      </c>
      <c r="R709" s="40" t="inlineStr">
        <is>
          <t>BUG-346</t>
        </is>
      </c>
      <c r="S709" s="40" t="inlineStr">
        <is>
          <t>23/05/2026 19:06</t>
        </is>
      </c>
      <c r="T709" s="43" t="inlineStr">
        <is>
          <t>R1:Không đạt</t>
        </is>
      </c>
      <c r="U709" s="40" t="inlineStr"/>
      <c r="V709" s="43" t="inlineStr"/>
    </row>
    <row r="710" ht="80" customHeight="1">
      <c r="A710" s="40" t="inlineStr">
        <is>
          <t>TC-707</t>
        </is>
      </c>
      <c r="B710" s="41" t="inlineStr">
        <is>
          <t>GREEN</t>
        </is>
      </c>
      <c r="C710" s="44" t="inlineStr">
        <is>
          <t>P1</t>
        </is>
      </c>
      <c r="D710" s="43" t="inlineStr">
        <is>
          <t>PetitionFlow</t>
        </is>
      </c>
      <c r="E710" s="43" t="inlineStr">
        <is>
          <t>Petition tab trong Case detail show linked petitions[]</t>
        </is>
      </c>
      <c r="F710" s="40" t="inlineStr">
        <is>
          <t>REQ-CASE-PETITIONFLOW-707</t>
        </is>
      </c>
      <c r="G710" s="40" t="inlineStr">
        <is>
          <t>Use case testing</t>
        </is>
      </c>
      <c r="H710" s="40" t="inlineStr">
        <is>
          <t>TB</t>
        </is>
      </c>
      <c r="I710" s="43" t="inlineStr">
        <is>
          <t>1. User đã login
2. Token JWT hợp lệ</t>
        </is>
      </c>
      <c r="J710" s="43" t="inlineStr">
        <is>
          <t>GET /cases/X</t>
        </is>
      </c>
      <c r="K710" s="43" t="inlineStr">
        <is>
          <t>-</t>
        </is>
      </c>
      <c r="L710" s="43" t="inlineStr">
        <is>
          <t>Tab show petitions</t>
        </is>
      </c>
      <c r="M710" s="43" t="inlineStr">
        <is>
          <t>data.petitions=[{stt, petitionType, status, receivedDate, ...}]</t>
        </is>
      </c>
      <c r="N710" s="43" t="inlineStr">
        <is>
          <t>-</t>
        </is>
      </c>
      <c r="O710" s="40" t="inlineStr">
        <is>
          <t>High</t>
        </is>
      </c>
      <c r="P710" s="43" t="inlineStr">
        <is>
          <t>Thời gian: 775ms</t>
        </is>
      </c>
      <c r="Q710" s="40" t="inlineStr">
        <is>
          <t>Không đạt</t>
        </is>
      </c>
      <c r="R710" s="40" t="inlineStr">
        <is>
          <t>BUG-347</t>
        </is>
      </c>
      <c r="S710" s="40" t="inlineStr">
        <is>
          <t>23/05/2026 19:06</t>
        </is>
      </c>
      <c r="T710" s="43" t="inlineStr">
        <is>
          <t>R1:Không đạt</t>
        </is>
      </c>
      <c r="U710" s="40" t="inlineStr"/>
      <c r="V710" s="43" t="inlineStr"/>
    </row>
    <row r="711" ht="80" customHeight="1">
      <c r="A711" s="40" t="inlineStr">
        <is>
          <t>TC-708</t>
        </is>
      </c>
      <c r="B711" s="41" t="inlineStr">
        <is>
          <t>GREEN</t>
        </is>
      </c>
      <c r="C711" s="44" t="inlineStr">
        <is>
          <t>P1</t>
        </is>
      </c>
      <c r="D711" s="43" t="inlineStr">
        <is>
          <t>PetitionFlow</t>
        </is>
      </c>
      <c r="E711" s="43" t="inlineStr">
        <is>
          <t>Multiple petitions linked to same Case (1-to-many)</t>
        </is>
      </c>
      <c r="F711" s="40" t="inlineStr">
        <is>
          <t>REQ-CASE-PETITIONFLOW-708</t>
        </is>
      </c>
      <c r="G711" s="40" t="inlineStr">
        <is>
          <t>Use case testing</t>
        </is>
      </c>
      <c r="H711" s="40" t="inlineStr">
        <is>
          <t>TB</t>
        </is>
      </c>
      <c r="I711" s="43" t="inlineStr">
        <is>
          <t>1. User đã login
2. Token JWT hợp lệ</t>
        </is>
      </c>
      <c r="J711" s="43" t="inlineStr">
        <is>
          <t>-</t>
        </is>
      </c>
      <c r="K711" s="43" t="inlineStr">
        <is>
          <t>-</t>
        </is>
      </c>
      <c r="L711" s="43" t="inlineStr">
        <is>
          <t>-</t>
        </is>
      </c>
      <c r="M711" s="43" t="inlineStr">
        <is>
          <t>-</t>
        </is>
      </c>
      <c r="N711" s="43" t="inlineStr">
        <is>
          <t>-</t>
        </is>
      </c>
      <c r="O711" s="40" t="inlineStr">
        <is>
          <t>Medium</t>
        </is>
      </c>
      <c r="P711" s="43" t="inlineStr">
        <is>
          <t>Thời gian: 758ms</t>
        </is>
      </c>
      <c r="Q711" s="40" t="inlineStr">
        <is>
          <t>Không đạt</t>
        </is>
      </c>
      <c r="R711" s="40" t="inlineStr">
        <is>
          <t>BUG-348</t>
        </is>
      </c>
      <c r="S711" s="40" t="inlineStr">
        <is>
          <t>23/05/2026 19:06</t>
        </is>
      </c>
      <c r="T711" s="43" t="inlineStr">
        <is>
          <t>R1:Không đạt</t>
        </is>
      </c>
      <c r="U711" s="40" t="inlineStr"/>
      <c r="V711" s="43" t="inlineStr">
        <is>
          <t>Petition.linkedCaseId not unique</t>
        </is>
      </c>
    </row>
    <row r="712" ht="80" customHeight="1">
      <c r="A712" s="40" t="inlineStr">
        <is>
          <t>TC-709</t>
        </is>
      </c>
      <c r="B712" s="46" t="inlineStr">
        <is>
          <t>STATE</t>
        </is>
      </c>
      <c r="C712" s="42" t="inlineStr">
        <is>
          <t>P0</t>
        </is>
      </c>
      <c r="D712" s="43" t="inlineStr">
        <is>
          <t>PetitionFlow</t>
        </is>
      </c>
      <c r="E712" s="43" t="inlineStr">
        <is>
          <t>CaseProvenance=FROM_PETITION → Case có linkedPetitionId set</t>
        </is>
      </c>
      <c r="F712" s="40" t="inlineStr">
        <is>
          <t>REQ-CASE-PETITIONFLOW-709</t>
        </is>
      </c>
      <c r="G712" s="40" t="inlineStr">
        <is>
          <t>Use case testing</t>
        </is>
      </c>
      <c r="H712" s="40" t="inlineStr">
        <is>
          <t>Cao</t>
        </is>
      </c>
      <c r="I712" s="43" t="inlineStr">
        <is>
          <t>1. User đã login
2. Token JWT hợp lệ</t>
        </is>
      </c>
      <c r="J712" s="43" t="inlineStr">
        <is>
          <t>POST Case FROM_PETITION</t>
        </is>
      </c>
      <c r="K712" s="43" t="inlineStr">
        <is>
          <t>-</t>
        </is>
      </c>
      <c r="L712" s="43" t="inlineStr">
        <is>
          <t>-</t>
        </is>
      </c>
      <c r="M712" s="43" t="inlineStr">
        <is>
          <t>data.linkedPetitionId='PET-001'</t>
        </is>
      </c>
      <c r="N712" s="43" t="inlineStr">
        <is>
          <t>-</t>
        </is>
      </c>
      <c r="O712" s="40" t="inlineStr">
        <is>
          <t>Critical</t>
        </is>
      </c>
      <c r="P712" s="43" t="inlineStr">
        <is>
          <t>Thời gian: 184ms</t>
        </is>
      </c>
      <c r="Q712" s="40" t="inlineStr">
        <is>
          <t>Không đạt</t>
        </is>
      </c>
      <c r="R712" s="40" t="inlineStr">
        <is>
          <t>BUG-349</t>
        </is>
      </c>
      <c r="S712" s="40" t="inlineStr">
        <is>
          <t>23/05/2026 19:06</t>
        </is>
      </c>
      <c r="T712" s="43" t="inlineStr">
        <is>
          <t>R1:Không đạt</t>
        </is>
      </c>
      <c r="U712" s="40" t="inlineStr"/>
      <c r="V712" s="43" t="inlineStr"/>
    </row>
    <row r="713" ht="80" customHeight="1">
      <c r="A713" s="40" t="inlineStr">
        <is>
          <t>TC-710</t>
        </is>
      </c>
      <c r="B713" s="46" t="inlineStr">
        <is>
          <t>STATE</t>
        </is>
      </c>
      <c r="C713" s="42" t="inlineStr">
        <is>
          <t>P0</t>
        </is>
      </c>
      <c r="D713" s="43" t="inlineStr">
        <is>
          <t>PetitionFlow</t>
        </is>
      </c>
      <c r="E713" s="43" t="inlineStr">
        <is>
          <t>CaseProvenance ≠ FROM_PETITION → linkedPetitionId=null</t>
        </is>
      </c>
      <c r="F713" s="40" t="inlineStr">
        <is>
          <t>REQ-CASE-PETITIONFLOW-710</t>
        </is>
      </c>
      <c r="G713" s="40" t="inlineStr">
        <is>
          <t>Use case testing</t>
        </is>
      </c>
      <c r="H713" s="40" t="inlineStr">
        <is>
          <t>Cao</t>
        </is>
      </c>
      <c r="I713" s="43" t="inlineStr">
        <is>
          <t>1. User đã login
2. Token JWT hợp lệ</t>
        </is>
      </c>
      <c r="J713" s="43" t="inlineStr">
        <is>
          <t>POST DIRECT_DISCOVERY</t>
        </is>
      </c>
      <c r="K713" s="43" t="inlineStr">
        <is>
          <t>-</t>
        </is>
      </c>
      <c r="L713" s="43" t="inlineStr">
        <is>
          <t>-</t>
        </is>
      </c>
      <c r="M713" s="43" t="inlineStr">
        <is>
          <t>data.linkedPetitionId=null</t>
        </is>
      </c>
      <c r="N713" s="43" t="inlineStr">
        <is>
          <t>-</t>
        </is>
      </c>
      <c r="O713" s="40" t="inlineStr">
        <is>
          <t>Critical</t>
        </is>
      </c>
      <c r="P713" s="43" t="inlineStr">
        <is>
          <t>Thời gian: 170ms</t>
        </is>
      </c>
      <c r="Q713" s="40" t="inlineStr">
        <is>
          <t>Không đạt</t>
        </is>
      </c>
      <c r="R713" s="40" t="inlineStr">
        <is>
          <t>BUG-350</t>
        </is>
      </c>
      <c r="S713" s="40" t="inlineStr">
        <is>
          <t>23/05/2026 19:06</t>
        </is>
      </c>
      <c r="T713" s="43" t="inlineStr">
        <is>
          <t>R1:Không đạt</t>
        </is>
      </c>
      <c r="U713" s="40" t="inlineStr"/>
      <c r="V713" s="43" t="inlineStr"/>
    </row>
    <row r="714" ht="80" customHeight="1">
      <c r="A714" s="40" t="inlineStr">
        <is>
          <t>TC-711</t>
        </is>
      </c>
      <c r="B714" s="52" t="inlineStr">
        <is>
          <t>DATA</t>
        </is>
      </c>
      <c r="C714" s="44" t="inlineStr">
        <is>
          <t>P1</t>
        </is>
      </c>
      <c r="D714" s="43" t="inlineStr">
        <is>
          <t>PetitionFlow</t>
        </is>
      </c>
      <c r="E714" s="43" t="inlineStr">
        <is>
          <t>petitionType enum: TO_GIAC, KHIEU_NAI, TIN_BAO, ...</t>
        </is>
      </c>
      <c r="F714" s="40" t="inlineStr">
        <is>
          <t>REQ-CASE-PETITIONFLOW-711</t>
        </is>
      </c>
      <c r="G714" s="40" t="inlineStr">
        <is>
          <t>Use case testing</t>
        </is>
      </c>
      <c r="H714" s="40" t="inlineStr">
        <is>
          <t>TB</t>
        </is>
      </c>
      <c r="I714" s="43" t="inlineStr">
        <is>
          <t>1. User đã login
2. Token JWT hợp lệ</t>
        </is>
      </c>
      <c r="J714" s="43" t="inlineStr">
        <is>
          <t>-</t>
        </is>
      </c>
      <c r="K714" s="43" t="inlineStr">
        <is>
          <t>-</t>
        </is>
      </c>
      <c r="L714" s="43" t="inlineStr">
        <is>
          <t>-</t>
        </is>
      </c>
      <c r="M714" s="43" t="inlineStr">
        <is>
          <t>-</t>
        </is>
      </c>
      <c r="N714" s="43" t="inlineStr">
        <is>
          <t>-</t>
        </is>
      </c>
      <c r="O714" s="40" t="inlineStr">
        <is>
          <t>Medium</t>
        </is>
      </c>
      <c r="P714" s="43" t="inlineStr">
        <is>
          <t>Thời gian: 141ms</t>
        </is>
      </c>
      <c r="Q714" s="40" t="inlineStr">
        <is>
          <t>Không đạt</t>
        </is>
      </c>
      <c r="R714" s="40" t="inlineStr">
        <is>
          <t>BUG-351</t>
        </is>
      </c>
      <c r="S714" s="40" t="inlineStr">
        <is>
          <t>23/05/2026 19:06</t>
        </is>
      </c>
      <c r="T714" s="43" t="inlineStr">
        <is>
          <t>R1:Không đạt</t>
        </is>
      </c>
      <c r="U714" s="40" t="inlineStr"/>
      <c r="V714" s="43" t="inlineStr"/>
    </row>
    <row r="715" ht="80" customHeight="1">
      <c r="A715" s="40" t="inlineStr">
        <is>
          <t>TC-712</t>
        </is>
      </c>
      <c r="B715" s="45" t="inlineStr">
        <is>
          <t>RED</t>
        </is>
      </c>
      <c r="C715" s="44" t="inlineStr">
        <is>
          <t>P1</t>
        </is>
      </c>
      <c r="D715" s="43" t="inlineStr">
        <is>
          <t>PetitionFlow</t>
        </is>
      </c>
      <c r="E715" s="43" t="inlineStr">
        <is>
          <t>petitionType='Vietnamese label' → 400 (v0.37.2.4 BUG)</t>
        </is>
      </c>
      <c r="F715" s="40" t="inlineStr">
        <is>
          <t>REQ-CASE-PETITIONFLOW-712</t>
        </is>
      </c>
      <c r="G715" s="40" t="inlineStr">
        <is>
          <t>Use case testing</t>
        </is>
      </c>
      <c r="H715" s="40" t="inlineStr">
        <is>
          <t>TB</t>
        </is>
      </c>
      <c r="I715" s="43" t="inlineStr">
        <is>
          <t>1. User đã login
2. Token JWT hợp lệ</t>
        </is>
      </c>
      <c r="J715" s="43" t="inlineStr">
        <is>
          <t>POST petitionType='Tố giác'</t>
        </is>
      </c>
      <c r="K715" s="43" t="inlineStr">
        <is>
          <t>-</t>
        </is>
      </c>
      <c r="L715" s="43" t="inlineStr">
        <is>
          <t>-</t>
        </is>
      </c>
      <c r="M715" s="43" t="inlineStr">
        <is>
          <t>400 phải dùng enum value</t>
        </is>
      </c>
      <c r="N715" s="43" t="inlineStr">
        <is>
          <t>-</t>
        </is>
      </c>
      <c r="O715" s="40" t="inlineStr">
        <is>
          <t>High</t>
        </is>
      </c>
      <c r="P715" s="43" t="inlineStr">
        <is>
          <t>Thời gian: 160ms</t>
        </is>
      </c>
      <c r="Q715" s="40" t="inlineStr">
        <is>
          <t>Không đạt</t>
        </is>
      </c>
      <c r="R715" s="40" t="inlineStr">
        <is>
          <t>BUG-352</t>
        </is>
      </c>
      <c r="S715" s="40" t="inlineStr">
        <is>
          <t>23/05/2026 19:06</t>
        </is>
      </c>
      <c r="T715" s="43" t="inlineStr">
        <is>
          <t>R1:Không đạt</t>
        </is>
      </c>
      <c r="U715" s="40" t="inlineStr"/>
      <c r="V715" s="43" t="inlineStr">
        <is>
          <t>Root cause v0.37.2.4 P0</t>
        </is>
      </c>
    </row>
    <row r="716" ht="80" customHeight="1">
      <c r="A716" s="40" t="inlineStr">
        <is>
          <t>TC-713</t>
        </is>
      </c>
      <c r="B716" s="41" t="inlineStr">
        <is>
          <t>GREEN</t>
        </is>
      </c>
      <c r="C716" s="44" t="inlineStr">
        <is>
          <t>P1</t>
        </is>
      </c>
      <c r="D716" s="43" t="inlineStr">
        <is>
          <t>PetitionFlow</t>
        </is>
      </c>
      <c r="E716" s="43" t="inlineStr">
        <is>
          <t>petitionType='TO_GIAC' enum value pass</t>
        </is>
      </c>
      <c r="F716" s="40" t="inlineStr">
        <is>
          <t>REQ-CASE-PETITIONFLOW-713</t>
        </is>
      </c>
      <c r="G716" s="40" t="inlineStr">
        <is>
          <t>Use case testing</t>
        </is>
      </c>
      <c r="H716" s="40" t="inlineStr">
        <is>
          <t>TB</t>
        </is>
      </c>
      <c r="I716" s="43" t="inlineStr">
        <is>
          <t>1. User đã login
2. Token JWT hợp lệ</t>
        </is>
      </c>
      <c r="J716" s="43" t="inlineStr">
        <is>
          <t>-</t>
        </is>
      </c>
      <c r="K716" s="43" t="inlineStr">
        <is>
          <t>-</t>
        </is>
      </c>
      <c r="L716" s="43" t="inlineStr">
        <is>
          <t>-</t>
        </is>
      </c>
      <c r="M716" s="43" t="inlineStr">
        <is>
          <t>201</t>
        </is>
      </c>
      <c r="N716" s="43" t="inlineStr">
        <is>
          <t>-</t>
        </is>
      </c>
      <c r="O716" s="40" t="inlineStr">
        <is>
          <t>High</t>
        </is>
      </c>
      <c r="P716" s="43" t="inlineStr">
        <is>
          <t>Thời gian: 158ms</t>
        </is>
      </c>
      <c r="Q716" s="40" t="inlineStr">
        <is>
          <t>Không đạt</t>
        </is>
      </c>
      <c r="R716" s="40" t="inlineStr">
        <is>
          <t>BUG-353</t>
        </is>
      </c>
      <c r="S716" s="40" t="inlineStr">
        <is>
          <t>23/05/2026 19:06</t>
        </is>
      </c>
      <c r="T716" s="43" t="inlineStr">
        <is>
          <t>R1:Không đạt</t>
        </is>
      </c>
      <c r="U716" s="40" t="inlineStr"/>
      <c r="V716" s="43" t="inlineStr"/>
    </row>
    <row r="717" ht="80" customHeight="1">
      <c r="A717" s="40" t="inlineStr">
        <is>
          <t>TC-714</t>
        </is>
      </c>
      <c r="B717" s="56" t="inlineStr">
        <is>
          <t>INTEGRATION</t>
        </is>
      </c>
      <c r="C717" s="42" t="inlineStr">
        <is>
          <t>P0</t>
        </is>
      </c>
      <c r="D717" s="43" t="inlineStr">
        <is>
          <t>PetitionFlow</t>
        </is>
      </c>
      <c r="E717" s="43" t="inlineStr">
        <is>
          <t>Petition convertToCase preserve provenance traceability</t>
        </is>
      </c>
      <c r="F717" s="40" t="inlineStr">
        <is>
          <t>REQ-CASE-PETITIONFLOW-714</t>
        </is>
      </c>
      <c r="G717" s="40" t="inlineStr">
        <is>
          <t>Use case testing</t>
        </is>
      </c>
      <c r="H717" s="40" t="inlineStr">
        <is>
          <t>Cao</t>
        </is>
      </c>
      <c r="I717" s="43" t="inlineStr">
        <is>
          <t>1. User đã login
2. Token JWT hợp lệ</t>
        </is>
      </c>
      <c r="J717" s="43" t="inlineStr">
        <is>
          <t>-</t>
        </is>
      </c>
      <c r="K717" s="43" t="inlineStr">
        <is>
          <t>-</t>
        </is>
      </c>
      <c r="L717" s="43" t="inlineStr">
        <is>
          <t>Case detail show 'Khởi tố từ Petition PET-001'</t>
        </is>
      </c>
      <c r="M717" s="43" t="inlineStr">
        <is>
          <t>data.linkedPetition included</t>
        </is>
      </c>
      <c r="N717" s="43" t="inlineStr">
        <is>
          <t>-</t>
        </is>
      </c>
      <c r="O717" s="40" t="inlineStr">
        <is>
          <t>High</t>
        </is>
      </c>
      <c r="P717" s="43" t="inlineStr">
        <is>
          <t>Thời gian: 167ms</t>
        </is>
      </c>
      <c r="Q717" s="40" t="inlineStr">
        <is>
          <t>Không đạt</t>
        </is>
      </c>
      <c r="R717" s="40" t="inlineStr">
        <is>
          <t>BUG-354</t>
        </is>
      </c>
      <c r="S717" s="40" t="inlineStr">
        <is>
          <t>23/05/2026 19:06</t>
        </is>
      </c>
      <c r="T717" s="43" t="inlineStr">
        <is>
          <t>R1:Không đạt</t>
        </is>
      </c>
      <c r="U717" s="40" t="inlineStr"/>
      <c r="V717" s="43" t="inlineStr"/>
    </row>
    <row r="718" ht="80" customHeight="1">
      <c r="A718" s="40" t="inlineStr">
        <is>
          <t>TC-715</t>
        </is>
      </c>
      <c r="B718" s="56" t="inlineStr">
        <is>
          <t>INTEGRATION</t>
        </is>
      </c>
      <c r="C718" s="42" t="inlineStr">
        <is>
          <t>P0</t>
        </is>
      </c>
      <c r="D718" s="43" t="inlineStr">
        <is>
          <t>PetitionFlow</t>
        </is>
      </c>
      <c r="E718" s="43" t="inlineStr">
        <is>
          <t>E2E: Tạo Petition → review → convert Case → assign team</t>
        </is>
      </c>
      <c r="F718" s="40" t="inlineStr">
        <is>
          <t>REQ-CASE-PETITIONFLOW-715</t>
        </is>
      </c>
      <c r="G718" s="40" t="inlineStr">
        <is>
          <t>Use case testing</t>
        </is>
      </c>
      <c r="H718" s="40" t="inlineStr">
        <is>
          <t>Cao</t>
        </is>
      </c>
      <c r="I718" s="43" t="inlineStr">
        <is>
          <t>1. User đã login
2. Token JWT hợp lệ</t>
        </is>
      </c>
      <c r="J718" s="43" t="inlineStr">
        <is>
          <t>Full flow E2E</t>
        </is>
      </c>
      <c r="K718" s="43" t="inlineStr">
        <is>
          <t>-</t>
        </is>
      </c>
      <c r="L718" s="43" t="inlineStr">
        <is>
          <t>Mọi bước OK</t>
        </is>
      </c>
      <c r="M718" s="43" t="inlineStr">
        <is>
          <t>-</t>
        </is>
      </c>
      <c r="N718" s="43" t="inlineStr">
        <is>
          <t>Audit trail đủ 4 events</t>
        </is>
      </c>
      <c r="O718" s="40" t="inlineStr">
        <is>
          <t>Critical</t>
        </is>
      </c>
      <c r="P718" s="43" t="inlineStr">
        <is>
          <t>Thời gian: 136ms</t>
        </is>
      </c>
      <c r="Q718" s="40" t="inlineStr">
        <is>
          <t>Không đạt</t>
        </is>
      </c>
      <c r="R718" s="40" t="inlineStr">
        <is>
          <t>BUG-355</t>
        </is>
      </c>
      <c r="S718" s="40" t="inlineStr">
        <is>
          <t>23/05/2026 19:06</t>
        </is>
      </c>
      <c r="T718" s="43" t="inlineStr">
        <is>
          <t>R1:Không đạt</t>
        </is>
      </c>
      <c r="U718" s="40" t="inlineStr"/>
      <c r="V718" s="43" t="inlineStr"/>
    </row>
    <row r="719" ht="80" customHeight="1">
      <c r="A719" s="40" t="inlineStr">
        <is>
          <t>TC-716</t>
        </is>
      </c>
      <c r="B719" s="57" t="inlineStr">
        <is>
          <t>RECOVERY</t>
        </is>
      </c>
      <c r="C719" s="44" t="inlineStr">
        <is>
          <t>P1</t>
        </is>
      </c>
      <c r="D719" s="43" t="inlineStr">
        <is>
          <t>PetitionFlow</t>
        </is>
      </c>
      <c r="E719" s="43" t="inlineStr">
        <is>
          <t>convertToCase fail giữa tx → Petition vẫn nguyên</t>
        </is>
      </c>
      <c r="F719" s="40" t="inlineStr">
        <is>
          <t>REQ-CASE-PETITIONFLOW-716</t>
        </is>
      </c>
      <c r="G719" s="40" t="inlineStr">
        <is>
          <t>Use case testing</t>
        </is>
      </c>
      <c r="H719" s="40" t="inlineStr">
        <is>
          <t>TB</t>
        </is>
      </c>
      <c r="I719" s="43" t="inlineStr">
        <is>
          <t>1. User đã login
2. Token JWT hợp lệ</t>
        </is>
      </c>
      <c r="J719" s="43" t="inlineStr">
        <is>
          <t>Mock fail in tx</t>
        </is>
      </c>
      <c r="K719" s="43" t="inlineStr">
        <is>
          <t>-</t>
        </is>
      </c>
      <c r="L719" s="43" t="inlineStr">
        <is>
          <t>-</t>
        </is>
      </c>
      <c r="M719" s="43" t="inlineStr">
        <is>
          <t>500</t>
        </is>
      </c>
      <c r="N719" s="43" t="inlineStr">
        <is>
          <t>Petition.status không đổi, linkedCaseId vẫn null</t>
        </is>
      </c>
      <c r="O719" s="40" t="inlineStr">
        <is>
          <t>Critical</t>
        </is>
      </c>
      <c r="P719" s="43" t="inlineStr">
        <is>
          <t>Thời gian: 132ms</t>
        </is>
      </c>
      <c r="Q719" s="40" t="inlineStr">
        <is>
          <t>Không đạt</t>
        </is>
      </c>
      <c r="R719" s="40" t="inlineStr">
        <is>
          <t>BUG-356</t>
        </is>
      </c>
      <c r="S719" s="40" t="inlineStr">
        <is>
          <t>23/05/2026 19:06</t>
        </is>
      </c>
      <c r="T719" s="43" t="inlineStr">
        <is>
          <t>R1:Không đạt</t>
        </is>
      </c>
      <c r="U719" s="40" t="inlineStr"/>
      <c r="V719" s="43" t="inlineStr"/>
    </row>
    <row r="720" ht="80" customHeight="1">
      <c r="A720" s="40" t="inlineStr">
        <is>
          <t>TC-717</t>
        </is>
      </c>
      <c r="B720" s="41" t="inlineStr">
        <is>
          <t>GREEN</t>
        </is>
      </c>
      <c r="C720" s="42" t="inlineStr">
        <is>
          <t>P0</t>
        </is>
      </c>
      <c r="D720" s="43" t="inlineStr">
        <is>
          <t>IncidentFlow</t>
        </is>
      </c>
      <c r="E720" s="43" t="inlineStr">
        <is>
          <t>Incident convertToCase</t>
        </is>
      </c>
      <c r="F720" s="40" t="inlineStr">
        <is>
          <t>REQ-CASE-INCIDENTFLOW-717</t>
        </is>
      </c>
      <c r="G720" s="40" t="inlineStr">
        <is>
          <t>Use case testing</t>
        </is>
      </c>
      <c r="H720" s="40" t="inlineStr">
        <is>
          <t>Cao</t>
        </is>
      </c>
      <c r="I720" s="43" t="inlineStr">
        <is>
          <t>1. User đã login
2. Token JWT hợp lệ</t>
        </is>
      </c>
      <c r="J720" s="43" t="inlineStr">
        <is>
          <t>POST /api/incidents/INC-001/convert</t>
        </is>
      </c>
      <c r="K720" s="43" t="inlineStr">
        <is>
          <t>-</t>
        </is>
      </c>
      <c r="L720" s="43" t="inlineStr">
        <is>
          <t>-</t>
        </is>
      </c>
      <c r="M720" s="43" t="inlineStr">
        <is>
          <t>201</t>
        </is>
      </c>
      <c r="N720" s="43" t="inlineStr">
        <is>
          <t>-</t>
        </is>
      </c>
      <c r="O720" s="40" t="inlineStr">
        <is>
          <t>Critical</t>
        </is>
      </c>
      <c r="P720" s="43" t="inlineStr">
        <is>
          <t>Thời gian: 241ms</t>
        </is>
      </c>
      <c r="Q720" s="40" t="inlineStr">
        <is>
          <t>Không đạt</t>
        </is>
      </c>
      <c r="R720" s="40" t="inlineStr">
        <is>
          <t>BUG-233</t>
        </is>
      </c>
      <c r="S720" s="40" t="inlineStr">
        <is>
          <t>23/05/2026 19:06</t>
        </is>
      </c>
      <c r="T720" s="43" t="inlineStr">
        <is>
          <t>R1:Không đạt</t>
        </is>
      </c>
      <c r="U720" s="40" t="inlineStr"/>
      <c r="V720" s="43" t="inlineStr"/>
    </row>
    <row r="721" ht="80" customHeight="1">
      <c r="A721" s="40" t="inlineStr">
        <is>
          <t>TC-718</t>
        </is>
      </c>
      <c r="B721" s="45" t="inlineStr">
        <is>
          <t>RED</t>
        </is>
      </c>
      <c r="C721" s="42" t="inlineStr">
        <is>
          <t>P0</t>
        </is>
      </c>
      <c r="D721" s="43" t="inlineStr">
        <is>
          <t>IncidentFlow</t>
        </is>
      </c>
      <c r="E721" s="43" t="inlineStr">
        <is>
          <t>Incident đã linked → 400</t>
        </is>
      </c>
      <c r="F721" s="40" t="inlineStr">
        <is>
          <t>REQ-CASE-INCIDENTFLOW-718</t>
        </is>
      </c>
      <c r="G721" s="40" t="inlineStr">
        <is>
          <t>Use case testing</t>
        </is>
      </c>
      <c r="H721" s="40" t="inlineStr">
        <is>
          <t>Cao</t>
        </is>
      </c>
      <c r="I721" s="43" t="inlineStr">
        <is>
          <t>-</t>
        </is>
      </c>
      <c r="J721" s="43" t="inlineStr">
        <is>
          <t>-</t>
        </is>
      </c>
      <c r="K721" s="43" t="inlineStr">
        <is>
          <t>-</t>
        </is>
      </c>
      <c r="L721" s="43" t="inlineStr">
        <is>
          <t>-</t>
        </is>
      </c>
      <c r="M721" s="43" t="inlineStr">
        <is>
          <t>400</t>
        </is>
      </c>
      <c r="N721" s="43" t="inlineStr">
        <is>
          <t>-</t>
        </is>
      </c>
      <c r="O721" s="40" t="inlineStr">
        <is>
          <t>High</t>
        </is>
      </c>
      <c r="P721" s="43" t="inlineStr">
        <is>
          <t>Thời gian: 882ms</t>
        </is>
      </c>
      <c r="Q721" s="40" t="inlineStr">
        <is>
          <t>Không đạt</t>
        </is>
      </c>
      <c r="R721" s="40" t="inlineStr">
        <is>
          <t>BUG-234</t>
        </is>
      </c>
      <c r="S721" s="40" t="inlineStr">
        <is>
          <t>23/05/2026 19:06</t>
        </is>
      </c>
      <c r="T721" s="43" t="inlineStr">
        <is>
          <t>R1:Không đạt</t>
        </is>
      </c>
      <c r="U721" s="40" t="inlineStr"/>
      <c r="V721" s="43" t="inlineStr"/>
    </row>
    <row r="722" ht="80" customHeight="1">
      <c r="A722" s="40" t="inlineStr">
        <is>
          <t>TC-719</t>
        </is>
      </c>
      <c r="B722" s="45" t="inlineStr">
        <is>
          <t>RED</t>
        </is>
      </c>
      <c r="C722" s="42" t="inlineStr">
        <is>
          <t>P0</t>
        </is>
      </c>
      <c r="D722" s="43" t="inlineStr">
        <is>
          <t>IncidentFlow</t>
        </is>
      </c>
      <c r="E722" s="43" t="inlineStr">
        <is>
          <t>Incident ngoài scope → 403</t>
        </is>
      </c>
      <c r="F722" s="40" t="inlineStr">
        <is>
          <t>REQ-CASE-INCIDENTFLOW-719</t>
        </is>
      </c>
      <c r="G722" s="40" t="inlineStr">
        <is>
          <t>Use case testing</t>
        </is>
      </c>
      <c r="H722" s="40" t="inlineStr">
        <is>
          <t>Cao</t>
        </is>
      </c>
      <c r="I722" s="43" t="inlineStr">
        <is>
          <t>1. User đã login
2. Token JWT hợp lệ</t>
        </is>
      </c>
      <c r="J722" s="43" t="inlineStr">
        <is>
          <t>-</t>
        </is>
      </c>
      <c r="K722" s="43" t="inlineStr">
        <is>
          <t>-</t>
        </is>
      </c>
      <c r="L722" s="43" t="inlineStr">
        <is>
          <t>-</t>
        </is>
      </c>
      <c r="M722" s="43" t="inlineStr">
        <is>
          <t>403</t>
        </is>
      </c>
      <c r="N722" s="43" t="inlineStr">
        <is>
          <t>-</t>
        </is>
      </c>
      <c r="O722" s="40" t="inlineStr">
        <is>
          <t>Critical</t>
        </is>
      </c>
      <c r="P722" s="43" t="inlineStr">
        <is>
          <t>Thời gian: 789ms</t>
        </is>
      </c>
      <c r="Q722" s="40" t="inlineStr">
        <is>
          <t>Không đạt</t>
        </is>
      </c>
      <c r="R722" s="40" t="inlineStr">
        <is>
          <t>BUG-235</t>
        </is>
      </c>
      <c r="S722" s="40" t="inlineStr">
        <is>
          <t>23/05/2026 19:06</t>
        </is>
      </c>
      <c r="T722" s="43" t="inlineStr">
        <is>
          <t>R1:Không đạt</t>
        </is>
      </c>
      <c r="U722" s="40" t="inlineStr"/>
      <c r="V722" s="43" t="inlineStr"/>
    </row>
    <row r="723" ht="80" customHeight="1">
      <c r="A723" s="40" t="inlineStr">
        <is>
          <t>TC-720</t>
        </is>
      </c>
      <c r="B723" s="46" t="inlineStr">
        <is>
          <t>STATE</t>
        </is>
      </c>
      <c r="C723" s="42" t="inlineStr">
        <is>
          <t>P0</t>
        </is>
      </c>
      <c r="D723" s="43" t="inlineStr">
        <is>
          <t>IncidentFlow</t>
        </is>
      </c>
      <c r="E723" s="43" t="inlineStr">
        <is>
          <t>Incident.status MOI_TIEP_NHAN → DANG_XAC_MINH</t>
        </is>
      </c>
      <c r="F723" s="40" t="inlineStr">
        <is>
          <t>REQ-CASE-INCIDENTFLOW-720</t>
        </is>
      </c>
      <c r="G723" s="40" t="inlineStr">
        <is>
          <t>Use case testing</t>
        </is>
      </c>
      <c r="H723" s="40" t="inlineStr">
        <is>
          <t>Cao</t>
        </is>
      </c>
      <c r="I723" s="43" t="inlineStr">
        <is>
          <t>1. User đã login
2. Token JWT hợp lệ</t>
        </is>
      </c>
      <c r="J723" s="43" t="inlineStr">
        <is>
          <t>-</t>
        </is>
      </c>
      <c r="K723" s="43" t="inlineStr">
        <is>
          <t>-</t>
        </is>
      </c>
      <c r="L723" s="43" t="inlineStr">
        <is>
          <t>-</t>
        </is>
      </c>
      <c r="M723" s="43" t="inlineStr">
        <is>
          <t>200</t>
        </is>
      </c>
      <c r="N723" s="43" t="inlineStr">
        <is>
          <t>-</t>
        </is>
      </c>
      <c r="O723" s="40" t="inlineStr">
        <is>
          <t>High</t>
        </is>
      </c>
      <c r="P723" s="43" t="inlineStr">
        <is>
          <t>Thời gian: 888ms</t>
        </is>
      </c>
      <c r="Q723" s="40" t="inlineStr">
        <is>
          <t>Không đạt</t>
        </is>
      </c>
      <c r="R723" s="40" t="inlineStr">
        <is>
          <t>BUG-236</t>
        </is>
      </c>
      <c r="S723" s="40" t="inlineStr">
        <is>
          <t>23/05/2026 19:06</t>
        </is>
      </c>
      <c r="T723" s="43" t="inlineStr">
        <is>
          <t>R1:Không đạt</t>
        </is>
      </c>
      <c r="U723" s="40" t="inlineStr"/>
      <c r="V723" s="43" t="inlineStr"/>
    </row>
    <row r="724" ht="80" customHeight="1">
      <c r="A724" s="40" t="inlineStr">
        <is>
          <t>TC-721</t>
        </is>
      </c>
      <c r="B724" s="46" t="inlineStr">
        <is>
          <t>STATE</t>
        </is>
      </c>
      <c r="C724" s="42" t="inlineStr">
        <is>
          <t>P0</t>
        </is>
      </c>
      <c r="D724" s="43" t="inlineStr">
        <is>
          <t>IncidentFlow</t>
        </is>
      </c>
      <c r="E724" s="43" t="inlineStr">
        <is>
          <t>Incident → TAM_DINH_CHI</t>
        </is>
      </c>
      <c r="F724" s="40" t="inlineStr">
        <is>
          <t>REQ-CASE-INCIDENTFLOW-721</t>
        </is>
      </c>
      <c r="G724" s="40" t="inlineStr">
        <is>
          <t>Use case testing</t>
        </is>
      </c>
      <c r="H724" s="40" t="inlineStr">
        <is>
          <t>Cao</t>
        </is>
      </c>
      <c r="I724" s="43" t="inlineStr">
        <is>
          <t>1. User đã login
2. Token JWT hợp lệ</t>
        </is>
      </c>
      <c r="J724" s="43" t="inlineStr">
        <is>
          <t>-</t>
        </is>
      </c>
      <c r="K724" s="43" t="inlineStr">
        <is>
          <t>-</t>
        </is>
      </c>
      <c r="L724" s="43" t="inlineStr">
        <is>
          <t>-</t>
        </is>
      </c>
      <c r="M724" s="43" t="inlineStr">
        <is>
          <t>200</t>
        </is>
      </c>
      <c r="N724" s="43" t="inlineStr">
        <is>
          <t>-</t>
        </is>
      </c>
      <c r="O724" s="40" t="inlineStr">
        <is>
          <t>High</t>
        </is>
      </c>
      <c r="P724" s="43" t="inlineStr">
        <is>
          <t>Thời gian: 190ms</t>
        </is>
      </c>
      <c r="Q724" s="40" t="inlineStr">
        <is>
          <t>Không đạt</t>
        </is>
      </c>
      <c r="R724" s="40" t="inlineStr">
        <is>
          <t>BUG-237</t>
        </is>
      </c>
      <c r="S724" s="40" t="inlineStr">
        <is>
          <t>23/05/2026 19:06</t>
        </is>
      </c>
      <c r="T724" s="43" t="inlineStr">
        <is>
          <t>R1:Không đạt</t>
        </is>
      </c>
      <c r="U724" s="40" t="inlineStr"/>
      <c r="V724" s="43" t="inlineStr"/>
    </row>
    <row r="725" ht="80" customHeight="1">
      <c r="A725" s="40" t="inlineStr">
        <is>
          <t>TC-722</t>
        </is>
      </c>
      <c r="B725" s="46" t="inlineStr">
        <is>
          <t>STATE</t>
        </is>
      </c>
      <c r="C725" s="42" t="inlineStr">
        <is>
          <t>P0</t>
        </is>
      </c>
      <c r="D725" s="43" t="inlineStr">
        <is>
          <t>IncidentFlow</t>
        </is>
      </c>
      <c r="E725" s="43" t="inlineStr">
        <is>
          <t>Incident → PHUC_HOI_NGUON_TIN</t>
        </is>
      </c>
      <c r="F725" s="40" t="inlineStr">
        <is>
          <t>REQ-CASE-INCIDENTFLOW-722</t>
        </is>
      </c>
      <c r="G725" s="40" t="inlineStr">
        <is>
          <t>Use case testing</t>
        </is>
      </c>
      <c r="H725" s="40" t="inlineStr">
        <is>
          <t>Cao</t>
        </is>
      </c>
      <c r="I725" s="43" t="inlineStr">
        <is>
          <t>1. User đã login
2. Token JWT hợp lệ</t>
        </is>
      </c>
      <c r="J725" s="43" t="inlineStr">
        <is>
          <t>-</t>
        </is>
      </c>
      <c r="K725" s="43" t="inlineStr">
        <is>
          <t>-</t>
        </is>
      </c>
      <c r="L725" s="43" t="inlineStr">
        <is>
          <t>-</t>
        </is>
      </c>
      <c r="M725" s="43" t="inlineStr">
        <is>
          <t>200</t>
        </is>
      </c>
      <c r="N725" s="43" t="inlineStr">
        <is>
          <t>-</t>
        </is>
      </c>
      <c r="O725" s="40" t="inlineStr">
        <is>
          <t>High</t>
        </is>
      </c>
      <c r="P725" s="43" t="inlineStr">
        <is>
          <t>Thời gian: 152ms</t>
        </is>
      </c>
      <c r="Q725" s="40" t="inlineStr">
        <is>
          <t>Không đạt</t>
        </is>
      </c>
      <c r="R725" s="40" t="inlineStr">
        <is>
          <t>BUG-238</t>
        </is>
      </c>
      <c r="S725" s="40" t="inlineStr">
        <is>
          <t>23/05/2026 19:06</t>
        </is>
      </c>
      <c r="T725" s="43" t="inlineStr">
        <is>
          <t>R1:Không đạt</t>
        </is>
      </c>
      <c r="U725" s="40" t="inlineStr"/>
      <c r="V725" s="43" t="inlineStr"/>
    </row>
    <row r="726" ht="80" customHeight="1">
      <c r="A726" s="40" t="inlineStr">
        <is>
          <t>TC-723</t>
        </is>
      </c>
      <c r="B726" s="46" t="inlineStr">
        <is>
          <t>STATE</t>
        </is>
      </c>
      <c r="C726" s="42" t="inlineStr">
        <is>
          <t>P0</t>
        </is>
      </c>
      <c r="D726" s="43" t="inlineStr">
        <is>
          <t>IncidentFlow</t>
        </is>
      </c>
      <c r="E726" s="43" t="inlineStr">
        <is>
          <t>Incident TAM_DINH_CHI → DANG_XAC_MINH (phục hồi)</t>
        </is>
      </c>
      <c r="F726" s="40" t="inlineStr">
        <is>
          <t>REQ-CASE-INCIDENTFLOW-723</t>
        </is>
      </c>
      <c r="G726" s="40" t="inlineStr">
        <is>
          <t>Use case testing</t>
        </is>
      </c>
      <c r="H726" s="40" t="inlineStr">
        <is>
          <t>Cao</t>
        </is>
      </c>
      <c r="I726" s="43" t="inlineStr">
        <is>
          <t>1. User đã login
2. Token JWT hợp lệ</t>
        </is>
      </c>
      <c r="J726" s="43" t="inlineStr">
        <is>
          <t>-</t>
        </is>
      </c>
      <c r="K726" s="43" t="inlineStr">
        <is>
          <t>-</t>
        </is>
      </c>
      <c r="L726" s="43" t="inlineStr">
        <is>
          <t>-</t>
        </is>
      </c>
      <c r="M726" s="43" t="inlineStr">
        <is>
          <t>200</t>
        </is>
      </c>
      <c r="N726" s="43" t="inlineStr">
        <is>
          <t>-</t>
        </is>
      </c>
      <c r="O726" s="40" t="inlineStr">
        <is>
          <t>High</t>
        </is>
      </c>
      <c r="P726" s="43" t="inlineStr">
        <is>
          <t>Thời gian: 142ms</t>
        </is>
      </c>
      <c r="Q726" s="40" t="inlineStr">
        <is>
          <t>Không đạt</t>
        </is>
      </c>
      <c r="R726" s="40" t="inlineStr">
        <is>
          <t>BUG-239</t>
        </is>
      </c>
      <c r="S726" s="40" t="inlineStr">
        <is>
          <t>23/05/2026 19:06</t>
        </is>
      </c>
      <c r="T726" s="43" t="inlineStr">
        <is>
          <t>R1:Không đạt</t>
        </is>
      </c>
      <c r="U726" s="40" t="inlineStr"/>
      <c r="V726" s="43" t="inlineStr"/>
    </row>
    <row r="727" ht="80" customHeight="1">
      <c r="A727" s="40" t="inlineStr">
        <is>
          <t>TC-724</t>
        </is>
      </c>
      <c r="B727" s="56" t="inlineStr">
        <is>
          <t>INTEGRATION</t>
        </is>
      </c>
      <c r="C727" s="42" t="inlineStr">
        <is>
          <t>P0</t>
        </is>
      </c>
      <c r="D727" s="43" t="inlineStr">
        <is>
          <t>IncidentFlow</t>
        </is>
      </c>
      <c r="E727" s="43" t="inlineStr">
        <is>
          <t>Incident → Case keep linkage (Incident.linkedCaseId)</t>
        </is>
      </c>
      <c r="F727" s="40" t="inlineStr">
        <is>
          <t>REQ-CASE-INCIDENTFLOW-724</t>
        </is>
      </c>
      <c r="G727" s="40" t="inlineStr">
        <is>
          <t>Use case testing</t>
        </is>
      </c>
      <c r="H727" s="40" t="inlineStr">
        <is>
          <t>Cao</t>
        </is>
      </c>
      <c r="I727" s="43" t="inlineStr">
        <is>
          <t>1. User đã login
2. Token JWT hợp lệ</t>
        </is>
      </c>
      <c r="J727" s="43" t="inlineStr">
        <is>
          <t>POST Case FROM_INCIDENT</t>
        </is>
      </c>
      <c r="K727" s="43" t="inlineStr">
        <is>
          <t>-</t>
        </is>
      </c>
      <c r="L727" s="43" t="inlineStr">
        <is>
          <t>-</t>
        </is>
      </c>
      <c r="M727" s="43" t="inlineStr">
        <is>
          <t>-</t>
        </is>
      </c>
      <c r="N727" s="43" t="inlineStr">
        <is>
          <t>Incident.linkedCaseId=newCaseId</t>
        </is>
      </c>
      <c r="O727" s="40" t="inlineStr">
        <is>
          <t>Critical</t>
        </is>
      </c>
      <c r="P727" s="43" t="inlineStr">
        <is>
          <t>Thời gian: 160ms</t>
        </is>
      </c>
      <c r="Q727" s="40" t="inlineStr">
        <is>
          <t>Không đạt</t>
        </is>
      </c>
      <c r="R727" s="40" t="inlineStr">
        <is>
          <t>BUG-240</t>
        </is>
      </c>
      <c r="S727" s="40" t="inlineStr">
        <is>
          <t>23/05/2026 19:06</t>
        </is>
      </c>
      <c r="T727" s="43" t="inlineStr">
        <is>
          <t>R1:Không đạt</t>
        </is>
      </c>
      <c r="U727" s="40" t="inlineStr"/>
      <c r="V727" s="43" t="inlineStr"/>
    </row>
    <row r="728" ht="80" customHeight="1">
      <c r="A728" s="40" t="inlineStr">
        <is>
          <t>TC-725</t>
        </is>
      </c>
      <c r="B728" s="56" t="inlineStr">
        <is>
          <t>INTEGRATION</t>
        </is>
      </c>
      <c r="C728" s="42" t="inlineStr">
        <is>
          <t>P0</t>
        </is>
      </c>
      <c r="D728" s="43" t="inlineStr">
        <is>
          <t>IncidentFlow</t>
        </is>
      </c>
      <c r="E728" s="43" t="inlineStr">
        <is>
          <t>Delete Incident có linkedCase Restrict</t>
        </is>
      </c>
      <c r="F728" s="40" t="inlineStr">
        <is>
          <t>REQ-CASE-INCIDENTFLOW-725</t>
        </is>
      </c>
      <c r="G728" s="40" t="inlineStr">
        <is>
          <t>Use case testing</t>
        </is>
      </c>
      <c r="H728" s="40" t="inlineStr">
        <is>
          <t>Cao</t>
        </is>
      </c>
      <c r="I728" s="43" t="inlineStr">
        <is>
          <t>1. User đã login
2. Token JWT hợp lệ</t>
        </is>
      </c>
      <c r="J728" s="43" t="inlineStr">
        <is>
          <t>DELETE Incident có linkedCase</t>
        </is>
      </c>
      <c r="K728" s="43" t="inlineStr">
        <is>
          <t>-</t>
        </is>
      </c>
      <c r="L728" s="43" t="inlineStr">
        <is>
          <t>-</t>
        </is>
      </c>
      <c r="M728" s="43" t="inlineStr">
        <is>
          <t>Restrict block</t>
        </is>
      </c>
      <c r="N728" s="43" t="inlineStr">
        <is>
          <t>-</t>
        </is>
      </c>
      <c r="O728" s="40" t="inlineStr">
        <is>
          <t>High</t>
        </is>
      </c>
      <c r="P728" s="43" t="inlineStr">
        <is>
          <t>Thời gian: 193ms</t>
        </is>
      </c>
      <c r="Q728" s="40" t="inlineStr">
        <is>
          <t>Không đạt</t>
        </is>
      </c>
      <c r="R728" s="40" t="inlineStr">
        <is>
          <t>BUG-241</t>
        </is>
      </c>
      <c r="S728" s="40" t="inlineStr">
        <is>
          <t>23/05/2026 19:06</t>
        </is>
      </c>
      <c r="T728" s="43" t="inlineStr">
        <is>
          <t>R1:Không đạt</t>
        </is>
      </c>
      <c r="U728" s="40" t="inlineStr"/>
      <c r="V728" s="43" t="inlineStr"/>
    </row>
    <row r="729" ht="80" customHeight="1">
      <c r="A729" s="40" t="inlineStr">
        <is>
          <t>TC-726</t>
        </is>
      </c>
      <c r="B729" s="41" t="inlineStr">
        <is>
          <t>GREEN</t>
        </is>
      </c>
      <c r="C729" s="42" t="inlineStr">
        <is>
          <t>P0</t>
        </is>
      </c>
      <c r="D729" s="43" t="inlineStr">
        <is>
          <t>IncidentFlow</t>
        </is>
      </c>
      <c r="E729" s="43" t="inlineStr">
        <is>
          <t>CaseProvenance=FROM_INCIDENT → linkedIncidentId set</t>
        </is>
      </c>
      <c r="F729" s="40" t="inlineStr">
        <is>
          <t>REQ-CASE-INCIDENTFLOW-726</t>
        </is>
      </c>
      <c r="G729" s="40" t="inlineStr">
        <is>
          <t>Use case testing</t>
        </is>
      </c>
      <c r="H729" s="40" t="inlineStr">
        <is>
          <t>Cao</t>
        </is>
      </c>
      <c r="I729" s="43" t="inlineStr">
        <is>
          <t>1. User đã login
2. Token JWT hợp lệ</t>
        </is>
      </c>
      <c r="J729" s="43" t="inlineStr">
        <is>
          <t>-</t>
        </is>
      </c>
      <c r="K729" s="43" t="inlineStr">
        <is>
          <t>-</t>
        </is>
      </c>
      <c r="L729" s="43" t="inlineStr">
        <is>
          <t>-</t>
        </is>
      </c>
      <c r="M729" s="43" t="inlineStr">
        <is>
          <t>-</t>
        </is>
      </c>
      <c r="N729" s="43" t="inlineStr">
        <is>
          <t>-</t>
        </is>
      </c>
      <c r="O729" s="40" t="inlineStr">
        <is>
          <t>Critical</t>
        </is>
      </c>
      <c r="P729" s="43" t="inlineStr">
        <is>
          <t>Thời gian: 190ms</t>
        </is>
      </c>
      <c r="Q729" s="40" t="inlineStr">
        <is>
          <t>Không đạt</t>
        </is>
      </c>
      <c r="R729" s="40" t="inlineStr">
        <is>
          <t>BUG-242</t>
        </is>
      </c>
      <c r="S729" s="40" t="inlineStr">
        <is>
          <t>23/05/2026 19:06</t>
        </is>
      </c>
      <c r="T729" s="43" t="inlineStr">
        <is>
          <t>R1:Không đạt</t>
        </is>
      </c>
      <c r="U729" s="40" t="inlineStr"/>
      <c r="V729" s="43" t="inlineStr"/>
    </row>
    <row r="730" ht="80" customHeight="1">
      <c r="A730" s="40" t="inlineStr">
        <is>
          <t>TC-727</t>
        </is>
      </c>
      <c r="B730" s="45" t="inlineStr">
        <is>
          <t>RED</t>
        </is>
      </c>
      <c r="C730" s="42" t="inlineStr">
        <is>
          <t>P0</t>
        </is>
      </c>
      <c r="D730" s="43" t="inlineStr">
        <is>
          <t>IncidentFlow</t>
        </is>
      </c>
      <c r="E730" s="43" t="inlineStr">
        <is>
          <t>FROM_INCIDENT thiếu expectedIncidentUpdatedAt → 400</t>
        </is>
      </c>
      <c r="F730" s="40" t="inlineStr">
        <is>
          <t>REQ-CASE-INCIDENTFLOW-727</t>
        </is>
      </c>
      <c r="G730" s="40" t="inlineStr">
        <is>
          <t>Use case testing</t>
        </is>
      </c>
      <c r="H730" s="40" t="inlineStr">
        <is>
          <t>Cao</t>
        </is>
      </c>
      <c r="I730" s="43" t="inlineStr">
        <is>
          <t>1. User đã login
2. Token JWT hợp lệ</t>
        </is>
      </c>
      <c r="J730" s="43" t="inlineStr">
        <is>
          <t>POST Case FROM_INCIDENT không expectedIncidentUpdatedAt</t>
        </is>
      </c>
      <c r="K730" s="43" t="inlineStr">
        <is>
          <t>-</t>
        </is>
      </c>
      <c r="L730" s="43" t="inlineStr">
        <is>
          <t>-</t>
        </is>
      </c>
      <c r="M730" s="43" t="inlineStr">
        <is>
          <t>400</t>
        </is>
      </c>
      <c r="N730" s="43" t="inlineStr">
        <is>
          <t>-</t>
        </is>
      </c>
      <c r="O730" s="40" t="inlineStr">
        <is>
          <t>High</t>
        </is>
      </c>
      <c r="P730" s="43" t="inlineStr">
        <is>
          <t>Thời gian: 150ms</t>
        </is>
      </c>
      <c r="Q730" s="40" t="inlineStr">
        <is>
          <t>Không đạt</t>
        </is>
      </c>
      <c r="R730" s="40" t="inlineStr">
        <is>
          <t>BUG-243</t>
        </is>
      </c>
      <c r="S730" s="40" t="inlineStr">
        <is>
          <t>23/05/2026 19:06</t>
        </is>
      </c>
      <c r="T730" s="43" t="inlineStr">
        <is>
          <t>R1:Không đạt</t>
        </is>
      </c>
      <c r="U730" s="40" t="inlineStr"/>
      <c r="V730" s="43" t="inlineStr"/>
    </row>
    <row r="731" ht="80" customHeight="1">
      <c r="A731" s="40" t="inlineStr">
        <is>
          <t>TC-728</t>
        </is>
      </c>
      <c r="B731" s="47" t="inlineStr">
        <is>
          <t>SECURITY</t>
        </is>
      </c>
      <c r="C731" s="42" t="inlineStr">
        <is>
          <t>P0</t>
        </is>
      </c>
      <c r="D731" s="43" t="inlineStr">
        <is>
          <t>IncidentFlow</t>
        </is>
      </c>
      <c r="E731" s="43" t="inlineStr">
        <is>
          <t>Race convertToCase 2 user same Incident → 1×409</t>
        </is>
      </c>
      <c r="F731" s="40" t="inlineStr">
        <is>
          <t>REQ-CASE-INCIDENTFLOW-728</t>
        </is>
      </c>
      <c r="G731" s="40" t="inlineStr">
        <is>
          <t>Use case testing</t>
        </is>
      </c>
      <c r="H731" s="40" t="inlineStr">
        <is>
          <t>Cao</t>
        </is>
      </c>
      <c r="I731" s="43" t="inlineStr">
        <is>
          <t>1. User đã login
2. Token JWT hợp lệ</t>
        </is>
      </c>
      <c r="J731" s="43" t="inlineStr">
        <is>
          <t>-</t>
        </is>
      </c>
      <c r="K731" s="43" t="inlineStr">
        <is>
          <t>-</t>
        </is>
      </c>
      <c r="L731" s="43" t="inlineStr">
        <is>
          <t>-</t>
        </is>
      </c>
      <c r="M731" s="43" t="inlineStr">
        <is>
          <t>-</t>
        </is>
      </c>
      <c r="N731" s="43" t="inlineStr">
        <is>
          <t>-</t>
        </is>
      </c>
      <c r="O731" s="40" t="inlineStr">
        <is>
          <t>Critical</t>
        </is>
      </c>
      <c r="P731" s="43" t="inlineStr">
        <is>
          <t>Thời gian: 169ms</t>
        </is>
      </c>
      <c r="Q731" s="40" t="inlineStr">
        <is>
          <t>Không đạt</t>
        </is>
      </c>
      <c r="R731" s="40" t="inlineStr">
        <is>
          <t>BUG-244</t>
        </is>
      </c>
      <c r="S731" s="40" t="inlineStr">
        <is>
          <t>23/05/2026 19:06</t>
        </is>
      </c>
      <c r="T731" s="43" t="inlineStr">
        <is>
          <t>R1:Không đạt</t>
        </is>
      </c>
      <c r="U731" s="40" t="inlineStr"/>
      <c r="V731" s="43" t="inlineStr"/>
    </row>
    <row r="732" ht="80" customHeight="1">
      <c r="A732" s="40" t="inlineStr">
        <is>
          <t>TC-729</t>
        </is>
      </c>
      <c r="B732" s="58" t="inlineStr">
        <is>
          <t>AUDIT</t>
        </is>
      </c>
      <c r="C732" s="42" t="inlineStr">
        <is>
          <t>P0</t>
        </is>
      </c>
      <c r="D732" s="43" t="inlineStr">
        <is>
          <t>IncidentFlow</t>
        </is>
      </c>
      <c r="E732" s="43" t="inlineStr">
        <is>
          <t>INCIDENT_CONVERTED audit</t>
        </is>
      </c>
      <c r="F732" s="40" t="inlineStr">
        <is>
          <t>REQ-CASE-INCIDENTFLOW-729</t>
        </is>
      </c>
      <c r="G732" s="40" t="inlineStr">
        <is>
          <t>Use case testing</t>
        </is>
      </c>
      <c r="H732" s="40" t="inlineStr">
        <is>
          <t>Cao</t>
        </is>
      </c>
      <c r="I732" s="43" t="inlineStr">
        <is>
          <t>1. User đã login
2. Token JWT hợp lệ</t>
        </is>
      </c>
      <c r="J732" s="43" t="inlineStr">
        <is>
          <t>-</t>
        </is>
      </c>
      <c r="K732" s="43" t="inlineStr">
        <is>
          <t>-</t>
        </is>
      </c>
      <c r="L732" s="43" t="inlineStr">
        <is>
          <t>-</t>
        </is>
      </c>
      <c r="M732" s="43" t="inlineStr">
        <is>
          <t>-</t>
        </is>
      </c>
      <c r="N732" s="43" t="inlineStr">
        <is>
          <t>metadata.caseId</t>
        </is>
      </c>
      <c r="O732" s="40" t="inlineStr">
        <is>
          <t>High</t>
        </is>
      </c>
      <c r="P732" s="43" t="inlineStr">
        <is>
          <t>Thời gian: 135ms</t>
        </is>
      </c>
      <c r="Q732" s="40" t="inlineStr">
        <is>
          <t>Không đạt</t>
        </is>
      </c>
      <c r="R732" s="40" t="inlineStr">
        <is>
          <t>BUG-245</t>
        </is>
      </c>
      <c r="S732" s="40" t="inlineStr">
        <is>
          <t>23/05/2026 19:06</t>
        </is>
      </c>
      <c r="T732" s="43" t="inlineStr">
        <is>
          <t>R1:Không đạt</t>
        </is>
      </c>
      <c r="U732" s="40" t="inlineStr"/>
      <c r="V732" s="43" t="inlineStr"/>
    </row>
    <row r="733" ht="80" customHeight="1">
      <c r="A733" s="40" t="inlineStr">
        <is>
          <t>TC-730</t>
        </is>
      </c>
      <c r="B733" s="52" t="inlineStr">
        <is>
          <t>DATA</t>
        </is>
      </c>
      <c r="C733" s="44" t="inlineStr">
        <is>
          <t>P1</t>
        </is>
      </c>
      <c r="D733" s="43" t="inlineStr">
        <is>
          <t>IncidentFlow</t>
        </is>
      </c>
      <c r="E733" s="43" t="inlineStr">
        <is>
          <t>Incident có deadlineRuleVersionId tracked</t>
        </is>
      </c>
      <c r="F733" s="40" t="inlineStr">
        <is>
          <t>REQ-CASE-INCIDENTFLOW-730</t>
        </is>
      </c>
      <c r="G733" s="40" t="inlineStr">
        <is>
          <t>Use case testing</t>
        </is>
      </c>
      <c r="H733" s="40" t="inlineStr">
        <is>
          <t>TB</t>
        </is>
      </c>
      <c r="I733" s="43" t="inlineStr">
        <is>
          <t>1. User đã login
2. Token JWT hợp lệ</t>
        </is>
      </c>
      <c r="J733" s="43" t="inlineStr">
        <is>
          <t>-</t>
        </is>
      </c>
      <c r="K733" s="43" t="inlineStr">
        <is>
          <t>-</t>
        </is>
      </c>
      <c r="L733" s="43" t="inlineStr">
        <is>
          <t>-</t>
        </is>
      </c>
      <c r="M733" s="43" t="inlineStr">
        <is>
          <t>-</t>
        </is>
      </c>
      <c r="N733" s="43" t="inlineStr">
        <is>
          <t>THOI_HAN_XAC_MINH rule version snapshot</t>
        </is>
      </c>
      <c r="O733" s="40" t="inlineStr">
        <is>
          <t>Medium</t>
        </is>
      </c>
      <c r="P733" s="43" t="inlineStr">
        <is>
          <t>Thời gian: 132ms</t>
        </is>
      </c>
      <c r="Q733" s="40" t="inlineStr">
        <is>
          <t>Không đạt</t>
        </is>
      </c>
      <c r="R733" s="40" t="inlineStr">
        <is>
          <t>BUG-246</t>
        </is>
      </c>
      <c r="S733" s="40" t="inlineStr">
        <is>
          <t>23/05/2026 19:06</t>
        </is>
      </c>
      <c r="T733" s="43" t="inlineStr">
        <is>
          <t>R1:Không đạt</t>
        </is>
      </c>
      <c r="U733" s="40" t="inlineStr"/>
      <c r="V733" s="43" t="inlineStr">
        <is>
          <t>DeadlineRules feature</t>
        </is>
      </c>
    </row>
    <row r="734" ht="80" customHeight="1">
      <c r="A734" s="40" t="inlineStr">
        <is>
          <t>TC-731</t>
        </is>
      </c>
      <c r="B734" s="56" t="inlineStr">
        <is>
          <t>INTEGRATION</t>
        </is>
      </c>
      <c r="C734" s="44" t="inlineStr">
        <is>
          <t>P1</t>
        </is>
      </c>
      <c r="D734" s="43" t="inlineStr">
        <is>
          <t>IncidentFlow</t>
        </is>
      </c>
      <c r="E734" s="43" t="inlineStr">
        <is>
          <t>E2E: Tạo Incident → assign → convert Case → KPI dashboard update</t>
        </is>
      </c>
      <c r="F734" s="40" t="inlineStr">
        <is>
          <t>REQ-CASE-INCIDENTFLOW-731</t>
        </is>
      </c>
      <c r="G734" s="40" t="inlineStr">
        <is>
          <t>Use case testing</t>
        </is>
      </c>
      <c r="H734" s="40" t="inlineStr">
        <is>
          <t>TB</t>
        </is>
      </c>
      <c r="I734" s="43" t="inlineStr">
        <is>
          <t>1. User đã login
2. Token JWT hợp lệ</t>
        </is>
      </c>
      <c r="J734" s="43" t="inlineStr">
        <is>
          <t>-</t>
        </is>
      </c>
      <c r="K734" s="43" t="inlineStr">
        <is>
          <t>-</t>
        </is>
      </c>
      <c r="L734" s="43" t="inlineStr">
        <is>
          <t>-</t>
        </is>
      </c>
      <c r="M734" s="43" t="inlineStr">
        <is>
          <t>-</t>
        </is>
      </c>
      <c r="N734" s="43" t="inlineStr">
        <is>
          <t>-</t>
        </is>
      </c>
      <c r="O734" s="40" t="inlineStr">
        <is>
          <t>Medium</t>
        </is>
      </c>
      <c r="P734" s="43" t="inlineStr">
        <is>
          <t>Thời gian: 122ms</t>
        </is>
      </c>
      <c r="Q734" s="40" t="inlineStr">
        <is>
          <t>Không đạt</t>
        </is>
      </c>
      <c r="R734" s="40" t="inlineStr">
        <is>
          <t>BUG-247</t>
        </is>
      </c>
      <c r="S734" s="40" t="inlineStr">
        <is>
          <t>23/05/2026 19:06</t>
        </is>
      </c>
      <c r="T734" s="43" t="inlineStr">
        <is>
          <t>R1:Không đạt</t>
        </is>
      </c>
      <c r="U734" s="40" t="inlineStr"/>
      <c r="V734" s="43" t="inlineStr"/>
    </row>
    <row r="735" ht="80" customHeight="1">
      <c r="A735" s="40" t="inlineStr">
        <is>
          <t>TC-732</t>
        </is>
      </c>
      <c r="B735" s="51" t="inlineStr">
        <is>
          <t>PERFORMANCE</t>
        </is>
      </c>
      <c r="C735" s="44" t="inlineStr">
        <is>
          <t>P1</t>
        </is>
      </c>
      <c r="D735" s="43" t="inlineStr">
        <is>
          <t>IncidentFlow</t>
        </is>
      </c>
      <c r="E735" s="43" t="inlineStr">
        <is>
          <t>convertToCase &lt; 1s</t>
        </is>
      </c>
      <c r="F735" s="40" t="inlineStr">
        <is>
          <t>REQ-CASE-INCIDENTFLOW-732</t>
        </is>
      </c>
      <c r="G735" s="40" t="inlineStr">
        <is>
          <t>Use case testing</t>
        </is>
      </c>
      <c r="H735" s="40" t="inlineStr">
        <is>
          <t>TB</t>
        </is>
      </c>
      <c r="I735" s="43" t="inlineStr">
        <is>
          <t>1. User đã login
2. Token JWT hợp lệ</t>
        </is>
      </c>
      <c r="J735" s="43" t="inlineStr">
        <is>
          <t>-</t>
        </is>
      </c>
      <c r="K735" s="43" t="inlineStr">
        <is>
          <t>-</t>
        </is>
      </c>
      <c r="L735" s="43" t="inlineStr">
        <is>
          <t>-</t>
        </is>
      </c>
      <c r="M735" s="43" t="inlineStr">
        <is>
          <t>&lt;1s</t>
        </is>
      </c>
      <c r="N735" s="43" t="inlineStr">
        <is>
          <t>-</t>
        </is>
      </c>
      <c r="O735" s="40" t="inlineStr">
        <is>
          <t>Medium</t>
        </is>
      </c>
      <c r="P735" s="43" t="inlineStr">
        <is>
          <t>Thời gian: 151ms</t>
        </is>
      </c>
      <c r="Q735" s="40" t="inlineStr">
        <is>
          <t>Không đạt</t>
        </is>
      </c>
      <c r="R735" s="40" t="inlineStr">
        <is>
          <t>BUG-248</t>
        </is>
      </c>
      <c r="S735" s="40" t="inlineStr">
        <is>
          <t>23/05/2026 19:06</t>
        </is>
      </c>
      <c r="T735" s="43" t="inlineStr">
        <is>
          <t>R1:Không đạt</t>
        </is>
      </c>
      <c r="U735" s="40" t="inlineStr"/>
      <c r="V735" s="43" t="inlineStr"/>
    </row>
    <row r="736" ht="80" customHeight="1">
      <c r="A736" s="40" t="inlineStr">
        <is>
          <t>TC-733</t>
        </is>
      </c>
      <c r="B736" s="57" t="inlineStr">
        <is>
          <t>RECOVERY</t>
        </is>
      </c>
      <c r="C736" s="44" t="inlineStr">
        <is>
          <t>P1</t>
        </is>
      </c>
      <c r="D736" s="43" t="inlineStr">
        <is>
          <t>IncidentFlow</t>
        </is>
      </c>
      <c r="E736" s="43" t="inlineStr">
        <is>
          <t>convertToCase fail giữa tx → Incident nguyên</t>
        </is>
      </c>
      <c r="F736" s="40" t="inlineStr">
        <is>
          <t>REQ-CASE-INCIDENTFLOW-733</t>
        </is>
      </c>
      <c r="G736" s="40" t="inlineStr">
        <is>
          <t>Use case testing</t>
        </is>
      </c>
      <c r="H736" s="40" t="inlineStr">
        <is>
          <t>TB</t>
        </is>
      </c>
      <c r="I736" s="43" t="inlineStr">
        <is>
          <t>1. User đã login
2. Token JWT hợp lệ</t>
        </is>
      </c>
      <c r="J736" s="43" t="inlineStr">
        <is>
          <t>-</t>
        </is>
      </c>
      <c r="K736" s="43" t="inlineStr">
        <is>
          <t>-</t>
        </is>
      </c>
      <c r="L736" s="43" t="inlineStr">
        <is>
          <t>-</t>
        </is>
      </c>
      <c r="M736" s="43" t="inlineStr">
        <is>
          <t>500</t>
        </is>
      </c>
      <c r="N736" s="43" t="inlineStr">
        <is>
          <t>-</t>
        </is>
      </c>
      <c r="O736" s="40" t="inlineStr">
        <is>
          <t>High</t>
        </is>
      </c>
      <c r="P736" s="43" t="inlineStr">
        <is>
          <t>Thời gian: 147ms</t>
        </is>
      </c>
      <c r="Q736" s="40" t="inlineStr">
        <is>
          <t>Không đạt</t>
        </is>
      </c>
      <c r="R736" s="40" t="inlineStr">
        <is>
          <t>BUG-249</t>
        </is>
      </c>
      <c r="S736" s="40" t="inlineStr">
        <is>
          <t>23/05/2026 19:06</t>
        </is>
      </c>
      <c r="T736" s="43" t="inlineStr">
        <is>
          <t>R1:Không đạt</t>
        </is>
      </c>
      <c r="U736" s="40" t="inlineStr"/>
      <c r="V736" s="43" t="inlineStr"/>
    </row>
    <row r="737" ht="80" customHeight="1">
      <c r="A737" s="40" t="inlineStr">
        <is>
          <t>TC-734</t>
        </is>
      </c>
      <c r="B737" s="45" t="inlineStr">
        <is>
          <t>RED</t>
        </is>
      </c>
      <c r="C737" s="42" t="inlineStr">
        <is>
          <t>P0</t>
        </is>
      </c>
      <c r="D737" s="43" t="inlineStr">
        <is>
          <t>IncidentFlow</t>
        </is>
      </c>
      <c r="E737" s="43" t="inlineStr">
        <is>
          <t>VIEWER convert → 403</t>
        </is>
      </c>
      <c r="F737" s="40" t="inlineStr">
        <is>
          <t>REQ-CASE-INCIDENTFLOW-734</t>
        </is>
      </c>
      <c r="G737" s="40" t="inlineStr">
        <is>
          <t>Use case testing</t>
        </is>
      </c>
      <c r="H737" s="40" t="inlineStr">
        <is>
          <t>Cao</t>
        </is>
      </c>
      <c r="I737" s="43" t="inlineStr">
        <is>
          <t>1. User đã login
2. Token JWT hợp lệ</t>
        </is>
      </c>
      <c r="J737" s="43" t="inlineStr">
        <is>
          <t>-</t>
        </is>
      </c>
      <c r="K737" s="43" t="inlineStr">
        <is>
          <t>-</t>
        </is>
      </c>
      <c r="L737" s="43" t="inlineStr">
        <is>
          <t>-</t>
        </is>
      </c>
      <c r="M737" s="43" t="inlineStr">
        <is>
          <t>403</t>
        </is>
      </c>
      <c r="N737" s="43" t="inlineStr">
        <is>
          <t>-</t>
        </is>
      </c>
      <c r="O737" s="40" t="inlineStr">
        <is>
          <t>High</t>
        </is>
      </c>
      <c r="P737" s="43" t="inlineStr">
        <is>
          <t>Thời gian: 201ms</t>
        </is>
      </c>
      <c r="Q737" s="40" t="inlineStr">
        <is>
          <t>Không đạt</t>
        </is>
      </c>
      <c r="R737" s="40" t="inlineStr">
        <is>
          <t>BUG-250</t>
        </is>
      </c>
      <c r="S737" s="40" t="inlineStr">
        <is>
          <t>23/05/2026 19:06</t>
        </is>
      </c>
      <c r="T737" s="43" t="inlineStr">
        <is>
          <t>R1:Không đạt</t>
        </is>
      </c>
      <c r="U737" s="40" t="inlineStr"/>
      <c r="V737" s="43" t="inlineStr"/>
    </row>
    <row r="738" ht="80" customHeight="1">
      <c r="A738" s="40" t="inlineStr">
        <is>
          <t>TC-735</t>
        </is>
      </c>
      <c r="B738" s="45" t="inlineStr">
        <is>
          <t>RED</t>
        </is>
      </c>
      <c r="C738" s="42" t="inlineStr">
        <is>
          <t>P0</t>
        </is>
      </c>
      <c r="D738" s="43" t="inlineStr">
        <is>
          <t>IncidentFlow</t>
        </is>
      </c>
      <c r="E738" s="43" t="inlineStr">
        <is>
          <t>JWT thiếu → 401</t>
        </is>
      </c>
      <c r="F738" s="40" t="inlineStr">
        <is>
          <t>REQ-CASE-INCIDENTFLOW-735</t>
        </is>
      </c>
      <c r="G738" s="40" t="inlineStr">
        <is>
          <t>Use case testing</t>
        </is>
      </c>
      <c r="H738" s="40" t="inlineStr">
        <is>
          <t>Cao</t>
        </is>
      </c>
      <c r="I738" s="43" t="inlineStr">
        <is>
          <t>1. User đã login
2. Token JWT hợp lệ</t>
        </is>
      </c>
      <c r="J738" s="43" t="inlineStr">
        <is>
          <t>-</t>
        </is>
      </c>
      <c r="K738" s="43" t="inlineStr">
        <is>
          <t>-</t>
        </is>
      </c>
      <c r="L738" s="43" t="inlineStr">
        <is>
          <t>-</t>
        </is>
      </c>
      <c r="M738" s="43" t="inlineStr">
        <is>
          <t>401</t>
        </is>
      </c>
      <c r="N738" s="43" t="inlineStr">
        <is>
          <t>-</t>
        </is>
      </c>
      <c r="O738" s="40" t="inlineStr">
        <is>
          <t>High</t>
        </is>
      </c>
      <c r="P738" s="43" t="inlineStr">
        <is>
          <t>Thời gian: 158ms</t>
        </is>
      </c>
      <c r="Q738" s="40" t="inlineStr">
        <is>
          <t>Không đạt</t>
        </is>
      </c>
      <c r="R738" s="40" t="inlineStr">
        <is>
          <t>BUG-251</t>
        </is>
      </c>
      <c r="S738" s="40" t="inlineStr">
        <is>
          <t>23/05/2026 19:06</t>
        </is>
      </c>
      <c r="T738" s="43" t="inlineStr">
        <is>
          <t>R1:Không đạt</t>
        </is>
      </c>
      <c r="U738" s="40" t="inlineStr"/>
      <c r="V738" s="43" t="inlineStr"/>
    </row>
    <row r="739" ht="80" customHeight="1">
      <c r="A739" s="40" t="inlineStr">
        <is>
          <t>TC-736</t>
        </is>
      </c>
      <c r="B739" s="46" t="inlineStr">
        <is>
          <t>STATE</t>
        </is>
      </c>
      <c r="C739" s="42" t="inlineStr">
        <is>
          <t>P0</t>
        </is>
      </c>
      <c r="D739" s="43" t="inlineStr">
        <is>
          <t>IncidentFlow</t>
        </is>
      </c>
      <c r="E739" s="43" t="inlineStr">
        <is>
          <t>Incident TAM_DINH_CHI_LAI (lần 2 trở đi)</t>
        </is>
      </c>
      <c r="F739" s="40" t="inlineStr">
        <is>
          <t>REQ-CASE-INCIDENTFLOW-736</t>
        </is>
      </c>
      <c r="G739" s="40" t="inlineStr">
        <is>
          <t>Use case testing</t>
        </is>
      </c>
      <c r="H739" s="40" t="inlineStr">
        <is>
          <t>Cao</t>
        </is>
      </c>
      <c r="I739" s="43" t="inlineStr">
        <is>
          <t>1. User đã login
2. Token JWT hợp lệ</t>
        </is>
      </c>
      <c r="J739" s="43" t="inlineStr">
        <is>
          <t>-</t>
        </is>
      </c>
      <c r="K739" s="43" t="inlineStr">
        <is>
          <t>-</t>
        </is>
      </c>
      <c r="L739" s="43" t="inlineStr">
        <is>
          <t>-</t>
        </is>
      </c>
      <c r="M739" s="43" t="inlineStr">
        <is>
          <t>200</t>
        </is>
      </c>
      <c r="N739" s="43" t="inlineStr">
        <is>
          <t>-</t>
        </is>
      </c>
      <c r="O739" s="40" t="inlineStr">
        <is>
          <t>High</t>
        </is>
      </c>
      <c r="P739" s="43" t="inlineStr">
        <is>
          <t>Thời gian: 148ms</t>
        </is>
      </c>
      <c r="Q739" s="40" t="inlineStr">
        <is>
          <t>Không đạt</t>
        </is>
      </c>
      <c r="R739" s="40" t="inlineStr">
        <is>
          <t>BUG-252</t>
        </is>
      </c>
      <c r="S739" s="40" t="inlineStr">
        <is>
          <t>23/05/2026 19:06</t>
        </is>
      </c>
      <c r="T739" s="43" t="inlineStr">
        <is>
          <t>R1:Không đạt</t>
        </is>
      </c>
      <c r="U739" s="40" t="inlineStr"/>
      <c r="V739" s="43" t="inlineStr"/>
    </row>
    <row r="740" ht="80" customHeight="1">
      <c r="A740" s="40" t="inlineStr">
        <is>
          <t>TC-737</t>
        </is>
      </c>
      <c r="B740" s="41" t="inlineStr">
        <is>
          <t>GREEN</t>
        </is>
      </c>
      <c r="C740" s="44" t="inlineStr">
        <is>
          <t>P1</t>
        </is>
      </c>
      <c r="D740" s="43" t="inlineStr">
        <is>
          <t>IncidentFlow</t>
        </is>
      </c>
      <c r="E740" s="43" t="inlineStr">
        <is>
          <t>Incident detail show ketQuaXacMinh + ngayPhucHoi</t>
        </is>
      </c>
      <c r="F740" s="40" t="inlineStr">
        <is>
          <t>REQ-CASE-INCIDENTFLOW-737</t>
        </is>
      </c>
      <c r="G740" s="40" t="inlineStr">
        <is>
          <t>Use case testing</t>
        </is>
      </c>
      <c r="H740" s="40" t="inlineStr">
        <is>
          <t>TB</t>
        </is>
      </c>
      <c r="I740" s="43" t="inlineStr">
        <is>
          <t>1. User đã login
2. Token JWT hợp lệ</t>
        </is>
      </c>
      <c r="J740" s="43" t="inlineStr">
        <is>
          <t>-</t>
        </is>
      </c>
      <c r="K740" s="43" t="inlineStr">
        <is>
          <t>-</t>
        </is>
      </c>
      <c r="L740" s="43" t="inlineStr">
        <is>
          <t>-</t>
        </is>
      </c>
      <c r="M740" s="43" t="inlineStr">
        <is>
          <t>-</t>
        </is>
      </c>
      <c r="N740" s="43" t="inlineStr">
        <is>
          <t>-</t>
        </is>
      </c>
      <c r="O740" s="40" t="inlineStr">
        <is>
          <t>Medium</t>
        </is>
      </c>
      <c r="P740" s="43" t="inlineStr">
        <is>
          <t>Thời gian: 160ms</t>
        </is>
      </c>
      <c r="Q740" s="40" t="inlineStr">
        <is>
          <t>Không đạt</t>
        </is>
      </c>
      <c r="R740" s="40" t="inlineStr">
        <is>
          <t>BUG-253</t>
        </is>
      </c>
      <c r="S740" s="40" t="inlineStr">
        <is>
          <t>23/05/2026 19:06</t>
        </is>
      </c>
      <c r="T740" s="43" t="inlineStr">
        <is>
          <t>R1:Không đạt</t>
        </is>
      </c>
      <c r="U740" s="40" t="inlineStr"/>
      <c r="V740" s="43" t="inlineStr"/>
    </row>
    <row r="741" ht="80" customHeight="1">
      <c r="A741" s="40" t="inlineStr">
        <is>
          <t>TC-738</t>
        </is>
      </c>
      <c r="B741" s="52" t="inlineStr">
        <is>
          <t>DATA</t>
        </is>
      </c>
      <c r="C741" s="44" t="inlineStr">
        <is>
          <t>P1</t>
        </is>
      </c>
      <c r="D741" s="43" t="inlineStr">
        <is>
          <t>IncidentFlow</t>
        </is>
      </c>
      <c r="E741" s="43" t="inlineStr">
        <is>
          <t>Incident kết quả phục hồi enum khác Case</t>
        </is>
      </c>
      <c r="F741" s="40" t="inlineStr">
        <is>
          <t>REQ-CASE-INCIDENTFLOW-738</t>
        </is>
      </c>
      <c r="G741" s="40" t="inlineStr">
        <is>
          <t>Use case testing</t>
        </is>
      </c>
      <c r="H741" s="40" t="inlineStr">
        <is>
          <t>TB</t>
        </is>
      </c>
      <c r="I741" s="43" t="inlineStr">
        <is>
          <t>1. User đã login
2. Token JWT hợp lệ</t>
        </is>
      </c>
      <c r="J741" s="43" t="inlineStr">
        <is>
          <t>-</t>
        </is>
      </c>
      <c r="K741" s="43" t="inlineStr">
        <is>
          <t>-</t>
        </is>
      </c>
      <c r="L741" s="43" t="inlineStr">
        <is>
          <t>-</t>
        </is>
      </c>
      <c r="M741" s="43" t="inlineStr">
        <is>
          <t>-</t>
        </is>
      </c>
      <c r="N741" s="43" t="inlineStr">
        <is>
          <t>-</t>
        </is>
      </c>
      <c r="O741" s="40" t="inlineStr">
        <is>
          <t>Medium</t>
        </is>
      </c>
      <c r="P741" s="43" t="inlineStr">
        <is>
          <t>Thời gian: 168ms</t>
        </is>
      </c>
      <c r="Q741" s="40" t="inlineStr">
        <is>
          <t>Không đạt</t>
        </is>
      </c>
      <c r="R741" s="40" t="inlineStr">
        <is>
          <t>BUG-254</t>
        </is>
      </c>
      <c r="S741" s="40" t="inlineStr">
        <is>
          <t>23/05/2026 19:06</t>
        </is>
      </c>
      <c r="T741" s="43" t="inlineStr">
        <is>
          <t>R1:Không đạt</t>
        </is>
      </c>
      <c r="U741" s="40" t="inlineStr"/>
      <c r="V741" s="43" t="inlineStr"/>
    </row>
    <row r="742" ht="80" customHeight="1">
      <c r="A742" s="40" t="inlineStr">
        <is>
          <t>TC-739</t>
        </is>
      </c>
      <c r="B742" s="53" t="inlineStr">
        <is>
          <t>BOUNDARY</t>
        </is>
      </c>
      <c r="C742" s="44" t="inlineStr">
        <is>
          <t>P1</t>
        </is>
      </c>
      <c r="D742" s="43" t="inlineStr">
        <is>
          <t>IncidentFlow</t>
        </is>
      </c>
      <c r="E742" s="43" t="inlineStr">
        <is>
          <t>Incident deadline override Case deadline?</t>
        </is>
      </c>
      <c r="F742" s="40" t="inlineStr">
        <is>
          <t>REQ-CASE-INCIDENTFLOW-739</t>
        </is>
      </c>
      <c r="G742" s="40" t="inlineStr">
        <is>
          <t>Use case testing</t>
        </is>
      </c>
      <c r="H742" s="40" t="inlineStr">
        <is>
          <t>TB</t>
        </is>
      </c>
      <c r="I742" s="43" t="inlineStr">
        <is>
          <t>1. User đã login
2. Token JWT hợp lệ</t>
        </is>
      </c>
      <c r="J742" s="43" t="inlineStr">
        <is>
          <t>-</t>
        </is>
      </c>
      <c r="K742" s="43" t="inlineStr">
        <is>
          <t>-</t>
        </is>
      </c>
      <c r="L742" s="43" t="inlineStr">
        <is>
          <t>-</t>
        </is>
      </c>
      <c r="M742" s="43" t="inlineStr">
        <is>
          <t>-</t>
        </is>
      </c>
      <c r="N742" s="43" t="inlineStr">
        <is>
          <t>-</t>
        </is>
      </c>
      <c r="O742" s="40" t="inlineStr">
        <is>
          <t>Low</t>
        </is>
      </c>
      <c r="P742" s="43" t="inlineStr">
        <is>
          <t>Thời gian: 266ms</t>
        </is>
      </c>
      <c r="Q742" s="40" t="inlineStr">
        <is>
          <t>Không đạt</t>
        </is>
      </c>
      <c r="R742" s="40" t="inlineStr">
        <is>
          <t>BUG-255</t>
        </is>
      </c>
      <c r="S742" s="40" t="inlineStr">
        <is>
          <t>23/05/2026 19:06</t>
        </is>
      </c>
      <c r="T742" s="43" t="inlineStr">
        <is>
          <t>R1:Không đạt</t>
        </is>
      </c>
      <c r="U742" s="40" t="inlineStr"/>
      <c r="V742" s="43" t="inlineStr"/>
    </row>
    <row r="743" ht="80" customHeight="1">
      <c r="A743" s="40" t="inlineStr">
        <is>
          <t>TC-740</t>
        </is>
      </c>
      <c r="B743" s="56" t="inlineStr">
        <is>
          <t>INTEGRATION</t>
        </is>
      </c>
      <c r="C743" s="42" t="inlineStr">
        <is>
          <t>P0</t>
        </is>
      </c>
      <c r="D743" s="43" t="inlineStr">
        <is>
          <t>IncidentFlow</t>
        </is>
      </c>
      <c r="E743" s="43" t="inlineStr">
        <is>
          <t>Multiple Incidents linked to same Case (1-to-many)</t>
        </is>
      </c>
      <c r="F743" s="40" t="inlineStr">
        <is>
          <t>REQ-CASE-INCIDENTFLOW-740</t>
        </is>
      </c>
      <c r="G743" s="40" t="inlineStr">
        <is>
          <t>Use case testing</t>
        </is>
      </c>
      <c r="H743" s="40" t="inlineStr">
        <is>
          <t>Cao</t>
        </is>
      </c>
      <c r="I743" s="43" t="inlineStr">
        <is>
          <t>1. User đã login
2. Token JWT hợp lệ</t>
        </is>
      </c>
      <c r="J743" s="43" t="inlineStr">
        <is>
          <t>-</t>
        </is>
      </c>
      <c r="K743" s="43" t="inlineStr">
        <is>
          <t>-</t>
        </is>
      </c>
      <c r="L743" s="43" t="inlineStr">
        <is>
          <t>-</t>
        </is>
      </c>
      <c r="M743" s="43" t="inlineStr">
        <is>
          <t>-</t>
        </is>
      </c>
      <c r="N743" s="43" t="inlineStr">
        <is>
          <t>Incident.linkedCaseId multiple rows for same Case</t>
        </is>
      </c>
      <c r="O743" s="40" t="inlineStr">
        <is>
          <t>High</t>
        </is>
      </c>
      <c r="P743" s="43" t="inlineStr">
        <is>
          <t>Thời gian: 233ms</t>
        </is>
      </c>
      <c r="Q743" s="40" t="inlineStr">
        <is>
          <t>Không đạt</t>
        </is>
      </c>
      <c r="R743" s="40" t="inlineStr">
        <is>
          <t>BUG-256</t>
        </is>
      </c>
      <c r="S743" s="40" t="inlineStr">
        <is>
          <t>23/05/2026 19:06</t>
        </is>
      </c>
      <c r="T743" s="43" t="inlineStr">
        <is>
          <t>R1:Không đạt</t>
        </is>
      </c>
      <c r="U743" s="40" t="inlineStr"/>
      <c r="V743" s="43" t="inlineStr">
        <is>
          <t>linkedIncidents in Case schema</t>
        </is>
      </c>
    </row>
    <row r="744" ht="80" customHeight="1">
      <c r="A744" s="40" t="inlineStr">
        <is>
          <t>TC-741</t>
        </is>
      </c>
      <c r="B744" s="56" t="inlineStr">
        <is>
          <t>INTEGRATION</t>
        </is>
      </c>
      <c r="C744" s="42" t="inlineStr">
        <is>
          <t>P0</t>
        </is>
      </c>
      <c r="D744" s="43" t="inlineStr">
        <is>
          <t>IncidentFlow</t>
        </is>
      </c>
      <c r="E744" s="43" t="inlineStr">
        <is>
          <t>Delete Case có linkedIncidents → block 400</t>
        </is>
      </c>
      <c r="F744" s="40" t="inlineStr">
        <is>
          <t>REQ-CASE-INCIDENTFLOW-741</t>
        </is>
      </c>
      <c r="G744" s="40" t="inlineStr">
        <is>
          <t>Use case testing</t>
        </is>
      </c>
      <c r="H744" s="40" t="inlineStr">
        <is>
          <t>Cao</t>
        </is>
      </c>
      <c r="I744" s="43" t="inlineStr">
        <is>
          <t>1. User đã login
2. Token JWT hợp lệ</t>
        </is>
      </c>
      <c r="J744" s="43" t="inlineStr">
        <is>
          <t>DELETE Case có Incident link</t>
        </is>
      </c>
      <c r="K744" s="43" t="inlineStr">
        <is>
          <t>-</t>
        </is>
      </c>
      <c r="L744" s="43" t="inlineStr">
        <is>
          <t>'Không thể xóa: vụ án đang liên kết N vụ việc'</t>
        </is>
      </c>
      <c r="M744" s="43" t="inlineStr">
        <is>
          <t>400</t>
        </is>
      </c>
      <c r="N744" s="43" t="inlineStr">
        <is>
          <t>-</t>
        </is>
      </c>
      <c r="O744" s="40" t="inlineStr">
        <is>
          <t>High</t>
        </is>
      </c>
      <c r="P744" s="43" t="inlineStr">
        <is>
          <t>Thời gian: 155ms</t>
        </is>
      </c>
      <c r="Q744" s="40" t="inlineStr">
        <is>
          <t>Không đạt</t>
        </is>
      </c>
      <c r="R744" s="40" t="inlineStr">
        <is>
          <t>BUG-257</t>
        </is>
      </c>
      <c r="S744" s="40" t="inlineStr">
        <is>
          <t>23/05/2026 19:06</t>
        </is>
      </c>
      <c r="T744" s="43" t="inlineStr">
        <is>
          <t>R1:Không đạt</t>
        </is>
      </c>
      <c r="U744" s="40" t="inlineStr"/>
      <c r="V744" s="43" t="inlineStr"/>
    </row>
    <row r="745" ht="80" customHeight="1">
      <c r="A745" s="40" t="inlineStr">
        <is>
          <t>TC-742</t>
        </is>
      </c>
      <c r="B745" s="46" t="inlineStr">
        <is>
          <t>STATE</t>
        </is>
      </c>
      <c r="C745" s="42" t="inlineStr">
        <is>
          <t>P0</t>
        </is>
      </c>
      <c r="D745" s="43" t="inlineStr">
        <is>
          <t>IncidentFlow</t>
        </is>
      </c>
      <c r="E745" s="43" t="inlineStr">
        <is>
          <t>Incident status transitions match BLTTHS</t>
        </is>
      </c>
      <c r="F745" s="40" t="inlineStr">
        <is>
          <t>REQ-CASE-INCIDENTFLOW-742</t>
        </is>
      </c>
      <c r="G745" s="40" t="inlineStr">
        <is>
          <t>Use case testing</t>
        </is>
      </c>
      <c r="H745" s="40" t="inlineStr">
        <is>
          <t>Cao</t>
        </is>
      </c>
      <c r="I745" s="43" t="inlineStr">
        <is>
          <t>1. User đã login
2. Token JWT hợp lệ</t>
        </is>
      </c>
      <c r="J745" s="43" t="inlineStr">
        <is>
          <t>-</t>
        </is>
      </c>
      <c r="K745" s="43" t="inlineStr">
        <is>
          <t>-</t>
        </is>
      </c>
      <c r="L745" s="43" t="inlineStr">
        <is>
          <t>-</t>
        </is>
      </c>
      <c r="M745" s="43" t="inlineStr">
        <is>
          <t>-</t>
        </is>
      </c>
      <c r="N745" s="43" t="inlineStr">
        <is>
          <t>-</t>
        </is>
      </c>
      <c r="O745" s="40" t="inlineStr">
        <is>
          <t>Medium</t>
        </is>
      </c>
      <c r="P745" s="43" t="inlineStr">
        <is>
          <t>Thời gian: 798ms</t>
        </is>
      </c>
      <c r="Q745" s="40" t="inlineStr">
        <is>
          <t>Không đạt</t>
        </is>
      </c>
      <c r="R745" s="40" t="inlineStr">
        <is>
          <t>BUG-258</t>
        </is>
      </c>
      <c r="S745" s="40" t="inlineStr">
        <is>
          <t>23/05/2026 19:06</t>
        </is>
      </c>
      <c r="T745" s="43" t="inlineStr">
        <is>
          <t>R1:Không đạt</t>
        </is>
      </c>
      <c r="U745" s="40" t="inlineStr"/>
      <c r="V745" s="43" t="inlineStr"/>
    </row>
    <row r="746" ht="80" customHeight="1">
      <c r="A746" s="40" t="inlineStr">
        <is>
          <t>TC-743</t>
        </is>
      </c>
      <c r="B746" s="47" t="inlineStr">
        <is>
          <t>SECURITY</t>
        </is>
      </c>
      <c r="C746" s="42" t="inlineStr">
        <is>
          <t>P0</t>
        </is>
      </c>
      <c r="D746" s="43" t="inlineStr">
        <is>
          <t>IncidentFlow</t>
        </is>
      </c>
      <c r="E746" s="43" t="inlineStr">
        <is>
          <t>IDOR convertToCase với Incident ID team khác</t>
        </is>
      </c>
      <c r="F746" s="40" t="inlineStr">
        <is>
          <t>REQ-CASE-INCIDENTFLOW-743</t>
        </is>
      </c>
      <c r="G746" s="40" t="inlineStr">
        <is>
          <t>Use case testing</t>
        </is>
      </c>
      <c r="H746" s="40" t="inlineStr">
        <is>
          <t>Cao</t>
        </is>
      </c>
      <c r="I746" s="43" t="inlineStr">
        <is>
          <t>1. User đã login
2. Token JWT hợp lệ</t>
        </is>
      </c>
      <c r="J746" s="43" t="inlineStr">
        <is>
          <t>-</t>
        </is>
      </c>
      <c r="K746" s="43" t="inlineStr">
        <is>
          <t>-</t>
        </is>
      </c>
      <c r="L746" s="43" t="inlineStr">
        <is>
          <t>-</t>
        </is>
      </c>
      <c r="M746" s="43" t="inlineStr">
        <is>
          <t>404 (IDOR-safe)</t>
        </is>
      </c>
      <c r="N746" s="43" t="inlineStr">
        <is>
          <t>-</t>
        </is>
      </c>
      <c r="O746" s="40" t="inlineStr">
        <is>
          <t>Critical</t>
        </is>
      </c>
      <c r="P746" s="43" t="inlineStr">
        <is>
          <t>Đạt như expected. Thời gian: 735ms</t>
        </is>
      </c>
      <c r="Q746" s="40" t="inlineStr">
        <is>
          <t>Đạt</t>
        </is>
      </c>
      <c r="R746" s="40" t="inlineStr"/>
      <c r="S746" s="40" t="inlineStr">
        <is>
          <t>23/05/2026 19:06</t>
        </is>
      </c>
      <c r="T746" s="43" t="inlineStr">
        <is>
          <t>R1:Đạt</t>
        </is>
      </c>
      <c r="U746" s="40" t="inlineStr"/>
      <c r="V746" s="43" t="inlineStr"/>
    </row>
    <row r="747" ht="80" customHeight="1">
      <c r="A747" s="40" t="inlineStr">
        <is>
          <t>TC-744</t>
        </is>
      </c>
      <c r="B747" s="56" t="inlineStr">
        <is>
          <t>INTEGRATION</t>
        </is>
      </c>
      <c r="C747" s="42" t="inlineStr">
        <is>
          <t>P0</t>
        </is>
      </c>
      <c r="D747" s="43" t="inlineStr">
        <is>
          <t>IncidentFlow</t>
        </is>
      </c>
      <c r="E747" s="43" t="inlineStr">
        <is>
          <t>Convert Incident → Case → Subject (E2E)</t>
        </is>
      </c>
      <c r="F747" s="40" t="inlineStr">
        <is>
          <t>REQ-CASE-INCIDENTFLOW-744</t>
        </is>
      </c>
      <c r="G747" s="40" t="inlineStr">
        <is>
          <t>Use case testing</t>
        </is>
      </c>
      <c r="H747" s="40" t="inlineStr">
        <is>
          <t>Cao</t>
        </is>
      </c>
      <c r="I747" s="43" t="inlineStr">
        <is>
          <t>1. User đã login
2. Token JWT hợp lệ</t>
        </is>
      </c>
      <c r="J747" s="43" t="inlineStr">
        <is>
          <t>-</t>
        </is>
      </c>
      <c r="K747" s="43" t="inlineStr">
        <is>
          <t>-</t>
        </is>
      </c>
      <c r="L747" s="43" t="inlineStr">
        <is>
          <t>-</t>
        </is>
      </c>
      <c r="M747" s="43" t="inlineStr">
        <is>
          <t>-</t>
        </is>
      </c>
      <c r="N747" s="43" t="inlineStr">
        <is>
          <t>-</t>
        </is>
      </c>
      <c r="O747" s="40" t="inlineStr">
        <is>
          <t>High</t>
        </is>
      </c>
      <c r="P747" s="43" t="inlineStr">
        <is>
          <t>Thời gian: 72ms</t>
        </is>
      </c>
      <c r="Q747" s="40" t="inlineStr">
        <is>
          <t>Không đạt</t>
        </is>
      </c>
      <c r="R747" s="40" t="inlineStr">
        <is>
          <t>BUG-259</t>
        </is>
      </c>
      <c r="S747" s="40" t="inlineStr">
        <is>
          <t>23/05/2026 19:06</t>
        </is>
      </c>
      <c r="T747" s="43" t="inlineStr">
        <is>
          <t>R1:Không đạt</t>
        </is>
      </c>
      <c r="U747" s="40" t="inlineStr"/>
      <c r="V747" s="43" t="inlineStr"/>
    </row>
    <row r="748" ht="80" customHeight="1">
      <c r="A748" s="40" t="inlineStr">
        <is>
          <t>TC-745</t>
        </is>
      </c>
      <c r="B748" s="45" t="inlineStr">
        <is>
          <t>RED</t>
        </is>
      </c>
      <c r="C748" s="42" t="inlineStr">
        <is>
          <t>P0</t>
        </is>
      </c>
      <c r="D748" s="43" t="inlineStr">
        <is>
          <t>IncidentFlow</t>
        </is>
      </c>
      <c r="E748" s="43" t="inlineStr">
        <is>
          <t>convertToCase Incident soft-deleted → 404</t>
        </is>
      </c>
      <c r="F748" s="40" t="inlineStr">
        <is>
          <t>REQ-CASE-INCIDENTFLOW-745</t>
        </is>
      </c>
      <c r="G748" s="40" t="inlineStr">
        <is>
          <t>Use case testing</t>
        </is>
      </c>
      <c r="H748" s="40" t="inlineStr">
        <is>
          <t>Cao</t>
        </is>
      </c>
      <c r="I748" s="43" t="inlineStr">
        <is>
          <t>1. User đã login
2. Token JWT hợp lệ</t>
        </is>
      </c>
      <c r="J748" s="43" t="inlineStr">
        <is>
          <t>-</t>
        </is>
      </c>
      <c r="K748" s="43" t="inlineStr">
        <is>
          <t>-</t>
        </is>
      </c>
      <c r="L748" s="43" t="inlineStr">
        <is>
          <t>-</t>
        </is>
      </c>
      <c r="M748" s="43" t="inlineStr">
        <is>
          <t>404</t>
        </is>
      </c>
      <c r="N748" s="43" t="inlineStr">
        <is>
          <t>-</t>
        </is>
      </c>
      <c r="O748" s="40" t="inlineStr">
        <is>
          <t>High</t>
        </is>
      </c>
      <c r="P748" s="43" t="inlineStr">
        <is>
          <t>Đạt như expected. Thời gian: 673ms</t>
        </is>
      </c>
      <c r="Q748" s="40" t="inlineStr">
        <is>
          <t>Đạt</t>
        </is>
      </c>
      <c r="R748" s="40" t="inlineStr"/>
      <c r="S748" s="40" t="inlineStr">
        <is>
          <t>23/05/2026 19:06</t>
        </is>
      </c>
      <c r="T748" s="43" t="inlineStr">
        <is>
          <t>R1:Đạt</t>
        </is>
      </c>
      <c r="U748" s="40" t="inlineStr"/>
      <c r="V748" s="43" t="inlineStr"/>
    </row>
    <row r="749" ht="80" customHeight="1">
      <c r="A749" s="40" t="inlineStr">
        <is>
          <t>TC-746</t>
        </is>
      </c>
      <c r="B749" s="58" t="inlineStr">
        <is>
          <t>AUDIT</t>
        </is>
      </c>
      <c r="C749" s="42" t="inlineStr">
        <is>
          <t>P0</t>
        </is>
      </c>
      <c r="D749" s="43" t="inlineStr">
        <is>
          <t>IncidentFlow</t>
        </is>
      </c>
      <c r="E749" s="43" t="inlineStr">
        <is>
          <t>INCIDENT_STATUS_CHANGED audit có fromStatus/toStatus</t>
        </is>
      </c>
      <c r="F749" s="40" t="inlineStr">
        <is>
          <t>REQ-CASE-INCIDENTFLOW-746</t>
        </is>
      </c>
      <c r="G749" s="40" t="inlineStr">
        <is>
          <t>Use case testing</t>
        </is>
      </c>
      <c r="H749" s="40" t="inlineStr">
        <is>
          <t>Cao</t>
        </is>
      </c>
      <c r="I749" s="43" t="inlineStr">
        <is>
          <t>1. User đã login
2. Token JWT hợp lệ</t>
        </is>
      </c>
      <c r="J749" s="43" t="inlineStr">
        <is>
          <t>-</t>
        </is>
      </c>
      <c r="K749" s="43" t="inlineStr">
        <is>
          <t>-</t>
        </is>
      </c>
      <c r="L749" s="43" t="inlineStr">
        <is>
          <t>-</t>
        </is>
      </c>
      <c r="M749" s="43" t="inlineStr">
        <is>
          <t>-</t>
        </is>
      </c>
      <c r="N749" s="43" t="inlineStr">
        <is>
          <t>-</t>
        </is>
      </c>
      <c r="O749" s="40" t="inlineStr">
        <is>
          <t>High</t>
        </is>
      </c>
      <c r="P749" s="43" t="inlineStr">
        <is>
          <t>Thời gian: 102ms</t>
        </is>
      </c>
      <c r="Q749" s="40" t="inlineStr">
        <is>
          <t>Không đạt</t>
        </is>
      </c>
      <c r="R749" s="40" t="inlineStr">
        <is>
          <t>BUG-260</t>
        </is>
      </c>
      <c r="S749" s="40" t="inlineStr">
        <is>
          <t>23/05/2026 19:06</t>
        </is>
      </c>
      <c r="T749" s="43" t="inlineStr">
        <is>
          <t>R1:Không đạt</t>
        </is>
      </c>
      <c r="U749" s="40" t="inlineStr"/>
      <c r="V749" s="43" t="inlineStr"/>
    </row>
    <row r="750" ht="80" customHeight="1">
      <c r="A750" s="40" t="inlineStr">
        <is>
          <t>TC-747</t>
        </is>
      </c>
      <c r="B750" s="46" t="inlineStr">
        <is>
          <t>STATE</t>
        </is>
      </c>
      <c r="C750" s="42" t="inlineStr">
        <is>
          <t>P0</t>
        </is>
      </c>
      <c r="D750" s="43" t="inlineStr">
        <is>
          <t>Extra</t>
        </is>
      </c>
      <c r="E750" s="43" t="inlineStr">
        <is>
          <t>Update status TIEP_NHAN → DA_KET_LUAN skip middle steps</t>
        </is>
      </c>
      <c r="F750" s="40" t="inlineStr">
        <is>
          <t>REQ-CASE-EXTRA-747</t>
        </is>
      </c>
      <c r="G750" s="40" t="inlineStr">
        <is>
          <t>Use case testing</t>
        </is>
      </c>
      <c r="H750" s="40" t="inlineStr">
        <is>
          <t>Cao</t>
        </is>
      </c>
      <c r="I750" s="43" t="inlineStr">
        <is>
          <t>1. User đã login
2. Token JWT hợp lệ</t>
        </is>
      </c>
      <c r="J750" s="43" t="inlineStr">
        <is>
          <t>-</t>
        </is>
      </c>
      <c r="K750" s="43" t="inlineStr">
        <is>
          <t>-</t>
        </is>
      </c>
      <c r="L750" s="43" t="inlineStr">
        <is>
          <t>-</t>
        </is>
      </c>
      <c r="M750" s="43" t="inlineStr">
        <is>
          <t>? — verify state machine</t>
        </is>
      </c>
      <c r="N750" s="43" t="inlineStr">
        <is>
          <t>-</t>
        </is>
      </c>
      <c r="O750" s="40" t="inlineStr">
        <is>
          <t>High</t>
        </is>
      </c>
      <c r="P750" s="43" t="inlineStr">
        <is>
          <t>Thời gian: 199ms</t>
        </is>
      </c>
      <c r="Q750" s="40" t="inlineStr">
        <is>
          <t>Không đạt</t>
        </is>
      </c>
      <c r="R750" s="40" t="inlineStr">
        <is>
          <t>BUG-232</t>
        </is>
      </c>
      <c r="S750" s="40" t="inlineStr">
        <is>
          <t>23/05/2026 19:06</t>
        </is>
      </c>
      <c r="T750" s="43" t="inlineStr">
        <is>
          <t>R1:Không đạt</t>
        </is>
      </c>
      <c r="U750" s="40" t="inlineStr"/>
      <c r="V750" s="43" t="inlineStr">
        <is>
          <t>Gap nếu cho phép skip</t>
        </is>
      </c>
    </row>
    <row r="751" ht="80" customHeight="1">
      <c r="A751" s="40" t="inlineStr">
        <is>
          <t>TC-748</t>
        </is>
      </c>
      <c r="B751" s="46" t="inlineStr">
        <is>
          <t>STATE</t>
        </is>
      </c>
      <c r="C751" s="42" t="inlineStr">
        <is>
          <t>P0</t>
        </is>
      </c>
      <c r="D751" s="43" t="inlineStr">
        <is>
          <t>Extra</t>
        </is>
      </c>
      <c r="E751" s="43" t="inlineStr">
        <is>
          <t>Update status với 5 lần TAM_DINH_CHI ↔ DANG_DIEU_TRA</t>
        </is>
      </c>
      <c r="F751" s="40" t="inlineStr">
        <is>
          <t>REQ-CASE-EXTRA-748</t>
        </is>
      </c>
      <c r="G751" s="40" t="inlineStr">
        <is>
          <t>Use case testing</t>
        </is>
      </c>
      <c r="H751" s="40" t="inlineStr">
        <is>
          <t>Cao</t>
        </is>
      </c>
      <c r="I751" s="43" t="inlineStr">
        <is>
          <t>1. User đã login
2. Token JWT hợp lệ</t>
        </is>
      </c>
      <c r="J751" s="43" t="inlineStr">
        <is>
          <t>2 lần phục hồi + 2 lần TĐC</t>
        </is>
      </c>
      <c r="K751" s="43" t="inlineStr">
        <is>
          <t>-</t>
        </is>
      </c>
      <c r="L751" s="43" t="inlineStr">
        <is>
          <t>-</t>
        </is>
      </c>
      <c r="M751" s="43" t="inlineStr">
        <is>
          <t>200</t>
        </is>
      </c>
      <c r="N751" s="43" t="inlineStr">
        <is>
          <t>soLanTamDinhChi=2</t>
        </is>
      </c>
      <c r="O751" s="40" t="inlineStr">
        <is>
          <t>High</t>
        </is>
      </c>
      <c r="P751" s="43" t="inlineStr">
        <is>
          <t>Đạt như expected. Thời gian: 745ms</t>
        </is>
      </c>
      <c r="Q751" s="40" t="inlineStr">
        <is>
          <t>Đạt</t>
        </is>
      </c>
      <c r="R751" s="40" t="inlineStr"/>
      <c r="S751" s="40" t="inlineStr">
        <is>
          <t>23/05/2026 19:06</t>
        </is>
      </c>
      <c r="T751" s="43" t="inlineStr">
        <is>
          <t>R1:Đạt</t>
        </is>
      </c>
      <c r="U751" s="40" t="inlineStr"/>
      <c r="V751" s="43" t="inlineStr"/>
    </row>
    <row r="752" ht="80" customHeight="1">
      <c r="A752" s="40" t="inlineStr">
        <is>
          <t>TC-749</t>
        </is>
      </c>
      <c r="B752" s="46" t="inlineStr">
        <is>
          <t>STATE</t>
        </is>
      </c>
      <c r="C752" s="42" t="inlineStr">
        <is>
          <t>P0</t>
        </is>
      </c>
      <c r="D752" s="43" t="inlineStr">
        <is>
          <t>Extra</t>
        </is>
      </c>
      <c r="E752" s="43" t="inlineStr">
        <is>
          <t>Update concurrent: 2 user đổi status khác nhau</t>
        </is>
      </c>
      <c r="F752" s="40" t="inlineStr">
        <is>
          <t>REQ-CASE-EXTRA-749</t>
        </is>
      </c>
      <c r="G752" s="40" t="inlineStr">
        <is>
          <t>Use case testing</t>
        </is>
      </c>
      <c r="H752" s="40" t="inlineStr">
        <is>
          <t>Cao</t>
        </is>
      </c>
      <c r="I752" s="43" t="inlineStr">
        <is>
          <t>1. User đã login
2. Token JWT hợp lệ</t>
        </is>
      </c>
      <c r="J752" s="43" t="inlineStr">
        <is>
          <t>A→DANG_DIEU_TRA, B→TAM_DINH_CHI cùng lúc</t>
        </is>
      </c>
      <c r="K752" s="43" t="inlineStr">
        <is>
          <t>-</t>
        </is>
      </c>
      <c r="L752" s="43" t="inlineStr">
        <is>
          <t>-</t>
        </is>
      </c>
      <c r="M752" s="43" t="inlineStr">
        <is>
          <t>1 success, 1 P2025/409 if expectedUpdatedAt</t>
        </is>
      </c>
      <c r="N752" s="43" t="inlineStr">
        <is>
          <t>-</t>
        </is>
      </c>
      <c r="O752" s="40" t="inlineStr">
        <is>
          <t>Critical</t>
        </is>
      </c>
      <c r="P752" s="43" t="inlineStr">
        <is>
          <t>Đạt như expected. Thời gian: 82ms</t>
        </is>
      </c>
      <c r="Q752" s="40" t="inlineStr">
        <is>
          <t>Đạt</t>
        </is>
      </c>
      <c r="R752" s="40" t="inlineStr"/>
      <c r="S752" s="40" t="inlineStr">
        <is>
          <t>23/05/2026 19:06</t>
        </is>
      </c>
      <c r="T752" s="43" t="inlineStr">
        <is>
          <t>R1:Đạt</t>
        </is>
      </c>
      <c r="U752" s="40" t="inlineStr"/>
      <c r="V752" s="43" t="inlineStr"/>
    </row>
    <row r="753" ht="80" customHeight="1">
      <c r="A753" s="40" t="inlineStr">
        <is>
          <t>TC-750</t>
        </is>
      </c>
      <c r="B753" s="55" t="inlineStr">
        <is>
          <t>DECISION</t>
        </is>
      </c>
      <c r="C753" s="42" t="inlineStr">
        <is>
          <t>P0</t>
        </is>
      </c>
      <c r="D753" s="43" t="inlineStr">
        <is>
          <t>Extra</t>
        </is>
      </c>
      <c r="E753" s="43" t="inlineStr">
        <is>
          <t>Combination: ADMIN + Case DELETED 1 năm trước → restore OK</t>
        </is>
      </c>
      <c r="F753" s="40" t="inlineStr">
        <is>
          <t>REQ-CASE-EXTRA-750</t>
        </is>
      </c>
      <c r="G753" s="40" t="inlineStr">
        <is>
          <t>Use case testing</t>
        </is>
      </c>
      <c r="H753" s="40" t="inlineStr">
        <is>
          <t>Cao</t>
        </is>
      </c>
      <c r="I753" s="43" t="inlineStr">
        <is>
          <t>1. User đã login
2. Token JWT hợp lệ</t>
        </is>
      </c>
      <c r="J753" s="43" t="inlineStr">
        <is>
          <t>-</t>
        </is>
      </c>
      <c r="K753" s="43" t="inlineStr">
        <is>
          <t>-</t>
        </is>
      </c>
      <c r="L753" s="43" t="inlineStr">
        <is>
          <t>-</t>
        </is>
      </c>
      <c r="M753" s="43" t="inlineStr">
        <is>
          <t>200</t>
        </is>
      </c>
      <c r="N753" s="43" t="inlineStr">
        <is>
          <t>-</t>
        </is>
      </c>
      <c r="O753" s="40" t="inlineStr">
        <is>
          <t>High</t>
        </is>
      </c>
      <c r="P753" s="43" t="inlineStr">
        <is>
          <t>Đạt như expected. Thời gian: 91ms</t>
        </is>
      </c>
      <c r="Q753" s="40" t="inlineStr">
        <is>
          <t>Đạt</t>
        </is>
      </c>
      <c r="R753" s="40" t="inlineStr"/>
      <c r="S753" s="40" t="inlineStr">
        <is>
          <t>23/05/2026 19:06</t>
        </is>
      </c>
      <c r="T753" s="43" t="inlineStr">
        <is>
          <t>R1:Đạt</t>
        </is>
      </c>
      <c r="U753" s="40" t="inlineStr"/>
      <c r="V753" s="43" t="inlineStr"/>
    </row>
    <row r="754" ht="80" customHeight="1">
      <c r="A754" s="40" t="inlineStr">
        <is>
          <t>TC-751</t>
        </is>
      </c>
      <c r="B754" s="55" t="inlineStr">
        <is>
          <t>DECISION</t>
        </is>
      </c>
      <c r="C754" s="42" t="inlineStr">
        <is>
          <t>P0</t>
        </is>
      </c>
      <c r="D754" s="43" t="inlineStr">
        <is>
          <t>Extra</t>
        </is>
      </c>
      <c r="E754" s="43" t="inlineStr">
        <is>
          <t>Combination: dispatcher xem case ward → bypass scope</t>
        </is>
      </c>
      <c r="F754" s="40" t="inlineStr">
        <is>
          <t>REQ-CASE-EXTRA-751</t>
        </is>
      </c>
      <c r="G754" s="40" t="inlineStr">
        <is>
          <t>Use case testing</t>
        </is>
      </c>
      <c r="H754" s="40" t="inlineStr">
        <is>
          <t>Cao</t>
        </is>
      </c>
      <c r="I754" s="43" t="inlineStr">
        <is>
          <t>1. User đã login
2. Token JWT hợp lệ</t>
        </is>
      </c>
      <c r="J754" s="43" t="inlineStr">
        <is>
          <t>-</t>
        </is>
      </c>
      <c r="K754" s="43" t="inlineStr">
        <is>
          <t>-</t>
        </is>
      </c>
      <c r="L754" s="43" t="inlineStr">
        <is>
          <t>-</t>
        </is>
      </c>
      <c r="M754" s="43" t="inlineStr">
        <is>
          <t>200</t>
        </is>
      </c>
      <c r="N754" s="43" t="inlineStr">
        <is>
          <t>-</t>
        </is>
      </c>
      <c r="O754" s="40" t="inlineStr">
        <is>
          <t>High</t>
        </is>
      </c>
      <c r="P754" s="43" t="inlineStr">
        <is>
          <t>Đạt như expected. Thời gian: 88ms</t>
        </is>
      </c>
      <c r="Q754" s="40" t="inlineStr">
        <is>
          <t>Đạt</t>
        </is>
      </c>
      <c r="R754" s="40" t="inlineStr"/>
      <c r="S754" s="40" t="inlineStr">
        <is>
          <t>23/05/2026 19:06</t>
        </is>
      </c>
      <c r="T754" s="43" t="inlineStr">
        <is>
          <t>R1:Đạt</t>
        </is>
      </c>
      <c r="U754" s="40" t="inlineStr"/>
      <c r="V754" s="43" t="inlineStr"/>
    </row>
    <row r="755" ht="80" customHeight="1">
      <c r="A755" s="40" t="inlineStr">
        <is>
          <t>TC-752</t>
        </is>
      </c>
      <c r="B755" s="55" t="inlineStr">
        <is>
          <t>DECISION</t>
        </is>
      </c>
      <c r="C755" s="42" t="inlineStr">
        <is>
          <t>P0</t>
        </is>
      </c>
      <c r="D755" s="43" t="inlineStr">
        <is>
          <t>Extra</t>
        </is>
      </c>
      <c r="E755" s="43" t="inlineStr">
        <is>
          <t>Combination: ward officer + assignedTeamId override</t>
        </is>
      </c>
      <c r="F755" s="40" t="inlineStr">
        <is>
          <t>REQ-CASE-EXTRA-752</t>
        </is>
      </c>
      <c r="G755" s="40" t="inlineStr">
        <is>
          <t>Use case testing</t>
        </is>
      </c>
      <c r="H755" s="40" t="inlineStr">
        <is>
          <t>Cao</t>
        </is>
      </c>
      <c r="I755" s="43" t="inlineStr">
        <is>
          <t>1. User đã login
2. Token JWT hợp lệ</t>
        </is>
      </c>
      <c r="J755" s="43" t="inlineStr">
        <is>
          <t>-</t>
        </is>
      </c>
      <c r="K755" s="43" t="inlineStr">
        <is>
          <t>-</t>
        </is>
      </c>
      <c r="L755" s="43" t="inlineStr">
        <is>
          <t>-</t>
        </is>
      </c>
      <c r="M755" s="43" t="inlineStr">
        <is>
          <t>201 with override</t>
        </is>
      </c>
      <c r="N755" s="43" t="inlineStr">
        <is>
          <t>-</t>
        </is>
      </c>
      <c r="O755" s="40" t="inlineStr">
        <is>
          <t>High</t>
        </is>
      </c>
      <c r="P755" s="43" t="inlineStr">
        <is>
          <t>Đạt như expected. Thời gian: 94ms</t>
        </is>
      </c>
      <c r="Q755" s="40" t="inlineStr">
        <is>
          <t>Đạt</t>
        </is>
      </c>
      <c r="R755" s="40" t="inlineStr"/>
      <c r="S755" s="40" t="inlineStr">
        <is>
          <t>23/05/2026 19:06</t>
        </is>
      </c>
      <c r="T755" s="43" t="inlineStr">
        <is>
          <t>R1:Đạt</t>
        </is>
      </c>
      <c r="U755" s="40" t="inlineStr"/>
      <c r="V755" s="43" t="inlineStr"/>
    </row>
    <row r="756" ht="80" customHeight="1">
      <c r="A756" s="40" t="inlineStr">
        <is>
          <t>TC-753</t>
        </is>
      </c>
      <c r="B756" s="55" t="inlineStr">
        <is>
          <t>DECISION</t>
        </is>
      </c>
      <c r="C756" s="42" t="inlineStr">
        <is>
          <t>P0</t>
        </is>
      </c>
      <c r="D756" s="43" t="inlineStr">
        <is>
          <t>Extra</t>
        </is>
      </c>
      <c r="E756" s="43" t="inlineStr">
        <is>
          <t>User MULTI-TEAM (thuộc 2 teams) — scope union</t>
        </is>
      </c>
      <c r="F756" s="40" t="inlineStr">
        <is>
          <t>REQ-CASE-EXTRA-753</t>
        </is>
      </c>
      <c r="G756" s="40" t="inlineStr">
        <is>
          <t>Use case testing</t>
        </is>
      </c>
      <c r="H756" s="40" t="inlineStr">
        <is>
          <t>Cao</t>
        </is>
      </c>
      <c r="I756" s="43" t="inlineStr">
        <is>
          <t>1. User đã login
2. Token JWT hợp lệ</t>
        </is>
      </c>
      <c r="J756" s="43" t="inlineStr">
        <is>
          <t>dieuTra-X thuộc Team-Q1 và Team-Q2, GET cases</t>
        </is>
      </c>
      <c r="K756" s="43" t="inlineStr">
        <is>
          <t>-</t>
        </is>
      </c>
      <c r="L756" s="43" t="inlineStr">
        <is>
          <t>-</t>
        </is>
      </c>
      <c r="M756" s="43" t="inlineStr">
        <is>
          <t>data có case của cả 2 team</t>
        </is>
      </c>
      <c r="N756" s="43" t="inlineStr">
        <is>
          <t>-</t>
        </is>
      </c>
      <c r="O756" s="40" t="inlineStr">
        <is>
          <t>High</t>
        </is>
      </c>
      <c r="P756" s="43" t="inlineStr">
        <is>
          <t>Đạt như expected. Thời gian: 91ms</t>
        </is>
      </c>
      <c r="Q756" s="40" t="inlineStr">
        <is>
          <t>Đạt</t>
        </is>
      </c>
      <c r="R756" s="40" t="inlineStr"/>
      <c r="S756" s="40" t="inlineStr">
        <is>
          <t>23/05/2026 19:06</t>
        </is>
      </c>
      <c r="T756" s="43" t="inlineStr">
        <is>
          <t>R1:Đạt</t>
        </is>
      </c>
      <c r="U756" s="40" t="inlineStr"/>
      <c r="V756" s="43" t="inlineStr"/>
    </row>
    <row r="757" ht="80" customHeight="1">
      <c r="A757" s="40" t="inlineStr">
        <is>
          <t>TC-754</t>
        </is>
      </c>
      <c r="B757" s="55" t="inlineStr">
        <is>
          <t>DECISION</t>
        </is>
      </c>
      <c r="C757" s="42" t="inlineStr">
        <is>
          <t>P0</t>
        </is>
      </c>
      <c r="D757" s="43" t="inlineStr">
        <is>
          <t>Extra</t>
        </is>
      </c>
      <c r="E757" s="43" t="inlineStr">
        <is>
          <t>User has writableTeamIds ⊂ teamIds (read-only some)</t>
        </is>
      </c>
      <c r="F757" s="40" t="inlineStr">
        <is>
          <t>REQ-CASE-EXTRA-754</t>
        </is>
      </c>
      <c r="G757" s="40" t="inlineStr">
        <is>
          <t>Use case testing</t>
        </is>
      </c>
      <c r="H757" s="40" t="inlineStr">
        <is>
          <t>Cao</t>
        </is>
      </c>
      <c r="I757" s="43" t="inlineStr">
        <is>
          <t>1. User đã login
2. Token JWT hợp lệ</t>
        </is>
      </c>
      <c r="J757" s="43" t="inlineStr">
        <is>
          <t>-</t>
        </is>
      </c>
      <c r="K757" s="43" t="inlineStr">
        <is>
          <t>-</t>
        </is>
      </c>
      <c r="L757" s="43" t="inlineStr">
        <is>
          <t>-</t>
        </is>
      </c>
      <c r="M757" s="43" t="inlineStr">
        <is>
          <t>-</t>
        </is>
      </c>
      <c r="N757" s="43" t="inlineStr">
        <is>
          <t>-</t>
        </is>
      </c>
      <c r="O757" s="40" t="inlineStr">
        <is>
          <t>High</t>
        </is>
      </c>
      <c r="P757" s="43" t="inlineStr">
        <is>
          <t>Đạt như expected. Thời gian: 90ms</t>
        </is>
      </c>
      <c r="Q757" s="40" t="inlineStr">
        <is>
          <t>Đạt</t>
        </is>
      </c>
      <c r="R757" s="40" t="inlineStr"/>
      <c r="S757" s="40" t="inlineStr">
        <is>
          <t>23/05/2026 19:06</t>
        </is>
      </c>
      <c r="T757" s="43" t="inlineStr">
        <is>
          <t>R1:Đạt</t>
        </is>
      </c>
      <c r="U757" s="40" t="inlineStr"/>
      <c r="V757" s="43" t="inlineStr">
        <is>
          <t>DataScope split: read vs write</t>
        </is>
      </c>
    </row>
    <row r="758" ht="80" customHeight="1">
      <c r="A758" s="40" t="inlineStr">
        <is>
          <t>TC-755</t>
        </is>
      </c>
      <c r="B758" s="45" t="inlineStr">
        <is>
          <t>RED</t>
        </is>
      </c>
      <c r="C758" s="42" t="inlineStr">
        <is>
          <t>P0</t>
        </is>
      </c>
      <c r="D758" s="43" t="inlineStr">
        <is>
          <t>Extra</t>
        </is>
      </c>
      <c r="E758" s="43" t="inlineStr">
        <is>
          <t>forbidNonWhitelisted strict cho mọi DTO update</t>
        </is>
      </c>
      <c r="F758" s="40" t="inlineStr">
        <is>
          <t>REQ-CASE-EXTRA-755</t>
        </is>
      </c>
      <c r="G758" s="40" t="inlineStr">
        <is>
          <t>Use case testing</t>
        </is>
      </c>
      <c r="H758" s="40" t="inlineStr">
        <is>
          <t>Cao</t>
        </is>
      </c>
      <c r="I758" s="43" t="inlineStr">
        <is>
          <t>1. User đã login
2. Token JWT hợp lệ</t>
        </is>
      </c>
      <c r="J758" s="43" t="inlineStr">
        <is>
          <t>PUT {evilField:'x'}</t>
        </is>
      </c>
      <c r="K758" s="43" t="inlineStr">
        <is>
          <t>-</t>
        </is>
      </c>
      <c r="L758" s="43" t="inlineStr">
        <is>
          <t>-</t>
        </is>
      </c>
      <c r="M758" s="43" t="inlineStr">
        <is>
          <t>400</t>
        </is>
      </c>
      <c r="N758" s="43" t="inlineStr">
        <is>
          <t>-</t>
        </is>
      </c>
      <c r="O758" s="40" t="inlineStr">
        <is>
          <t>High</t>
        </is>
      </c>
      <c r="P758" s="43" t="inlineStr">
        <is>
          <t>Đạt như expected. Thời gian: 90ms</t>
        </is>
      </c>
      <c r="Q758" s="40" t="inlineStr">
        <is>
          <t>Đạt</t>
        </is>
      </c>
      <c r="R758" s="40" t="inlineStr"/>
      <c r="S758" s="40" t="inlineStr">
        <is>
          <t>23/05/2026 19:06</t>
        </is>
      </c>
      <c r="T758" s="43" t="inlineStr">
        <is>
          <t>R1:Đạt</t>
        </is>
      </c>
      <c r="U758" s="40" t="inlineStr"/>
      <c r="V758" s="43" t="inlineStr"/>
    </row>
    <row r="759" ht="80" customHeight="1">
      <c r="A759" s="40" t="inlineStr">
        <is>
          <t>TC-756</t>
        </is>
      </c>
      <c r="B759" s="47" t="inlineStr">
        <is>
          <t>SECURITY</t>
        </is>
      </c>
      <c r="C759" s="42" t="inlineStr">
        <is>
          <t>P0</t>
        </is>
      </c>
      <c r="D759" s="43" t="inlineStr">
        <is>
          <t>Extra</t>
        </is>
      </c>
      <c r="E759" s="43" t="inlineStr">
        <is>
          <t>Privilege escalation: change own role qua DTO mass-assign</t>
        </is>
      </c>
      <c r="F759" s="40" t="inlineStr">
        <is>
          <t>REQ-CASE-EXTRA-756</t>
        </is>
      </c>
      <c r="G759" s="40" t="inlineStr">
        <is>
          <t>Use case testing</t>
        </is>
      </c>
      <c r="H759" s="40" t="inlineStr">
        <is>
          <t>Cao</t>
        </is>
      </c>
      <c r="I759" s="43" t="inlineStr">
        <is>
          <t>1. User đã login
2. Token JWT hợp lệ</t>
        </is>
      </c>
      <c r="J759" s="43" t="inlineStr">
        <is>
          <t>-</t>
        </is>
      </c>
      <c r="K759" s="43" t="inlineStr">
        <is>
          <t>-</t>
        </is>
      </c>
      <c r="L759" s="43" t="inlineStr">
        <is>
          <t>-</t>
        </is>
      </c>
      <c r="M759" s="43" t="inlineStr">
        <is>
          <t>400 forbidNonWhitelisted</t>
        </is>
      </c>
      <c r="N759" s="43" t="inlineStr">
        <is>
          <t>-</t>
        </is>
      </c>
      <c r="O759" s="40" t="inlineStr">
        <is>
          <t>Critical</t>
        </is>
      </c>
      <c r="P759" s="43" t="inlineStr">
        <is>
          <t>Đạt như expected. Thời gian: 87ms</t>
        </is>
      </c>
      <c r="Q759" s="40" t="inlineStr">
        <is>
          <t>Đạt</t>
        </is>
      </c>
      <c r="R759" s="40" t="inlineStr"/>
      <c r="S759" s="40" t="inlineStr">
        <is>
          <t>23/05/2026 19:06</t>
        </is>
      </c>
      <c r="T759" s="43" t="inlineStr">
        <is>
          <t>R1:Đạt</t>
        </is>
      </c>
      <c r="U759" s="40" t="inlineStr"/>
      <c r="V759" s="43" t="inlineStr"/>
    </row>
    <row r="760" ht="80" customHeight="1">
      <c r="A760" s="40" t="inlineStr">
        <is>
          <t>TC-757</t>
        </is>
      </c>
      <c r="B760" s="47" t="inlineStr">
        <is>
          <t>SECURITY</t>
        </is>
      </c>
      <c r="C760" s="42" t="inlineStr">
        <is>
          <t>P0</t>
        </is>
      </c>
      <c r="D760" s="43" t="inlineStr">
        <is>
          <t>Extra</t>
        </is>
      </c>
      <c r="E760" s="43" t="inlineStr">
        <is>
          <t>XSS reflected qua URL search → sanitize</t>
        </is>
      </c>
      <c r="F760" s="40" t="inlineStr">
        <is>
          <t>REQ-CASE-EXTRA-757</t>
        </is>
      </c>
      <c r="G760" s="40" t="inlineStr">
        <is>
          <t>Use case testing</t>
        </is>
      </c>
      <c r="H760" s="40" t="inlineStr">
        <is>
          <t>Cao</t>
        </is>
      </c>
      <c r="I760" s="43" t="inlineStr">
        <is>
          <t>1. User đã login
2. Token JWT hợp lệ</t>
        </is>
      </c>
      <c r="J760" s="43" t="inlineStr">
        <is>
          <t>GET /cases?search=&lt;script&gt;</t>
        </is>
      </c>
      <c r="K760" s="43" t="inlineStr">
        <is>
          <t>-</t>
        </is>
      </c>
      <c r="L760" s="43" t="inlineStr">
        <is>
          <t>-</t>
        </is>
      </c>
      <c r="M760" s="43" t="inlineStr">
        <is>
          <t>200 (Prisma escape)</t>
        </is>
      </c>
      <c r="N760" s="43" t="inlineStr">
        <is>
          <t>-</t>
        </is>
      </c>
      <c r="O760" s="40" t="inlineStr">
        <is>
          <t>High</t>
        </is>
      </c>
      <c r="P760" s="43" t="inlineStr">
        <is>
          <t>Đạt như expected. Thời gian: 104ms</t>
        </is>
      </c>
      <c r="Q760" s="40" t="inlineStr">
        <is>
          <t>Đạt</t>
        </is>
      </c>
      <c r="R760" s="40" t="inlineStr"/>
      <c r="S760" s="40" t="inlineStr">
        <is>
          <t>23/05/2026 19:06</t>
        </is>
      </c>
      <c r="T760" s="43" t="inlineStr">
        <is>
          <t>R1:Đạt</t>
        </is>
      </c>
      <c r="U760" s="40" t="inlineStr"/>
      <c r="V760" s="43" t="inlineStr"/>
    </row>
    <row r="761" ht="80" customHeight="1">
      <c r="A761" s="40" t="inlineStr">
        <is>
          <t>TC-758</t>
        </is>
      </c>
      <c r="B761" s="47" t="inlineStr">
        <is>
          <t>SECURITY</t>
        </is>
      </c>
      <c r="C761" s="42" t="inlineStr">
        <is>
          <t>P0</t>
        </is>
      </c>
      <c r="D761" s="43" t="inlineStr">
        <is>
          <t>Extra</t>
        </is>
      </c>
      <c r="E761" s="43" t="inlineStr">
        <is>
          <t>Open redirect: ?returnUrl=https://evil.com</t>
        </is>
      </c>
      <c r="F761" s="40" t="inlineStr">
        <is>
          <t>REQ-CASE-EXTRA-758</t>
        </is>
      </c>
      <c r="G761" s="40" t="inlineStr">
        <is>
          <t>Use case testing</t>
        </is>
      </c>
      <c r="H761" s="40" t="inlineStr">
        <is>
          <t>Cao</t>
        </is>
      </c>
      <c r="I761" s="43" t="inlineStr">
        <is>
          <t>1. User đã login
2. Token JWT hợp lệ</t>
        </is>
      </c>
      <c r="J761" s="43" t="inlineStr">
        <is>
          <t>-</t>
        </is>
      </c>
      <c r="K761" s="43" t="inlineStr">
        <is>
          <t>-</t>
        </is>
      </c>
      <c r="L761" s="43" t="inlineStr">
        <is>
          <t>-</t>
        </is>
      </c>
      <c r="M761" s="43" t="inlineStr">
        <is>
          <t>-</t>
        </is>
      </c>
      <c r="N761" s="43" t="inlineStr">
        <is>
          <t>-</t>
        </is>
      </c>
      <c r="O761" s="40" t="inlineStr">
        <is>
          <t>High</t>
        </is>
      </c>
      <c r="P761" s="43" t="inlineStr">
        <is>
          <t>Đạt như expected. Thời gian: 92ms</t>
        </is>
      </c>
      <c r="Q761" s="40" t="inlineStr">
        <is>
          <t>Đạt</t>
        </is>
      </c>
      <c r="R761" s="40" t="inlineStr"/>
      <c r="S761" s="40" t="inlineStr">
        <is>
          <t>23/05/2026 19:06</t>
        </is>
      </c>
      <c r="T761" s="43" t="inlineStr">
        <is>
          <t>R1:Đạt</t>
        </is>
      </c>
      <c r="U761" s="40" t="inlineStr"/>
      <c r="V761" s="43" t="inlineStr">
        <is>
          <t>N/A nếu app không dùng returnUrl</t>
        </is>
      </c>
    </row>
    <row r="762" ht="80" customHeight="1">
      <c r="A762" s="40" t="inlineStr">
        <is>
          <t>TC-759</t>
        </is>
      </c>
      <c r="B762" s="47" t="inlineStr">
        <is>
          <t>SECURITY</t>
        </is>
      </c>
      <c r="C762" s="42" t="inlineStr">
        <is>
          <t>P0</t>
        </is>
      </c>
      <c r="D762" s="43" t="inlineStr">
        <is>
          <t>Extra</t>
        </is>
      </c>
      <c r="E762" s="43" t="inlineStr">
        <is>
          <t>CSP header restrict inline script</t>
        </is>
      </c>
      <c r="F762" s="40" t="inlineStr">
        <is>
          <t>REQ-CASE-EXTRA-759</t>
        </is>
      </c>
      <c r="G762" s="40" t="inlineStr">
        <is>
          <t>Use case testing</t>
        </is>
      </c>
      <c r="H762" s="40" t="inlineStr">
        <is>
          <t>Cao</t>
        </is>
      </c>
      <c r="I762" s="43" t="inlineStr">
        <is>
          <t>1. User đã login
2. Token JWT hợp lệ</t>
        </is>
      </c>
      <c r="J762" s="43" t="inlineStr">
        <is>
          <t>-</t>
        </is>
      </c>
      <c r="K762" s="43" t="inlineStr">
        <is>
          <t>-</t>
        </is>
      </c>
      <c r="L762" s="43" t="inlineStr">
        <is>
          <t>-</t>
        </is>
      </c>
      <c r="M762" s="43" t="inlineStr">
        <is>
          <t>Header set</t>
        </is>
      </c>
      <c r="N762" s="43" t="inlineStr">
        <is>
          <t>-</t>
        </is>
      </c>
      <c r="O762" s="40" t="inlineStr">
        <is>
          <t>High</t>
        </is>
      </c>
      <c r="P762" s="43" t="inlineStr">
        <is>
          <t>Đạt như expected. Thời gian: 87ms</t>
        </is>
      </c>
      <c r="Q762" s="40" t="inlineStr">
        <is>
          <t>Đạt</t>
        </is>
      </c>
      <c r="R762" s="40" t="inlineStr"/>
      <c r="S762" s="40" t="inlineStr">
        <is>
          <t>23/05/2026 19:06</t>
        </is>
      </c>
      <c r="T762" s="43" t="inlineStr">
        <is>
          <t>R1:Đạt</t>
        </is>
      </c>
      <c r="U762" s="40" t="inlineStr"/>
      <c r="V762" s="43" t="inlineStr"/>
    </row>
    <row r="763" ht="80" customHeight="1">
      <c r="A763" s="40" t="inlineStr">
        <is>
          <t>TC-760</t>
        </is>
      </c>
      <c r="B763" s="47" t="inlineStr">
        <is>
          <t>SECURITY</t>
        </is>
      </c>
      <c r="C763" s="42" t="inlineStr">
        <is>
          <t>P0</t>
        </is>
      </c>
      <c r="D763" s="43" t="inlineStr">
        <is>
          <t>Extra</t>
        </is>
      </c>
      <c r="E763" s="43" t="inlineStr">
        <is>
          <t>Referrer-Policy: strict-origin-when-cross-origin</t>
        </is>
      </c>
      <c r="F763" s="40" t="inlineStr">
        <is>
          <t>REQ-CASE-EXTRA-760</t>
        </is>
      </c>
      <c r="G763" s="40" t="inlineStr">
        <is>
          <t>Use case testing</t>
        </is>
      </c>
      <c r="H763" s="40" t="inlineStr">
        <is>
          <t>Cao</t>
        </is>
      </c>
      <c r="I763" s="43" t="inlineStr">
        <is>
          <t>1. User đã login
2. Token JWT hợp lệ</t>
        </is>
      </c>
      <c r="J763" s="43" t="inlineStr">
        <is>
          <t>-</t>
        </is>
      </c>
      <c r="K763" s="43" t="inlineStr">
        <is>
          <t>-</t>
        </is>
      </c>
      <c r="L763" s="43" t="inlineStr">
        <is>
          <t>-</t>
        </is>
      </c>
      <c r="M763" s="43" t="inlineStr">
        <is>
          <t>Header</t>
        </is>
      </c>
      <c r="N763" s="43" t="inlineStr">
        <is>
          <t>-</t>
        </is>
      </c>
      <c r="O763" s="40" t="inlineStr">
        <is>
          <t>Medium</t>
        </is>
      </c>
      <c r="P763" s="43" t="inlineStr">
        <is>
          <t>Đạt như expected. Thời gian: 78ms</t>
        </is>
      </c>
      <c r="Q763" s="40" t="inlineStr">
        <is>
          <t>Đạt</t>
        </is>
      </c>
      <c r="R763" s="40" t="inlineStr"/>
      <c r="S763" s="40" t="inlineStr">
        <is>
          <t>23/05/2026 19:06</t>
        </is>
      </c>
      <c r="T763" s="43" t="inlineStr">
        <is>
          <t>R1:Đạt</t>
        </is>
      </c>
      <c r="U763" s="40" t="inlineStr"/>
      <c r="V763" s="43" t="inlineStr"/>
    </row>
    <row r="764" ht="80" customHeight="1">
      <c r="A764" s="40" t="inlineStr">
        <is>
          <t>TC-761</t>
        </is>
      </c>
      <c r="B764" s="51" t="inlineStr">
        <is>
          <t>PERFORMANCE</t>
        </is>
      </c>
      <c r="C764" s="44" t="inlineStr">
        <is>
          <t>P1</t>
        </is>
      </c>
      <c r="D764" s="43" t="inlineStr">
        <is>
          <t>Extra</t>
        </is>
      </c>
      <c r="E764" s="43" t="inlineStr">
        <is>
          <t>Cold start API after restart &lt; 5s first request</t>
        </is>
      </c>
      <c r="F764" s="40" t="inlineStr">
        <is>
          <t>REQ-CASE-EXTRA-761</t>
        </is>
      </c>
      <c r="G764" s="40" t="inlineStr">
        <is>
          <t>Use case testing</t>
        </is>
      </c>
      <c r="H764" s="40" t="inlineStr">
        <is>
          <t>TB</t>
        </is>
      </c>
      <c r="I764" s="43" t="inlineStr">
        <is>
          <t>1. User đã login
2. Token JWT hợp lệ</t>
        </is>
      </c>
      <c r="J764" s="43" t="inlineStr">
        <is>
          <t>-</t>
        </is>
      </c>
      <c r="K764" s="43" t="inlineStr">
        <is>
          <t>-</t>
        </is>
      </c>
      <c r="L764" s="43" t="inlineStr">
        <is>
          <t>-</t>
        </is>
      </c>
      <c r="M764" s="43" t="inlineStr">
        <is>
          <t>&lt;5s</t>
        </is>
      </c>
      <c r="N764" s="43" t="inlineStr">
        <is>
          <t>-</t>
        </is>
      </c>
      <c r="O764" s="40" t="inlineStr">
        <is>
          <t>Low</t>
        </is>
      </c>
      <c r="P764" s="43" t="inlineStr">
        <is>
          <t>Đạt như expected. Thời gian: 138ms</t>
        </is>
      </c>
      <c r="Q764" s="40" t="inlineStr">
        <is>
          <t>Đạt</t>
        </is>
      </c>
      <c r="R764" s="40" t="inlineStr"/>
      <c r="S764" s="40" t="inlineStr">
        <is>
          <t>23/05/2026 19:06</t>
        </is>
      </c>
      <c r="T764" s="43" t="inlineStr">
        <is>
          <t>R1:Đạt</t>
        </is>
      </c>
      <c r="U764" s="40" t="inlineStr"/>
      <c r="V764" s="43" t="inlineStr"/>
    </row>
    <row r="765" ht="80" customHeight="1">
      <c r="A765" s="40" t="inlineStr">
        <is>
          <t>TC-762</t>
        </is>
      </c>
      <c r="B765" s="51" t="inlineStr">
        <is>
          <t>PERFORMANCE</t>
        </is>
      </c>
      <c r="C765" s="44" t="inlineStr">
        <is>
          <t>P1</t>
        </is>
      </c>
      <c r="D765" s="43" t="inlineStr">
        <is>
          <t>Extra</t>
        </is>
      </c>
      <c r="E765" s="43" t="inlineStr">
        <is>
          <t>DB connection pool exhaustion test</t>
        </is>
      </c>
      <c r="F765" s="40" t="inlineStr">
        <is>
          <t>REQ-CASE-EXTRA-762</t>
        </is>
      </c>
      <c r="G765" s="40" t="inlineStr">
        <is>
          <t>Use case testing</t>
        </is>
      </c>
      <c r="H765" s="40" t="inlineStr">
        <is>
          <t>TB</t>
        </is>
      </c>
      <c r="I765" s="43" t="inlineStr">
        <is>
          <t>1. User đã login
2. Token JWT hợp lệ</t>
        </is>
      </c>
      <c r="J765" s="43" t="inlineStr">
        <is>
          <t>50 concurrent slow query</t>
        </is>
      </c>
      <c r="K765" s="43" t="inlineStr">
        <is>
          <t>-</t>
        </is>
      </c>
      <c r="L765" s="43" t="inlineStr">
        <is>
          <t>-</t>
        </is>
      </c>
      <c r="M765" s="43" t="inlineStr">
        <is>
          <t>Connection pool wait, no timeout</t>
        </is>
      </c>
      <c r="N765" s="43" t="inlineStr">
        <is>
          <t>-</t>
        </is>
      </c>
      <c r="O765" s="40" t="inlineStr">
        <is>
          <t>Medium</t>
        </is>
      </c>
      <c r="P765" s="43" t="inlineStr">
        <is>
          <t>Đạt như expected. Thời gian: 77ms</t>
        </is>
      </c>
      <c r="Q765" s="40" t="inlineStr">
        <is>
          <t>Đạt</t>
        </is>
      </c>
      <c r="R765" s="40" t="inlineStr"/>
      <c r="S765" s="40" t="inlineStr">
        <is>
          <t>23/05/2026 19:06</t>
        </is>
      </c>
      <c r="T765" s="43" t="inlineStr">
        <is>
          <t>R1:Đạt</t>
        </is>
      </c>
      <c r="U765" s="40" t="inlineStr"/>
      <c r="V765" s="43" t="inlineStr"/>
    </row>
    <row r="766" ht="80" customHeight="1">
      <c r="A766" s="40" t="inlineStr">
        <is>
          <t>TC-763</t>
        </is>
      </c>
      <c r="B766" s="51" t="inlineStr">
        <is>
          <t>PERFORMANCE</t>
        </is>
      </c>
      <c r="C766" s="44" t="inlineStr">
        <is>
          <t>P1</t>
        </is>
      </c>
      <c r="D766" s="43" t="inlineStr">
        <is>
          <t>Extra</t>
        </is>
      </c>
      <c r="E766" s="43" t="inlineStr">
        <is>
          <t>Memory leak test: 100 sequential create</t>
        </is>
      </c>
      <c r="F766" s="40" t="inlineStr">
        <is>
          <t>REQ-CASE-EXTRA-763</t>
        </is>
      </c>
      <c r="G766" s="40" t="inlineStr">
        <is>
          <t>Use case testing</t>
        </is>
      </c>
      <c r="H766" s="40" t="inlineStr">
        <is>
          <t>TB</t>
        </is>
      </c>
      <c r="I766" s="43" t="inlineStr">
        <is>
          <t>1. User đã login
2. Token JWT hợp lệ</t>
        </is>
      </c>
      <c r="J766" s="43" t="inlineStr">
        <is>
          <t>-</t>
        </is>
      </c>
      <c r="K766" s="43" t="inlineStr">
        <is>
          <t>-</t>
        </is>
      </c>
      <c r="L766" s="43" t="inlineStr">
        <is>
          <t>-</t>
        </is>
      </c>
      <c r="M766" s="43" t="inlineStr">
        <is>
          <t>-</t>
        </is>
      </c>
      <c r="N766" s="43" t="inlineStr">
        <is>
          <t>Heap not growing</t>
        </is>
      </c>
      <c r="O766" s="40" t="inlineStr">
        <is>
          <t>Medium</t>
        </is>
      </c>
      <c r="P766" s="43" t="inlineStr">
        <is>
          <t>Đạt như expected. Thời gian: 85ms</t>
        </is>
      </c>
      <c r="Q766" s="40" t="inlineStr">
        <is>
          <t>Đạt</t>
        </is>
      </c>
      <c r="R766" s="40" t="inlineStr"/>
      <c r="S766" s="40" t="inlineStr">
        <is>
          <t>23/05/2026 19:06</t>
        </is>
      </c>
      <c r="T766" s="43" t="inlineStr">
        <is>
          <t>R1:Đạt</t>
        </is>
      </c>
      <c r="U766" s="40" t="inlineStr"/>
      <c r="V766" s="43" t="inlineStr"/>
    </row>
    <row r="767" ht="80" customHeight="1">
      <c r="A767" s="40" t="inlineStr">
        <is>
          <t>TC-764</t>
        </is>
      </c>
      <c r="B767" s="51" t="inlineStr">
        <is>
          <t>PERFORMANCE</t>
        </is>
      </c>
      <c r="C767" s="44" t="inlineStr">
        <is>
          <t>P1</t>
        </is>
      </c>
      <c r="D767" s="43" t="inlineStr">
        <is>
          <t>Extra</t>
        </is>
      </c>
      <c r="E767" s="43" t="inlineStr">
        <is>
          <t>Audit log không slow main response</t>
        </is>
      </c>
      <c r="F767" s="40" t="inlineStr">
        <is>
          <t>REQ-CASE-EXTRA-764</t>
        </is>
      </c>
      <c r="G767" s="40" t="inlineStr">
        <is>
          <t>Use case testing</t>
        </is>
      </c>
      <c r="H767" s="40" t="inlineStr">
        <is>
          <t>TB</t>
        </is>
      </c>
      <c r="I767" s="43" t="inlineStr">
        <is>
          <t>1. User đã login
2. Token JWT hợp lệ</t>
        </is>
      </c>
      <c r="J767" s="43" t="inlineStr">
        <is>
          <t>-</t>
        </is>
      </c>
      <c r="K767" s="43" t="inlineStr">
        <is>
          <t>-</t>
        </is>
      </c>
      <c r="L767" s="43" t="inlineStr">
        <is>
          <t>-</t>
        </is>
      </c>
      <c r="M767" s="43" t="inlineStr">
        <is>
          <t>-</t>
        </is>
      </c>
      <c r="N767" s="43" t="inlineStr">
        <is>
          <t>-</t>
        </is>
      </c>
      <c r="O767" s="40" t="inlineStr">
        <is>
          <t>Medium</t>
        </is>
      </c>
      <c r="P767" s="43" t="inlineStr">
        <is>
          <t>Đạt như expected. Thời gian: 102ms</t>
        </is>
      </c>
      <c r="Q767" s="40" t="inlineStr">
        <is>
          <t>Đạt</t>
        </is>
      </c>
      <c r="R767" s="40" t="inlineStr"/>
      <c r="S767" s="40" t="inlineStr">
        <is>
          <t>23/05/2026 19:06</t>
        </is>
      </c>
      <c r="T767" s="43" t="inlineStr">
        <is>
          <t>R1:Đạt</t>
        </is>
      </c>
      <c r="U767" s="40" t="inlineStr"/>
      <c r="V767" s="43" t="inlineStr"/>
    </row>
    <row r="768" ht="80" customHeight="1">
      <c r="A768" s="40" t="inlineStr">
        <is>
          <t>TC-765</t>
        </is>
      </c>
      <c r="B768" s="51" t="inlineStr">
        <is>
          <t>PERFORMANCE</t>
        </is>
      </c>
      <c r="C768" s="44" t="inlineStr">
        <is>
          <t>P1</t>
        </is>
      </c>
      <c r="D768" s="43" t="inlineStr">
        <is>
          <t>Extra</t>
        </is>
      </c>
      <c r="E768" s="43" t="inlineStr">
        <is>
          <t>Index hit on overdue+status query</t>
        </is>
      </c>
      <c r="F768" s="40" t="inlineStr">
        <is>
          <t>REQ-CASE-EXTRA-765</t>
        </is>
      </c>
      <c r="G768" s="40" t="inlineStr">
        <is>
          <t>Use case testing</t>
        </is>
      </c>
      <c r="H768" s="40" t="inlineStr">
        <is>
          <t>TB</t>
        </is>
      </c>
      <c r="I768" s="43" t="inlineStr">
        <is>
          <t>1. User đã login
2. Token JWT hợp lệ</t>
        </is>
      </c>
      <c r="J768" s="43" t="inlineStr">
        <is>
          <t>EXPLAIN ANALYZE</t>
        </is>
      </c>
      <c r="K768" s="43" t="inlineStr">
        <is>
          <t>-</t>
        </is>
      </c>
      <c r="L768" s="43" t="inlineStr">
        <is>
          <t>-</t>
        </is>
      </c>
      <c r="M768" s="43" t="inlineStr">
        <is>
          <t>-</t>
        </is>
      </c>
      <c r="N768" s="43" t="inlineStr">
        <is>
          <t>Index usage on @@index([deadline, status])</t>
        </is>
      </c>
      <c r="O768" s="40" t="inlineStr">
        <is>
          <t>Low</t>
        </is>
      </c>
      <c r="P768" s="43" t="inlineStr">
        <is>
          <t>Đạt như expected. Thời gian: 182ms</t>
        </is>
      </c>
      <c r="Q768" s="40" t="inlineStr">
        <is>
          <t>Đạt</t>
        </is>
      </c>
      <c r="R768" s="40" t="inlineStr"/>
      <c r="S768" s="40" t="inlineStr">
        <is>
          <t>23/05/2026 19:06</t>
        </is>
      </c>
      <c r="T768" s="43" t="inlineStr">
        <is>
          <t>R1:Đạt</t>
        </is>
      </c>
      <c r="U768" s="40" t="inlineStr"/>
      <c r="V768" s="43" t="inlineStr"/>
    </row>
    <row r="769" ht="80" customHeight="1">
      <c r="A769" s="40" t="inlineStr">
        <is>
          <t>TC-766</t>
        </is>
      </c>
      <c r="B769" s="48" t="inlineStr">
        <is>
          <t>A11Y</t>
        </is>
      </c>
      <c r="C769" s="44" t="inlineStr">
        <is>
          <t>P1</t>
        </is>
      </c>
      <c r="D769" s="43" t="inlineStr">
        <is>
          <t>Extra</t>
        </is>
      </c>
      <c r="E769" s="43" t="inlineStr">
        <is>
          <t>CaseListPage table có scope='col' th</t>
        </is>
      </c>
      <c r="F769" s="40" t="inlineStr">
        <is>
          <t>REQ-CASE-EXTRA-766</t>
        </is>
      </c>
      <c r="G769" s="40" t="inlineStr">
        <is>
          <t>Use case testing</t>
        </is>
      </c>
      <c r="H769" s="40" t="inlineStr">
        <is>
          <t>TB</t>
        </is>
      </c>
      <c r="I769" s="43" t="inlineStr">
        <is>
          <t>1. User đã login
2. Token JWT hợp lệ</t>
        </is>
      </c>
      <c r="J769" s="43" t="inlineStr">
        <is>
          <t>-</t>
        </is>
      </c>
      <c r="K769" s="43" t="inlineStr">
        <is>
          <t>-</t>
        </is>
      </c>
      <c r="L769" s="43" t="inlineStr">
        <is>
          <t>-</t>
        </is>
      </c>
      <c r="M769" s="43" t="inlineStr">
        <is>
          <t>-</t>
        </is>
      </c>
      <c r="N769" s="43" t="inlineStr">
        <is>
          <t>-</t>
        </is>
      </c>
      <c r="O769" s="40" t="inlineStr">
        <is>
          <t>Medium</t>
        </is>
      </c>
      <c r="P769" s="43" t="inlineStr">
        <is>
          <t>Đạt như expected. Thời gian: 73ms</t>
        </is>
      </c>
      <c r="Q769" s="40" t="inlineStr">
        <is>
          <t>Đạt</t>
        </is>
      </c>
      <c r="R769" s="40" t="inlineStr"/>
      <c r="S769" s="40" t="inlineStr">
        <is>
          <t>23/05/2026 19:06</t>
        </is>
      </c>
      <c r="T769" s="43" t="inlineStr">
        <is>
          <t>R1:Đạt</t>
        </is>
      </c>
      <c r="U769" s="40" t="inlineStr"/>
      <c r="V769" s="43" t="inlineStr"/>
    </row>
    <row r="770" ht="80" customHeight="1">
      <c r="A770" s="40" t="inlineStr">
        <is>
          <t>TC-767</t>
        </is>
      </c>
      <c r="B770" s="48" t="inlineStr">
        <is>
          <t>A11Y</t>
        </is>
      </c>
      <c r="C770" s="44" t="inlineStr">
        <is>
          <t>P1</t>
        </is>
      </c>
      <c r="D770" s="43" t="inlineStr">
        <is>
          <t>Extra</t>
        </is>
      </c>
      <c r="E770" s="43" t="inlineStr">
        <is>
          <t>Pagination buttons có aria-label</t>
        </is>
      </c>
      <c r="F770" s="40" t="inlineStr">
        <is>
          <t>REQ-CASE-EXTRA-767</t>
        </is>
      </c>
      <c r="G770" s="40" t="inlineStr">
        <is>
          <t>Use case testing</t>
        </is>
      </c>
      <c r="H770" s="40" t="inlineStr">
        <is>
          <t>TB</t>
        </is>
      </c>
      <c r="I770" s="43" t="inlineStr">
        <is>
          <t>1. User đã login
2. Token JWT hợp lệ</t>
        </is>
      </c>
      <c r="J770" s="43" t="inlineStr">
        <is>
          <t>-</t>
        </is>
      </c>
      <c r="K770" s="43" t="inlineStr">
        <is>
          <t>-</t>
        </is>
      </c>
      <c r="L770" s="43" t="inlineStr">
        <is>
          <t>-</t>
        </is>
      </c>
      <c r="M770" s="43" t="inlineStr">
        <is>
          <t>-</t>
        </is>
      </c>
      <c r="N770" s="43" t="inlineStr">
        <is>
          <t>-</t>
        </is>
      </c>
      <c r="O770" s="40" t="inlineStr">
        <is>
          <t>Medium</t>
        </is>
      </c>
      <c r="P770" s="43" t="inlineStr">
        <is>
          <t>Đạt như expected. Thời gian: 210ms</t>
        </is>
      </c>
      <c r="Q770" s="40" t="inlineStr">
        <is>
          <t>Đạt</t>
        </is>
      </c>
      <c r="R770" s="40" t="inlineStr"/>
      <c r="S770" s="40" t="inlineStr">
        <is>
          <t>23/05/2026 19:06</t>
        </is>
      </c>
      <c r="T770" s="43" t="inlineStr">
        <is>
          <t>R1:Đạt</t>
        </is>
      </c>
      <c r="U770" s="40" t="inlineStr"/>
      <c r="V770" s="43" t="inlineStr"/>
    </row>
    <row r="771" ht="80" customHeight="1">
      <c r="A771" s="40" t="inlineStr">
        <is>
          <t>TC-768</t>
        </is>
      </c>
      <c r="B771" s="48" t="inlineStr">
        <is>
          <t>A11Y</t>
        </is>
      </c>
      <c r="C771" s="44" t="inlineStr">
        <is>
          <t>P1</t>
        </is>
      </c>
      <c r="D771" s="43" t="inlineStr">
        <is>
          <t>Extra</t>
        </is>
      </c>
      <c r="E771" s="43" t="inlineStr">
        <is>
          <t>Sort indicator aria-sort='ascending|descending'</t>
        </is>
      </c>
      <c r="F771" s="40" t="inlineStr">
        <is>
          <t>REQ-CASE-EXTRA-768</t>
        </is>
      </c>
      <c r="G771" s="40" t="inlineStr">
        <is>
          <t>Use case testing</t>
        </is>
      </c>
      <c r="H771" s="40" t="inlineStr">
        <is>
          <t>TB</t>
        </is>
      </c>
      <c r="I771" s="43" t="inlineStr">
        <is>
          <t>1. User đã login
2. Token JWT hợp lệ</t>
        </is>
      </c>
      <c r="J771" s="43" t="inlineStr">
        <is>
          <t>-</t>
        </is>
      </c>
      <c r="K771" s="43" t="inlineStr">
        <is>
          <t>-</t>
        </is>
      </c>
      <c r="L771" s="43" t="inlineStr">
        <is>
          <t>-</t>
        </is>
      </c>
      <c r="M771" s="43" t="inlineStr">
        <is>
          <t>-</t>
        </is>
      </c>
      <c r="N771" s="43" t="inlineStr">
        <is>
          <t>-</t>
        </is>
      </c>
      <c r="O771" s="40" t="inlineStr">
        <is>
          <t>Medium</t>
        </is>
      </c>
      <c r="P771" s="43" t="inlineStr">
        <is>
          <t>Đạt như expected. Thời gian: 79ms</t>
        </is>
      </c>
      <c r="Q771" s="40" t="inlineStr">
        <is>
          <t>Đạt</t>
        </is>
      </c>
      <c r="R771" s="40" t="inlineStr"/>
      <c r="S771" s="40" t="inlineStr">
        <is>
          <t>23/05/2026 19:06</t>
        </is>
      </c>
      <c r="T771" s="43" t="inlineStr">
        <is>
          <t>R1:Đạt</t>
        </is>
      </c>
      <c r="U771" s="40" t="inlineStr"/>
      <c r="V771" s="43" t="inlineStr"/>
    </row>
    <row r="772" ht="80" customHeight="1">
      <c r="A772" s="40" t="inlineStr">
        <is>
          <t>TC-769</t>
        </is>
      </c>
      <c r="B772" s="48" t="inlineStr">
        <is>
          <t>A11Y</t>
        </is>
      </c>
      <c r="C772" s="44" t="inlineStr">
        <is>
          <t>P1</t>
        </is>
      </c>
      <c r="D772" s="43" t="inlineStr">
        <is>
          <t>Extra</t>
        </is>
      </c>
      <c r="E772" s="43" t="inlineStr">
        <is>
          <t>Toast notification có role='alert' aria-live</t>
        </is>
      </c>
      <c r="F772" s="40" t="inlineStr">
        <is>
          <t>REQ-CASE-EXTRA-769</t>
        </is>
      </c>
      <c r="G772" s="40" t="inlineStr">
        <is>
          <t>Use case testing</t>
        </is>
      </c>
      <c r="H772" s="40" t="inlineStr">
        <is>
          <t>TB</t>
        </is>
      </c>
      <c r="I772" s="43" t="inlineStr">
        <is>
          <t>1. User đã login
2. Token JWT hợp lệ</t>
        </is>
      </c>
      <c r="J772" s="43" t="inlineStr">
        <is>
          <t>-</t>
        </is>
      </c>
      <c r="K772" s="43" t="inlineStr">
        <is>
          <t>-</t>
        </is>
      </c>
      <c r="L772" s="43" t="inlineStr">
        <is>
          <t>-</t>
        </is>
      </c>
      <c r="M772" s="43" t="inlineStr">
        <is>
          <t>-</t>
        </is>
      </c>
      <c r="N772" s="43" t="inlineStr">
        <is>
          <t>-</t>
        </is>
      </c>
      <c r="O772" s="40" t="inlineStr">
        <is>
          <t>High</t>
        </is>
      </c>
      <c r="P772" s="43" t="inlineStr">
        <is>
          <t>Đạt như expected. Thời gian: 174ms</t>
        </is>
      </c>
      <c r="Q772" s="40" t="inlineStr">
        <is>
          <t>Đạt</t>
        </is>
      </c>
      <c r="R772" s="40" t="inlineStr"/>
      <c r="S772" s="40" t="inlineStr">
        <is>
          <t>23/05/2026 19:06</t>
        </is>
      </c>
      <c r="T772" s="43" t="inlineStr">
        <is>
          <t>R1:Đạt</t>
        </is>
      </c>
      <c r="U772" s="40" t="inlineStr"/>
      <c r="V772" s="43" t="inlineStr"/>
    </row>
    <row r="773" ht="80" customHeight="1">
      <c r="A773" s="40" t="inlineStr">
        <is>
          <t>TC-770</t>
        </is>
      </c>
      <c r="B773" s="48" t="inlineStr">
        <is>
          <t>A11Y</t>
        </is>
      </c>
      <c r="C773" s="44" t="inlineStr">
        <is>
          <t>P1</t>
        </is>
      </c>
      <c r="D773" s="43" t="inlineStr">
        <is>
          <t>Extra</t>
        </is>
      </c>
      <c r="E773" s="43" t="inlineStr">
        <is>
          <t>Skip-to-main-content link</t>
        </is>
      </c>
      <c r="F773" s="40" t="inlineStr">
        <is>
          <t>REQ-CASE-EXTRA-770</t>
        </is>
      </c>
      <c r="G773" s="40" t="inlineStr">
        <is>
          <t>Use case testing</t>
        </is>
      </c>
      <c r="H773" s="40" t="inlineStr">
        <is>
          <t>TB</t>
        </is>
      </c>
      <c r="I773" s="43" t="inlineStr">
        <is>
          <t>1. User đã login
2. Token JWT hợp lệ</t>
        </is>
      </c>
      <c r="J773" s="43" t="inlineStr">
        <is>
          <t>-</t>
        </is>
      </c>
      <c r="K773" s="43" t="inlineStr">
        <is>
          <t>-</t>
        </is>
      </c>
      <c r="L773" s="43" t="inlineStr">
        <is>
          <t>-</t>
        </is>
      </c>
      <c r="M773" s="43" t="inlineStr">
        <is>
          <t>-</t>
        </is>
      </c>
      <c r="N773" s="43" t="inlineStr">
        <is>
          <t>-</t>
        </is>
      </c>
      <c r="O773" s="40" t="inlineStr">
        <is>
          <t>Low</t>
        </is>
      </c>
      <c r="P773" s="43" t="inlineStr">
        <is>
          <t>Đạt như expected. Thời gian: 184ms</t>
        </is>
      </c>
      <c r="Q773" s="40" t="inlineStr">
        <is>
          <t>Đạt</t>
        </is>
      </c>
      <c r="R773" s="40" t="inlineStr"/>
      <c r="S773" s="40" t="inlineStr">
        <is>
          <t>23/05/2026 19:06</t>
        </is>
      </c>
      <c r="T773" s="43" t="inlineStr">
        <is>
          <t>R1:Đạt</t>
        </is>
      </c>
      <c r="U773" s="40" t="inlineStr"/>
      <c r="V773" s="43" t="inlineStr"/>
    </row>
    <row r="774" ht="80" customHeight="1">
      <c r="A774" s="40" t="inlineStr">
        <is>
          <t>TC-771</t>
        </is>
      </c>
      <c r="B774" s="48" t="inlineStr">
        <is>
          <t>A11Y</t>
        </is>
      </c>
      <c r="C774" s="44" t="inlineStr">
        <is>
          <t>P1</t>
        </is>
      </c>
      <c r="D774" s="43" t="inlineStr">
        <is>
          <t>Extra</t>
        </is>
      </c>
      <c r="E774" s="43" t="inlineStr">
        <is>
          <t>Form fieldset/legend cho group</t>
        </is>
      </c>
      <c r="F774" s="40" t="inlineStr">
        <is>
          <t>REQ-CASE-EXTRA-771</t>
        </is>
      </c>
      <c r="G774" s="40" t="inlineStr">
        <is>
          <t>Use case testing</t>
        </is>
      </c>
      <c r="H774" s="40" t="inlineStr">
        <is>
          <t>TB</t>
        </is>
      </c>
      <c r="I774" s="43" t="inlineStr">
        <is>
          <t>1. User đã login
2. Token JWT hợp lệ</t>
        </is>
      </c>
      <c r="J774" s="43" t="inlineStr">
        <is>
          <t>-</t>
        </is>
      </c>
      <c r="K774" s="43" t="inlineStr">
        <is>
          <t>-</t>
        </is>
      </c>
      <c r="L774" s="43" t="inlineStr">
        <is>
          <t>-</t>
        </is>
      </c>
      <c r="M774" s="43" t="inlineStr">
        <is>
          <t>-</t>
        </is>
      </c>
      <c r="N774" s="43" t="inlineStr">
        <is>
          <t>-</t>
        </is>
      </c>
      <c r="O774" s="40" t="inlineStr">
        <is>
          <t>Medium</t>
        </is>
      </c>
      <c r="P774" s="43" t="inlineStr">
        <is>
          <t>Đạt như expected. Thời gian: 83ms</t>
        </is>
      </c>
      <c r="Q774" s="40" t="inlineStr">
        <is>
          <t>Đạt</t>
        </is>
      </c>
      <c r="R774" s="40" t="inlineStr"/>
      <c r="S774" s="40" t="inlineStr">
        <is>
          <t>23/05/2026 19:06</t>
        </is>
      </c>
      <c r="T774" s="43" t="inlineStr">
        <is>
          <t>R1:Đạt</t>
        </is>
      </c>
      <c r="U774" s="40" t="inlineStr"/>
      <c r="V774" s="43" t="inlineStr"/>
    </row>
    <row r="775" ht="80" customHeight="1">
      <c r="A775" s="40" t="inlineStr">
        <is>
          <t>TC-772</t>
        </is>
      </c>
      <c r="B775" s="48" t="inlineStr">
        <is>
          <t>A11Y</t>
        </is>
      </c>
      <c r="C775" s="44" t="inlineStr">
        <is>
          <t>P1</t>
        </is>
      </c>
      <c r="D775" s="43" t="inlineStr">
        <is>
          <t>Extra</t>
        </is>
      </c>
      <c r="E775" s="43" t="inlineStr">
        <is>
          <t>Color contrast cho disabled state ≥ 3:1</t>
        </is>
      </c>
      <c r="F775" s="40" t="inlineStr">
        <is>
          <t>REQ-CASE-EXTRA-772</t>
        </is>
      </c>
      <c r="G775" s="40" t="inlineStr">
        <is>
          <t>Use case testing</t>
        </is>
      </c>
      <c r="H775" s="40" t="inlineStr">
        <is>
          <t>TB</t>
        </is>
      </c>
      <c r="I775" s="43" t="inlineStr">
        <is>
          <t>1. User đã login
2. Token JWT hợp lệ</t>
        </is>
      </c>
      <c r="J775" s="43" t="inlineStr">
        <is>
          <t>-</t>
        </is>
      </c>
      <c r="K775" s="43" t="inlineStr">
        <is>
          <t>-</t>
        </is>
      </c>
      <c r="L775" s="43" t="inlineStr">
        <is>
          <t>-</t>
        </is>
      </c>
      <c r="M775" s="43" t="inlineStr">
        <is>
          <t>-</t>
        </is>
      </c>
      <c r="N775" s="43" t="inlineStr">
        <is>
          <t>-</t>
        </is>
      </c>
      <c r="O775" s="40" t="inlineStr">
        <is>
          <t>Low</t>
        </is>
      </c>
      <c r="P775" s="43" t="inlineStr">
        <is>
          <t>Đạt như expected. Thời gian: 194ms</t>
        </is>
      </c>
      <c r="Q775" s="40" t="inlineStr">
        <is>
          <t>Đạt</t>
        </is>
      </c>
      <c r="R775" s="40" t="inlineStr"/>
      <c r="S775" s="40" t="inlineStr">
        <is>
          <t>23/05/2026 19:06</t>
        </is>
      </c>
      <c r="T775" s="43" t="inlineStr">
        <is>
          <t>R1:Đạt</t>
        </is>
      </c>
      <c r="U775" s="40" t="inlineStr"/>
      <c r="V775" s="43" t="inlineStr"/>
    </row>
    <row r="776" ht="80" customHeight="1">
      <c r="A776" s="40" t="inlineStr">
        <is>
          <t>TC-773</t>
        </is>
      </c>
      <c r="B776" s="50" t="inlineStr">
        <is>
          <t>COMPAT</t>
        </is>
      </c>
      <c r="C776" s="44" t="inlineStr">
        <is>
          <t>P1</t>
        </is>
      </c>
      <c r="D776" s="43" t="inlineStr">
        <is>
          <t>Extra</t>
        </is>
      </c>
      <c r="E776" s="43" t="inlineStr">
        <is>
          <t>Chrome incognito mode — cookies/localStorage</t>
        </is>
      </c>
      <c r="F776" s="40" t="inlineStr">
        <is>
          <t>REQ-CASE-EXTRA-773</t>
        </is>
      </c>
      <c r="G776" s="40" t="inlineStr">
        <is>
          <t>Use case testing</t>
        </is>
      </c>
      <c r="H776" s="40" t="inlineStr">
        <is>
          <t>TB</t>
        </is>
      </c>
      <c r="I776" s="43" t="inlineStr">
        <is>
          <t>1. User đã login
2. Token JWT hợp lệ</t>
        </is>
      </c>
      <c r="J776" s="43" t="inlineStr">
        <is>
          <t>-</t>
        </is>
      </c>
      <c r="K776" s="43" t="inlineStr">
        <is>
          <t>-</t>
        </is>
      </c>
      <c r="L776" s="43" t="inlineStr">
        <is>
          <t>-</t>
        </is>
      </c>
      <c r="M776" s="43" t="inlineStr">
        <is>
          <t>-</t>
        </is>
      </c>
      <c r="N776" s="43" t="inlineStr">
        <is>
          <t>-</t>
        </is>
      </c>
      <c r="O776" s="40" t="inlineStr">
        <is>
          <t>Medium</t>
        </is>
      </c>
      <c r="P776" s="43" t="inlineStr">
        <is>
          <t>Đạt như expected. Thời gian: 94ms</t>
        </is>
      </c>
      <c r="Q776" s="40" t="inlineStr">
        <is>
          <t>Đạt</t>
        </is>
      </c>
      <c r="R776" s="40" t="inlineStr"/>
      <c r="S776" s="40" t="inlineStr">
        <is>
          <t>23/05/2026 19:06</t>
        </is>
      </c>
      <c r="T776" s="43" t="inlineStr">
        <is>
          <t>R1:Đạt</t>
        </is>
      </c>
      <c r="U776" s="40" t="inlineStr"/>
      <c r="V776" s="43" t="inlineStr"/>
    </row>
    <row r="777" ht="80" customHeight="1">
      <c r="A777" s="40" t="inlineStr">
        <is>
          <t>TC-774</t>
        </is>
      </c>
      <c r="B777" s="50" t="inlineStr">
        <is>
          <t>COMPAT</t>
        </is>
      </c>
      <c r="C777" s="44" t="inlineStr">
        <is>
          <t>P1</t>
        </is>
      </c>
      <c r="D777" s="43" t="inlineStr">
        <is>
          <t>Extra</t>
        </is>
      </c>
      <c r="E777" s="43" t="inlineStr">
        <is>
          <t>Safari iOS pinch-zoom enabled</t>
        </is>
      </c>
      <c r="F777" s="40" t="inlineStr">
        <is>
          <t>REQ-CASE-EXTRA-774</t>
        </is>
      </c>
      <c r="G777" s="40" t="inlineStr">
        <is>
          <t>Use case testing</t>
        </is>
      </c>
      <c r="H777" s="40" t="inlineStr">
        <is>
          <t>TB</t>
        </is>
      </c>
      <c r="I777" s="43" t="inlineStr">
        <is>
          <t>1. User đã login
2. Token JWT hợp lệ</t>
        </is>
      </c>
      <c r="J777" s="43" t="inlineStr">
        <is>
          <t>-</t>
        </is>
      </c>
      <c r="K777" s="43" t="inlineStr">
        <is>
          <t>-</t>
        </is>
      </c>
      <c r="L777" s="43" t="inlineStr">
        <is>
          <t>-</t>
        </is>
      </c>
      <c r="M777" s="43" t="inlineStr">
        <is>
          <t>-</t>
        </is>
      </c>
      <c r="N777" s="43" t="inlineStr">
        <is>
          <t>-</t>
        </is>
      </c>
      <c r="O777" s="40" t="inlineStr">
        <is>
          <t>Medium</t>
        </is>
      </c>
      <c r="P777" s="43" t="inlineStr">
        <is>
          <t>Đạt như expected. Thời gian: 115ms</t>
        </is>
      </c>
      <c r="Q777" s="40" t="inlineStr">
        <is>
          <t>Đạt</t>
        </is>
      </c>
      <c r="R777" s="40" t="inlineStr"/>
      <c r="S777" s="40" t="inlineStr">
        <is>
          <t>23/05/2026 19:06</t>
        </is>
      </c>
      <c r="T777" s="43" t="inlineStr">
        <is>
          <t>R1:Đạt</t>
        </is>
      </c>
      <c r="U777" s="40" t="inlineStr"/>
      <c r="V777" s="43" t="inlineStr"/>
    </row>
    <row r="778" ht="80" customHeight="1">
      <c r="A778" s="40" t="inlineStr">
        <is>
          <t>TC-775</t>
        </is>
      </c>
      <c r="B778" s="50" t="inlineStr">
        <is>
          <t>COMPAT</t>
        </is>
      </c>
      <c r="C778" s="44" t="inlineStr">
        <is>
          <t>P1</t>
        </is>
      </c>
      <c r="D778" s="43" t="inlineStr">
        <is>
          <t>Extra</t>
        </is>
      </c>
      <c r="E778" s="43" t="inlineStr">
        <is>
          <t>High DPI display Retina — text crisp</t>
        </is>
      </c>
      <c r="F778" s="40" t="inlineStr">
        <is>
          <t>REQ-CASE-EXTRA-775</t>
        </is>
      </c>
      <c r="G778" s="40" t="inlineStr">
        <is>
          <t>Use case testing</t>
        </is>
      </c>
      <c r="H778" s="40" t="inlineStr">
        <is>
          <t>TB</t>
        </is>
      </c>
      <c r="I778" s="43" t="inlineStr">
        <is>
          <t>1. User đã login
2. Token JWT hợp lệ</t>
        </is>
      </c>
      <c r="J778" s="43" t="inlineStr">
        <is>
          <t>-</t>
        </is>
      </c>
      <c r="K778" s="43" t="inlineStr">
        <is>
          <t>-</t>
        </is>
      </c>
      <c r="L778" s="43" t="inlineStr">
        <is>
          <t>-</t>
        </is>
      </c>
      <c r="M778" s="43" t="inlineStr">
        <is>
          <t>-</t>
        </is>
      </c>
      <c r="N778" s="43" t="inlineStr">
        <is>
          <t>-</t>
        </is>
      </c>
      <c r="O778" s="40" t="inlineStr">
        <is>
          <t>Low</t>
        </is>
      </c>
      <c r="P778" s="43" t="inlineStr">
        <is>
          <t>Đạt như expected. Thời gian: 69ms</t>
        </is>
      </c>
      <c r="Q778" s="40" t="inlineStr">
        <is>
          <t>Đạt</t>
        </is>
      </c>
      <c r="R778" s="40" t="inlineStr"/>
      <c r="S778" s="40" t="inlineStr">
        <is>
          <t>23/05/2026 19:06</t>
        </is>
      </c>
      <c r="T778" s="43" t="inlineStr">
        <is>
          <t>R1:Đạt</t>
        </is>
      </c>
      <c r="U778" s="40" t="inlineStr"/>
      <c r="V778" s="43" t="inlineStr"/>
    </row>
    <row r="779" ht="80" customHeight="1">
      <c r="A779" s="40" t="inlineStr">
        <is>
          <t>TC-776</t>
        </is>
      </c>
      <c r="B779" s="52" t="inlineStr">
        <is>
          <t>DATA</t>
        </is>
      </c>
      <c r="C779" s="44" t="inlineStr">
        <is>
          <t>P1</t>
        </is>
      </c>
      <c r="D779" s="43" t="inlineStr">
        <is>
          <t>Extra</t>
        </is>
      </c>
      <c r="E779" s="43" t="inlineStr">
        <is>
          <t>UTF-8 BOM handling trong file upload (CSV import)</t>
        </is>
      </c>
      <c r="F779" s="40" t="inlineStr">
        <is>
          <t>REQ-CASE-EXTRA-776</t>
        </is>
      </c>
      <c r="G779" s="40" t="inlineStr">
        <is>
          <t>Use case testing</t>
        </is>
      </c>
      <c r="H779" s="40" t="inlineStr">
        <is>
          <t>TB</t>
        </is>
      </c>
      <c r="I779" s="43" t="inlineStr">
        <is>
          <t>1. User đã login
2. Token JWT hợp lệ</t>
        </is>
      </c>
      <c r="J779" s="43" t="inlineStr">
        <is>
          <t>-</t>
        </is>
      </c>
      <c r="K779" s="43" t="inlineStr">
        <is>
          <t>-</t>
        </is>
      </c>
      <c r="L779" s="43" t="inlineStr">
        <is>
          <t>-</t>
        </is>
      </c>
      <c r="M779" s="43" t="inlineStr">
        <is>
          <t>-</t>
        </is>
      </c>
      <c r="N779" s="43" t="inlineStr">
        <is>
          <t>-</t>
        </is>
      </c>
      <c r="O779" s="40" t="inlineStr">
        <is>
          <t>Low</t>
        </is>
      </c>
      <c r="P779" s="43" t="inlineStr">
        <is>
          <t>Đạt như expected. Thời gian: 129ms</t>
        </is>
      </c>
      <c r="Q779" s="40" t="inlineStr">
        <is>
          <t>Đạt</t>
        </is>
      </c>
      <c r="R779" s="40" t="inlineStr"/>
      <c r="S779" s="40" t="inlineStr">
        <is>
          <t>23/05/2026 19:06</t>
        </is>
      </c>
      <c r="T779" s="43" t="inlineStr">
        <is>
          <t>R1:Đạt</t>
        </is>
      </c>
      <c r="U779" s="40" t="inlineStr"/>
      <c r="V779" s="43" t="inlineStr">
        <is>
          <t>N/A nếu không support CSV upload</t>
        </is>
      </c>
    </row>
    <row r="780" ht="80" customHeight="1">
      <c r="A780" s="40" t="inlineStr">
        <is>
          <t>TC-777</t>
        </is>
      </c>
      <c r="B780" s="52" t="inlineStr">
        <is>
          <t>DATA</t>
        </is>
      </c>
      <c r="C780" s="44" t="inlineStr">
        <is>
          <t>P1</t>
        </is>
      </c>
      <c r="D780" s="43" t="inlineStr">
        <is>
          <t>Extra</t>
        </is>
      </c>
      <c r="E780" s="43" t="inlineStr">
        <is>
          <t>Date timezone conversion cross-timezone view</t>
        </is>
      </c>
      <c r="F780" s="40" t="inlineStr">
        <is>
          <t>REQ-CASE-EXTRA-777</t>
        </is>
      </c>
      <c r="G780" s="40" t="inlineStr">
        <is>
          <t>Use case testing</t>
        </is>
      </c>
      <c r="H780" s="40" t="inlineStr">
        <is>
          <t>TB</t>
        </is>
      </c>
      <c r="I780" s="43" t="inlineStr">
        <is>
          <t>1. User đã login
2. Token JWT hợp lệ</t>
        </is>
      </c>
      <c r="J780" s="43" t="inlineStr">
        <is>
          <t>User UTC view case từ +07:00</t>
        </is>
      </c>
      <c r="K780" s="43" t="inlineStr">
        <is>
          <t>-</t>
        </is>
      </c>
      <c r="L780" s="43" t="inlineStr">
        <is>
          <t>-</t>
        </is>
      </c>
      <c r="M780" s="43" t="inlineStr">
        <is>
          <t>-</t>
        </is>
      </c>
      <c r="N780" s="43" t="inlineStr">
        <is>
          <t>DB UTC stored</t>
        </is>
      </c>
      <c r="O780" s="40" t="inlineStr">
        <is>
          <t>Medium</t>
        </is>
      </c>
      <c r="P780" s="43" t="inlineStr">
        <is>
          <t>Đạt như expected. Thời gian: 77ms</t>
        </is>
      </c>
      <c r="Q780" s="40" t="inlineStr">
        <is>
          <t>Đạt</t>
        </is>
      </c>
      <c r="R780" s="40" t="inlineStr"/>
      <c r="S780" s="40" t="inlineStr">
        <is>
          <t>23/05/2026 19:06</t>
        </is>
      </c>
      <c r="T780" s="43" t="inlineStr">
        <is>
          <t>R1:Đạt</t>
        </is>
      </c>
      <c r="U780" s="40" t="inlineStr"/>
      <c r="V780" s="43" t="inlineStr"/>
    </row>
    <row r="781" ht="80" customHeight="1">
      <c r="A781" s="40" t="inlineStr">
        <is>
          <t>TC-778</t>
        </is>
      </c>
      <c r="B781" s="57" t="inlineStr">
        <is>
          <t>RECOVERY</t>
        </is>
      </c>
      <c r="C781" s="44" t="inlineStr">
        <is>
          <t>P1</t>
        </is>
      </c>
      <c r="D781" s="43" t="inlineStr">
        <is>
          <t>Extra</t>
        </is>
      </c>
      <c r="E781" s="43" t="inlineStr">
        <is>
          <t>Page refresh giữa edit Case → unsaved changes warning</t>
        </is>
      </c>
      <c r="F781" s="40" t="inlineStr">
        <is>
          <t>REQ-CASE-EXTRA-778</t>
        </is>
      </c>
      <c r="G781" s="40" t="inlineStr">
        <is>
          <t>Use case testing</t>
        </is>
      </c>
      <c r="H781" s="40" t="inlineStr">
        <is>
          <t>TB</t>
        </is>
      </c>
      <c r="I781" s="43" t="inlineStr">
        <is>
          <t>1. User đã login
2. Token JWT hợp lệ</t>
        </is>
      </c>
      <c r="J781" s="43" t="inlineStr">
        <is>
          <t>Edit form, F5</t>
        </is>
      </c>
      <c r="K781" s="43" t="inlineStr">
        <is>
          <t>-</t>
        </is>
      </c>
      <c r="L781" s="43" t="inlineStr">
        <is>
          <t>Browser warn 'You have unsaved changes'</t>
        </is>
      </c>
      <c r="M781" s="43" t="inlineStr">
        <is>
          <t>-</t>
        </is>
      </c>
      <c r="N781" s="43" t="inlineStr">
        <is>
          <t>beforeunload listener</t>
        </is>
      </c>
      <c r="O781" s="40" t="inlineStr">
        <is>
          <t>Medium</t>
        </is>
      </c>
      <c r="P781" s="43" t="inlineStr">
        <is>
          <t>Đạt như expected. Thời gian: 70ms</t>
        </is>
      </c>
      <c r="Q781" s="40" t="inlineStr">
        <is>
          <t>Đạt</t>
        </is>
      </c>
      <c r="R781" s="40" t="inlineStr"/>
      <c r="S781" s="40" t="inlineStr">
        <is>
          <t>23/05/2026 19:06</t>
        </is>
      </c>
      <c r="T781" s="43" t="inlineStr">
        <is>
          <t>R1:Đạt</t>
        </is>
      </c>
      <c r="U781" s="40" t="inlineStr"/>
      <c r="V781" s="43" t="inlineStr"/>
    </row>
    <row r="782" ht="80" customHeight="1">
      <c r="A782" s="40" t="inlineStr">
        <is>
          <t>TC-779</t>
        </is>
      </c>
      <c r="B782" s="57" t="inlineStr">
        <is>
          <t>RECOVERY</t>
        </is>
      </c>
      <c r="C782" s="44" t="inlineStr">
        <is>
          <t>P1</t>
        </is>
      </c>
      <c r="D782" s="43" t="inlineStr">
        <is>
          <t>Extra</t>
        </is>
      </c>
      <c r="E782" s="43" t="inlineStr">
        <is>
          <t>Token expired during form edit → re-login flow without losing data</t>
        </is>
      </c>
      <c r="F782" s="40" t="inlineStr">
        <is>
          <t>REQ-CASE-EXTRA-779</t>
        </is>
      </c>
      <c r="G782" s="40" t="inlineStr">
        <is>
          <t>Use case testing</t>
        </is>
      </c>
      <c r="H782" s="40" t="inlineStr">
        <is>
          <t>TB</t>
        </is>
      </c>
      <c r="I782" s="43" t="inlineStr">
        <is>
          <t>1. User đã login
2. Token JWT hợp lệ</t>
        </is>
      </c>
      <c r="J782" s="43" t="inlineStr">
        <is>
          <t>JWT exp giữa edit, submit fail 401, re-login</t>
        </is>
      </c>
      <c r="K782" s="43" t="inlineStr">
        <is>
          <t>-</t>
        </is>
      </c>
      <c r="L782" s="43" t="inlineStr">
        <is>
          <t>Form data preserved</t>
        </is>
      </c>
      <c r="M782" s="43" t="inlineStr">
        <is>
          <t>401</t>
        </is>
      </c>
      <c r="N782" s="43" t="inlineStr">
        <is>
          <t>-</t>
        </is>
      </c>
      <c r="O782" s="40" t="inlineStr">
        <is>
          <t>High</t>
        </is>
      </c>
      <c r="P782" s="43" t="inlineStr">
        <is>
          <t>Đạt như expected. Thời gian: 93ms</t>
        </is>
      </c>
      <c r="Q782" s="40" t="inlineStr">
        <is>
          <t>Đạt</t>
        </is>
      </c>
      <c r="R782" s="40" t="inlineStr"/>
      <c r="S782" s="40" t="inlineStr">
        <is>
          <t>23/05/2026 19:06</t>
        </is>
      </c>
      <c r="T782" s="43" t="inlineStr">
        <is>
          <t>R1:Đạt</t>
        </is>
      </c>
      <c r="U782" s="40" t="inlineStr"/>
      <c r="V782" s="43" t="inlineStr"/>
    </row>
    <row r="783" ht="80" customHeight="1">
      <c r="A783" s="40" t="inlineStr">
        <is>
          <t>TC-780</t>
        </is>
      </c>
      <c r="B783" s="58" t="inlineStr">
        <is>
          <t>AUDIT</t>
        </is>
      </c>
      <c r="C783" s="42" t="inlineStr">
        <is>
          <t>P0</t>
        </is>
      </c>
      <c r="D783" s="43" t="inlineStr">
        <is>
          <t>Extra</t>
        </is>
      </c>
      <c r="E783" s="43" t="inlineStr">
        <is>
          <t>Audit log không expose internal trace/stack</t>
        </is>
      </c>
      <c r="F783" s="40" t="inlineStr">
        <is>
          <t>REQ-CASE-EXTRA-780</t>
        </is>
      </c>
      <c r="G783" s="40" t="inlineStr">
        <is>
          <t>Use case testing</t>
        </is>
      </c>
      <c r="H783" s="40" t="inlineStr">
        <is>
          <t>Cao</t>
        </is>
      </c>
      <c r="I783" s="43" t="inlineStr">
        <is>
          <t>1. User đã login
2. Token JWT hợp lệ</t>
        </is>
      </c>
      <c r="J783" s="43" t="inlineStr">
        <is>
          <t>-</t>
        </is>
      </c>
      <c r="K783" s="43" t="inlineStr">
        <is>
          <t>-</t>
        </is>
      </c>
      <c r="L783" s="43" t="inlineStr">
        <is>
          <t>-</t>
        </is>
      </c>
      <c r="M783" s="43" t="inlineStr">
        <is>
          <t>-</t>
        </is>
      </c>
      <c r="N783" s="43" t="inlineStr">
        <is>
          <t>Production error sanitize</t>
        </is>
      </c>
      <c r="O783" s="40" t="inlineStr">
        <is>
          <t>Critical</t>
        </is>
      </c>
      <c r="P783" s="43" t="inlineStr">
        <is>
          <t>Đạt như expected. Thời gian: 126ms</t>
        </is>
      </c>
      <c r="Q783" s="40" t="inlineStr">
        <is>
          <t>Đạt</t>
        </is>
      </c>
      <c r="R783" s="40" t="inlineStr"/>
      <c r="S783" s="40" t="inlineStr">
        <is>
          <t>23/05/2026 19:06</t>
        </is>
      </c>
      <c r="T783" s="43" t="inlineStr">
        <is>
          <t>R1:Đạt</t>
        </is>
      </c>
      <c r="U783" s="40" t="inlineStr"/>
      <c r="V783" s="43" t="inlineStr"/>
    </row>
    <row r="784" ht="80" customHeight="1">
      <c r="A784" s="40" t="inlineStr">
        <is>
          <t>TC-781</t>
        </is>
      </c>
      <c r="B784" s="56" t="inlineStr">
        <is>
          <t>INTEGRATION</t>
        </is>
      </c>
      <c r="C784" s="42" t="inlineStr">
        <is>
          <t>P0</t>
        </is>
      </c>
      <c r="D784" s="43" t="inlineStr">
        <is>
          <t>Extra</t>
        </is>
      </c>
      <c r="E784" s="43" t="inlineStr">
        <is>
          <t>Cross-feature: tạo Case → KPI dashboard refresh count</t>
        </is>
      </c>
      <c r="F784" s="40" t="inlineStr">
        <is>
          <t>REQ-CASE-EXTRA-781</t>
        </is>
      </c>
      <c r="G784" s="40" t="inlineStr">
        <is>
          <t>Use case testing</t>
        </is>
      </c>
      <c r="H784" s="40" t="inlineStr">
        <is>
          <t>Cao</t>
        </is>
      </c>
      <c r="I784" s="43" t="inlineStr">
        <is>
          <t>1. User đã login
2. Token JWT hợp lệ</t>
        </is>
      </c>
      <c r="J784" s="43" t="inlineStr">
        <is>
          <t>-</t>
        </is>
      </c>
      <c r="K784" s="43" t="inlineStr">
        <is>
          <t>-</t>
        </is>
      </c>
      <c r="L784" s="43" t="inlineStr">
        <is>
          <t>-</t>
        </is>
      </c>
      <c r="M784" s="43" t="inlineStr">
        <is>
          <t>-</t>
        </is>
      </c>
      <c r="N784" s="43" t="inlineStr">
        <is>
          <t>-</t>
        </is>
      </c>
      <c r="O784" s="40" t="inlineStr">
        <is>
          <t>High</t>
        </is>
      </c>
      <c r="P784" s="43" t="inlineStr">
        <is>
          <t>Đạt như expected. Thời gian: 158ms</t>
        </is>
      </c>
      <c r="Q784" s="40" t="inlineStr">
        <is>
          <t>Đạt</t>
        </is>
      </c>
      <c r="R784" s="40" t="inlineStr"/>
      <c r="S784" s="40" t="inlineStr">
        <is>
          <t>23/05/2026 19:06</t>
        </is>
      </c>
      <c r="T784" s="43" t="inlineStr">
        <is>
          <t>R1:Đạt</t>
        </is>
      </c>
      <c r="U784" s="40" t="inlineStr"/>
      <c r="V784" s="43" t="inlineStr"/>
    </row>
  </sheetData>
  <autoFilter ref="A3:V784"/>
  <mergeCells count="2">
    <mergeCell ref="A2:V2"/>
    <mergeCell ref="A1:V1"/>
  </mergeCells>
  <conditionalFormatting sqref="Q4:Q784">
    <cfRule type="cellIs" priority="1" operator="equal" dxfId="2">
      <formula>"Đạt"</formula>
    </cfRule>
    <cfRule type="cellIs" priority="2" operator="equal" dxfId="3">
      <formula>"Không đạt"</formula>
    </cfRule>
    <cfRule type="cellIs" priority="3" operator="equal" dxfId="4">
      <formula>"Bị chặn"</formula>
    </cfRule>
    <cfRule type="cellIs" priority="4" operator="equal" dxfId="5">
      <formula>"Bỏ qua"</formula>
    </cfRule>
  </conditionalFormatting>
  <conditionalFormatting sqref="U4:U784">
    <cfRule type="cellIs" priority="5" operator="equal" dxfId="6">
      <formula>"⚠️ REGRESSION"</formula>
    </cfRule>
    <cfRule type="cellIs" priority="6" operator="equal" dxfId="2">
      <formula>"✓ Đã fix"</formula>
    </cfRule>
  </conditionalFormatting>
  <dataValidations count="2">
    <dataValidation sqref="Q4:Q784" showDropDown="0" showInputMessage="0" showErrorMessage="0" allowBlank="1" error="Chọn một trạng thái hợp lệ" prompt="Chưa chạy / Đang chạy / Đạt / Không đạt / Bị chặn / Bỏ qua" type="list">
      <formula1>"Chưa chạy,Đang chạy,Đạt,Không đạt,Bị chặn,Bỏ qua"</formula1>
    </dataValidation>
    <dataValidation sqref="U4:U784" showDropDown="0" showInputMessage="0" showErrorMessage="0" allowBlank="1" prompt="Tự động đánh dấu nếu TC từng Đạt nay Không đạt" type="list">
      <formula1>"⚠️ REGRESSION,✓ Đã fix"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25" customWidth="1" min="3" max="3"/>
    <col width="15" customWidth="1" min="4" max="4"/>
    <col width="18" customWidth="1" min="5" max="5"/>
    <col width="35" customWidth="1" min="6" max="6"/>
    <col width="25" customWidth="1" min="7" max="7"/>
  </cols>
  <sheetData>
    <row r="1" ht="25" customHeight="1">
      <c r="A1" s="59" t="inlineStr">
        <is>
          <t>1. TÀI KHOẢN KIỂM THỬ</t>
        </is>
      </c>
    </row>
    <row r="2">
      <c r="A2" s="10" t="inlineStr">
        <is>
          <t>ID</t>
        </is>
      </c>
      <c r="B2" s="10" t="inlineStr">
        <is>
          <t>Email</t>
        </is>
      </c>
      <c r="C2" s="10" t="inlineStr">
        <is>
          <t>Mật khẩu</t>
        </is>
      </c>
      <c r="D2" s="10" t="inlineStr">
        <is>
          <t>Vai trò</t>
        </is>
      </c>
      <c r="E2" s="10" t="inlineStr">
        <is>
          <t>Trạng thái</t>
        </is>
      </c>
      <c r="F2" s="10" t="inlineStr">
        <is>
          <t>Mục đích</t>
        </is>
      </c>
      <c r="G2" s="10" t="inlineStr">
        <is>
          <t>Ghi chú</t>
        </is>
      </c>
    </row>
    <row r="3">
      <c r="A3" s="43" t="inlineStr">
        <is>
          <t>U001</t>
        </is>
      </c>
      <c r="B3" s="43" t="inlineStr">
        <is>
          <t>admin@pc02.local</t>
        </is>
      </c>
      <c r="C3" s="43" t="inlineStr">
        <is>
          <t>Admin@2026!</t>
        </is>
      </c>
      <c r="D3" s="43" t="inlineStr">
        <is>
          <t>ADMIN</t>
        </is>
      </c>
      <c r="E3" s="43" t="inlineStr">
        <is>
          <t>Active</t>
        </is>
      </c>
      <c r="F3" s="43" t="inlineStr">
        <is>
          <t>Test ADMIN-only restore + listDeleted + bypass scope</t>
        </is>
      </c>
      <c r="G3" s="43" t="inlineStr">
        <is>
          <t>Quyền cao nhất</t>
        </is>
      </c>
    </row>
    <row r="4">
      <c r="A4" s="43" t="inlineStr">
        <is>
          <t>U002</t>
        </is>
      </c>
      <c r="B4" s="43" t="inlineStr">
        <is>
          <t>dispatcher@pc02.local</t>
        </is>
      </c>
      <c r="C4" s="43" t="inlineStr">
        <is>
          <t>Disp@2026!</t>
        </is>
      </c>
      <c r="D4" s="43" t="inlineStr">
        <is>
          <t>DISPATCHER</t>
        </is>
      </c>
      <c r="E4" s="43" t="inlineStr">
        <is>
          <t>Active</t>
        </is>
      </c>
      <c r="F4" s="43" t="inlineStr">
        <is>
          <t>Test PATCH /assign + canDispatch bypass</t>
        </is>
      </c>
      <c r="G4" s="43" t="inlineStr">
        <is>
          <t>canDispatch=true</t>
        </is>
      </c>
    </row>
    <row r="5">
      <c r="A5" s="43" t="inlineStr">
        <is>
          <t>U003</t>
        </is>
      </c>
      <c r="B5" s="43" t="inlineStr">
        <is>
          <t>dieuTra1@pc02.local</t>
        </is>
      </c>
      <c r="C5" s="43" t="inlineStr">
        <is>
          <t>DTV@2026!</t>
        </is>
      </c>
      <c r="D5" s="43" t="inlineStr">
        <is>
          <t>INVESTIGATOR</t>
        </is>
      </c>
      <c r="E5" s="43" t="inlineStr">
        <is>
          <t>Active</t>
        </is>
      </c>
      <c r="F5" s="43" t="inlineStr">
        <is>
          <t>Owner + same-team test, creator delete</t>
        </is>
      </c>
      <c r="G5" s="43" t="inlineStr">
        <is>
          <t>Thuộc Team-Q1</t>
        </is>
      </c>
    </row>
    <row r="6">
      <c r="A6" s="43" t="inlineStr">
        <is>
          <t>U004</t>
        </is>
      </c>
      <c r="B6" s="43" t="inlineStr">
        <is>
          <t>dieuTra2@pc02.local</t>
        </is>
      </c>
      <c r="C6" s="43" t="inlineStr">
        <is>
          <t>DTV@2026!</t>
        </is>
      </c>
      <c r="D6" s="43" t="inlineStr">
        <is>
          <t>INVESTIGATOR</t>
        </is>
      </c>
      <c r="E6" s="43" t="inlineStr">
        <is>
          <t>Active</t>
        </is>
      </c>
      <c r="F6" s="43" t="inlineStr">
        <is>
          <t>Same-team với U003 (Team-Q1)</t>
        </is>
      </c>
      <c r="G6" s="43" t="inlineStr"/>
    </row>
    <row r="7">
      <c r="A7" s="43" t="inlineStr">
        <is>
          <t>U005</t>
        </is>
      </c>
      <c r="B7" s="43" t="inlineStr">
        <is>
          <t>dieuTra3-Q3@pc02.local</t>
        </is>
      </c>
      <c r="C7" s="43" t="inlineStr">
        <is>
          <t>DTV@2026!</t>
        </is>
      </c>
      <c r="D7" s="43" t="inlineStr">
        <is>
          <t>INVESTIGATOR</t>
        </is>
      </c>
      <c r="E7" s="43" t="inlineStr">
        <is>
          <t>Active</t>
        </is>
      </c>
      <c r="F7" s="43" t="inlineStr">
        <is>
          <t>Different team (Team-Q3) — test scope reject</t>
        </is>
      </c>
      <c r="G7" s="43" t="inlineStr"/>
    </row>
    <row r="8">
      <c r="A8" s="43" t="inlineStr">
        <is>
          <t>U006</t>
        </is>
      </c>
      <c r="B8" s="43" t="inlineStr">
        <is>
          <t>wardOfficer1@pc02.local</t>
        </is>
      </c>
      <c r="C8" s="43" t="inlineStr">
        <is>
          <t>WO@2026!</t>
        </is>
      </c>
      <c r="D8" s="43" t="inlineStr">
        <is>
          <t>WARD_OFFICER</t>
        </is>
      </c>
      <c r="E8" s="43" t="inlineStr">
        <is>
          <t>Active</t>
        </is>
      </c>
      <c r="F8" s="43" t="inlineStr">
        <is>
          <t>Test isWardOfficer auto-set assignedTeamId override</t>
        </is>
      </c>
      <c r="G8" s="43" t="inlineStr">
        <is>
          <t>Thuộc Team-WARD-01</t>
        </is>
      </c>
    </row>
    <row r="9">
      <c r="A9" s="43" t="inlineStr">
        <is>
          <t>U007</t>
        </is>
      </c>
      <c r="B9" s="43" t="inlineStr">
        <is>
          <t>viewer@pc02.local</t>
        </is>
      </c>
      <c r="C9" s="43" t="inlineStr">
        <is>
          <t>View@2026!</t>
        </is>
      </c>
      <c r="D9" s="43" t="inlineStr">
        <is>
          <t>VIEWER</t>
        </is>
      </c>
      <c r="E9" s="43" t="inlineStr">
        <is>
          <t>Active</t>
        </is>
      </c>
      <c r="F9" s="43" t="inlineStr">
        <is>
          <t>Test 403 cho write/delete/restore</t>
        </is>
      </c>
      <c r="G9" s="43" t="inlineStr">
        <is>
          <t>Chỉ read</t>
        </is>
      </c>
    </row>
    <row r="10">
      <c r="A10" s="43" t="inlineStr">
        <is>
          <t>U008</t>
        </is>
      </c>
      <c r="B10" s="43" t="inlineStr">
        <is>
          <t>locked@pc02.local</t>
        </is>
      </c>
      <c r="C10" s="43" t="inlineStr">
        <is>
          <t>-</t>
        </is>
      </c>
      <c r="D10" s="43" t="inlineStr">
        <is>
          <t>INVESTIGATOR</t>
        </is>
      </c>
      <c r="E10" s="43" t="inlineStr">
        <is>
          <t>Locked</t>
        </is>
      </c>
      <c r="F10" s="43" t="inlineStr">
        <is>
          <t>Test JWT của user locked</t>
        </is>
      </c>
      <c r="G10" s="43" t="inlineStr"/>
    </row>
    <row r="13" ht="25" customHeight="1">
      <c r="A13" s="59" t="inlineStr">
        <is>
          <t>2. BOUNDARY VALUES (BVA)</t>
        </is>
      </c>
    </row>
    <row r="14">
      <c r="A14" s="10" t="inlineStr">
        <is>
          <t>Field</t>
        </is>
      </c>
      <c r="B14" s="10" t="inlineStr">
        <is>
          <t>Giá trị</t>
        </is>
      </c>
      <c r="C14" s="10" t="inlineStr">
        <is>
          <t>Loại</t>
        </is>
      </c>
      <c r="D14" s="10" t="inlineStr">
        <is>
          <t>Kỳ vọng</t>
        </is>
      </c>
      <c r="E14" s="10" t="inlineStr">
        <is>
          <t>Ghi chú</t>
        </is>
      </c>
    </row>
    <row r="15">
      <c r="A15" s="43" t="inlineStr">
        <is>
          <t>name</t>
        </is>
      </c>
      <c r="B15" s="43" t="inlineStr">
        <is>
          <t>A</t>
        </is>
      </c>
      <c r="C15" s="43" t="inlineStr">
        <is>
          <t>min</t>
        </is>
      </c>
      <c r="D15" s="43" t="inlineStr">
        <is>
          <t>PASS</t>
        </is>
      </c>
      <c r="E15" s="43" t="inlineStr">
        <is>
          <t>1 ký tự min</t>
        </is>
      </c>
    </row>
    <row r="16">
      <c r="A16" s="43" t="inlineStr">
        <is>
          <t>name</t>
        </is>
      </c>
      <c r="B16" s="43" t="inlineStr">
        <is>
          <t>X×500</t>
        </is>
      </c>
      <c r="C16" s="43" t="inlineStr">
        <is>
          <t>max</t>
        </is>
      </c>
      <c r="D16" s="43" t="inlineStr">
        <is>
          <t>PASS</t>
        </is>
      </c>
      <c r="E16" s="43" t="inlineStr">
        <is>
          <t>500 ký tự max</t>
        </is>
      </c>
    </row>
    <row r="17">
      <c r="A17" s="43" t="inlineStr">
        <is>
          <t>name</t>
        </is>
      </c>
      <c r="B17" s="43" t="inlineStr">
        <is>
          <t>X×501</t>
        </is>
      </c>
      <c r="C17" s="43" t="inlineStr">
        <is>
          <t>max+1</t>
        </is>
      </c>
      <c r="D17" s="43" t="inlineStr">
        <is>
          <t>FAIL</t>
        </is>
      </c>
      <c r="E17" s="43" t="inlineStr">
        <is>
          <t>vượt MaxLength(500)</t>
        </is>
      </c>
    </row>
    <row r="18">
      <c r="A18" s="43" t="inlineStr">
        <is>
          <t>name</t>
        </is>
      </c>
      <c r="B18" s="43" t="inlineStr"/>
      <c r="C18" s="43" t="inlineStr">
        <is>
          <t>empty</t>
        </is>
      </c>
      <c r="D18" s="43" t="inlineStr">
        <is>
          <t>FAIL</t>
        </is>
      </c>
      <c r="E18" s="43" t="inlineStr">
        <is>
          <t>IsNotEmpty</t>
        </is>
      </c>
    </row>
    <row r="19">
      <c r="A19" s="43" t="inlineStr">
        <is>
          <t>name</t>
        </is>
      </c>
      <c r="B19" s="43" t="inlineStr">
        <is>
          <t xml:space="preserve">   </t>
        </is>
      </c>
      <c r="C19" s="43" t="inlineStr">
        <is>
          <t>whitespace</t>
        </is>
      </c>
      <c r="D19" s="43" t="inlineStr">
        <is>
          <t>FAIL</t>
        </is>
      </c>
      <c r="E19" s="43" t="inlineStr">
        <is>
          <t>Transform trim → ''</t>
        </is>
      </c>
    </row>
    <row r="20">
      <c r="A20" s="43" t="inlineStr">
        <is>
          <t>crime</t>
        </is>
      </c>
      <c r="B20" s="43" t="inlineStr">
        <is>
          <t>X×255</t>
        </is>
      </c>
      <c r="C20" s="43" t="inlineStr">
        <is>
          <t>max</t>
        </is>
      </c>
      <c r="D20" s="43" t="inlineStr">
        <is>
          <t>PASS</t>
        </is>
      </c>
      <c r="E20" s="43" t="inlineStr"/>
    </row>
    <row r="21">
      <c r="A21" s="43" t="inlineStr">
        <is>
          <t>crime</t>
        </is>
      </c>
      <c r="B21" s="43" t="inlineStr">
        <is>
          <t>X×256</t>
        </is>
      </c>
      <c r="C21" s="43" t="inlineStr">
        <is>
          <t>max+1</t>
        </is>
      </c>
      <c r="D21" s="43" t="inlineStr">
        <is>
          <t>FAIL</t>
        </is>
      </c>
      <c r="E21" s="43" t="inlineStr"/>
    </row>
    <row r="22">
      <c r="A22" s="43" t="inlineStr">
        <is>
          <t>unit</t>
        </is>
      </c>
      <c r="B22" s="43" t="inlineStr">
        <is>
          <t>X×255</t>
        </is>
      </c>
      <c r="C22" s="43" t="inlineStr">
        <is>
          <t>max</t>
        </is>
      </c>
      <c r="D22" s="43" t="inlineStr">
        <is>
          <t>PASS</t>
        </is>
      </c>
      <c r="E22" s="43" t="inlineStr"/>
    </row>
    <row r="23">
      <c r="A23" s="43" t="inlineStr">
        <is>
          <t>unit</t>
        </is>
      </c>
      <c r="B23" s="43" t="inlineStr">
        <is>
          <t>X×256</t>
        </is>
      </c>
      <c r="C23" s="43" t="inlineStr">
        <is>
          <t>max+1</t>
        </is>
      </c>
      <c r="D23" s="43" t="inlineStr">
        <is>
          <t>FAIL</t>
        </is>
      </c>
      <c r="E23" s="43" t="inlineStr"/>
    </row>
    <row r="24">
      <c r="A24" s="43" t="inlineStr">
        <is>
          <t>subjectsCount</t>
        </is>
      </c>
      <c r="B24" s="43" t="inlineStr">
        <is>
          <t>0</t>
        </is>
      </c>
      <c r="C24" s="43" t="inlineStr">
        <is>
          <t>min</t>
        </is>
      </c>
      <c r="D24" s="43" t="inlineStr">
        <is>
          <t>PASS</t>
        </is>
      </c>
      <c r="E24" s="43" t="inlineStr"/>
    </row>
    <row r="25">
      <c r="A25" s="43" t="inlineStr">
        <is>
          <t>subjectsCount</t>
        </is>
      </c>
      <c r="B25" s="43" t="inlineStr">
        <is>
          <t>-1</t>
        </is>
      </c>
      <c r="C25" s="43" t="inlineStr">
        <is>
          <t>min-1</t>
        </is>
      </c>
      <c r="D25" s="43" t="inlineStr">
        <is>
          <t>FAIL</t>
        </is>
      </c>
      <c r="E25" s="43" t="inlineStr">
        <is>
          <t>@Min(0)</t>
        </is>
      </c>
    </row>
    <row r="26">
      <c r="A26" s="43" t="inlineStr">
        <is>
          <t>delete-reason</t>
        </is>
      </c>
      <c r="B26" s="43" t="inlineStr">
        <is>
          <t>X×10</t>
        </is>
      </c>
      <c r="C26" s="43" t="inlineStr">
        <is>
          <t>min</t>
        </is>
      </c>
      <c r="D26" s="43" t="inlineStr">
        <is>
          <t>PASS</t>
        </is>
      </c>
      <c r="E26" s="43" t="inlineStr">
        <is>
          <t>MinLength(10)</t>
        </is>
      </c>
    </row>
    <row r="27">
      <c r="A27" s="43" t="inlineStr">
        <is>
          <t>delete-reason</t>
        </is>
      </c>
      <c r="B27" s="43" t="inlineStr">
        <is>
          <t>X×9</t>
        </is>
      </c>
      <c r="C27" s="43" t="inlineStr">
        <is>
          <t>min-1</t>
        </is>
      </c>
      <c r="D27" s="43" t="inlineStr">
        <is>
          <t>FAIL</t>
        </is>
      </c>
      <c r="E27" s="43" t="inlineStr"/>
    </row>
    <row r="28">
      <c r="A28" s="43" t="inlineStr">
        <is>
          <t>delete-reason</t>
        </is>
      </c>
      <c r="B28" s="43" t="inlineStr">
        <is>
          <t>X×500</t>
        </is>
      </c>
      <c r="C28" s="43" t="inlineStr">
        <is>
          <t>max</t>
        </is>
      </c>
      <c r="D28" s="43" t="inlineStr">
        <is>
          <t>PASS</t>
        </is>
      </c>
      <c r="E28" s="43" t="inlineStr"/>
    </row>
    <row r="29">
      <c r="A29" s="43" t="inlineStr">
        <is>
          <t>delete-reason</t>
        </is>
      </c>
      <c r="B29" s="43" t="inlineStr">
        <is>
          <t>X×501</t>
        </is>
      </c>
      <c r="C29" s="43" t="inlineStr">
        <is>
          <t>max+1</t>
        </is>
      </c>
      <c r="D29" s="43" t="inlineStr">
        <is>
          <t>FAIL</t>
        </is>
      </c>
      <c r="E29" s="43" t="inlineStr"/>
    </row>
    <row r="30">
      <c r="A30" s="43" t="inlineStr">
        <is>
          <t>sourceDocumentNote</t>
        </is>
      </c>
      <c r="B30" s="43" t="inlineStr">
        <is>
          <t>X×1000</t>
        </is>
      </c>
      <c r="C30" s="43" t="inlineStr">
        <is>
          <t>max</t>
        </is>
      </c>
      <c r="D30" s="43" t="inlineStr">
        <is>
          <t>PASS</t>
        </is>
      </c>
      <c r="E30" s="43" t="inlineStr"/>
    </row>
    <row r="31">
      <c r="A31" s="43" t="inlineStr">
        <is>
          <t>sourceDocumentNote</t>
        </is>
      </c>
      <c r="B31" s="43" t="inlineStr">
        <is>
          <t>X×1001</t>
        </is>
      </c>
      <c r="C31" s="43" t="inlineStr">
        <is>
          <t>max+1</t>
        </is>
      </c>
      <c r="D31" s="43" t="inlineStr">
        <is>
          <t>FAIL</t>
        </is>
      </c>
      <c r="E31" s="43" t="inlineStr"/>
    </row>
    <row r="32">
      <c r="A32" s="43" t="inlineStr">
        <is>
          <t>limit</t>
        </is>
      </c>
      <c r="B32" s="43" t="inlineStr">
        <is>
          <t>1</t>
        </is>
      </c>
      <c r="C32" s="43" t="inlineStr">
        <is>
          <t>min</t>
        </is>
      </c>
      <c r="D32" s="43" t="inlineStr">
        <is>
          <t>PASS</t>
        </is>
      </c>
      <c r="E32" s="43" t="inlineStr"/>
    </row>
    <row r="33">
      <c r="A33" s="43" t="inlineStr">
        <is>
          <t>limit</t>
        </is>
      </c>
      <c r="B33" s="43" t="inlineStr">
        <is>
          <t>100</t>
        </is>
      </c>
      <c r="C33" s="43" t="inlineStr">
        <is>
          <t>max</t>
        </is>
      </c>
      <c r="D33" s="43" t="inlineStr">
        <is>
          <t>PASS</t>
        </is>
      </c>
      <c r="E33" s="43" t="inlineStr"/>
    </row>
    <row r="34">
      <c r="A34" s="43" t="inlineStr">
        <is>
          <t>limit</t>
        </is>
      </c>
      <c r="B34" s="43" t="inlineStr">
        <is>
          <t>101</t>
        </is>
      </c>
      <c r="C34" s="43" t="inlineStr">
        <is>
          <t>max+1</t>
        </is>
      </c>
      <c r="D34" s="43" t="inlineStr">
        <is>
          <t>FAIL</t>
        </is>
      </c>
      <c r="E34" s="43" t="inlineStr">
        <is>
          <t>@Max(100)</t>
        </is>
      </c>
    </row>
    <row r="35">
      <c r="A35" s="43" t="inlineStr">
        <is>
          <t>limit</t>
        </is>
      </c>
      <c r="B35" s="43" t="inlineStr">
        <is>
          <t>0</t>
        </is>
      </c>
      <c r="C35" s="43" t="inlineStr">
        <is>
          <t>min-1</t>
        </is>
      </c>
      <c r="D35" s="43" t="inlineStr">
        <is>
          <t>FAIL</t>
        </is>
      </c>
      <c r="E35" s="43" t="inlineStr">
        <is>
          <t>@Min(1)</t>
        </is>
      </c>
    </row>
    <row r="36">
      <c r="A36" s="43" t="inlineStr">
        <is>
          <t>offset</t>
        </is>
      </c>
      <c r="B36" s="43" t="inlineStr">
        <is>
          <t>0</t>
        </is>
      </c>
      <c r="C36" s="43" t="inlineStr">
        <is>
          <t>min</t>
        </is>
      </c>
      <c r="D36" s="43" t="inlineStr">
        <is>
          <t>PASS</t>
        </is>
      </c>
      <c r="E36" s="43" t="inlineStr"/>
    </row>
    <row r="37">
      <c r="A37" s="43" t="inlineStr">
        <is>
          <t>offset</t>
        </is>
      </c>
      <c r="B37" s="43" t="inlineStr">
        <is>
          <t>-1</t>
        </is>
      </c>
      <c r="C37" s="43" t="inlineStr">
        <is>
          <t>min-1</t>
        </is>
      </c>
      <c r="D37" s="43" t="inlineStr">
        <is>
          <t>FAIL</t>
        </is>
      </c>
      <c r="E37" s="43" t="inlineStr"/>
    </row>
    <row r="40" ht="25" customHeight="1">
      <c r="A40" s="59" t="inlineStr">
        <is>
          <t>3. SECURITY PAYLOADS (OWASP)</t>
        </is>
      </c>
    </row>
    <row r="41">
      <c r="A41" s="10" t="inlineStr">
        <is>
          <t>Field/Endpoint</t>
        </is>
      </c>
      <c r="B41" s="10" t="inlineStr">
        <is>
          <t>Payload</t>
        </is>
      </c>
      <c r="C41" s="10" t="inlineStr">
        <is>
          <t>Loại tấn công</t>
        </is>
      </c>
      <c r="D41" s="10" t="inlineStr">
        <is>
          <t>Kỳ vọng</t>
        </is>
      </c>
      <c r="E41" s="10" t="inlineStr">
        <is>
          <t>OWASP Reference</t>
        </is>
      </c>
    </row>
    <row r="42">
      <c r="A42" s="43" t="inlineStr">
        <is>
          <t>search</t>
        </is>
      </c>
      <c r="B42" s="43" t="inlineStr">
        <is>
          <t>' OR 1=1--</t>
        </is>
      </c>
      <c r="C42" s="43" t="inlineStr">
        <is>
          <t>SQL Injection</t>
        </is>
      </c>
      <c r="D42" s="43" t="inlineStr">
        <is>
          <t>200 data=[] (Prisma parameterized)</t>
        </is>
      </c>
      <c r="E42" s="43" t="inlineStr">
        <is>
          <t>A03:2021</t>
        </is>
      </c>
    </row>
    <row r="43">
      <c r="A43" s="43" t="inlineStr">
        <is>
          <t>sortBy</t>
        </is>
      </c>
      <c r="B43" s="43" t="inlineStr">
        <is>
          <t>name; DROP TABLE cases--</t>
        </is>
      </c>
      <c r="C43" s="43" t="inlineStr">
        <is>
          <t>SQL Injection via orderBy</t>
        </is>
      </c>
      <c r="D43" s="43" t="inlineStr">
        <is>
          <t>200 fallback createdAt (whitelist)</t>
        </is>
      </c>
      <c r="E43" s="43" t="inlineStr">
        <is>
          <t>A03:2021</t>
        </is>
      </c>
    </row>
    <row r="44">
      <c r="A44" s="43" t="inlineStr">
        <is>
          <t>name</t>
        </is>
      </c>
      <c r="B44" s="43" t="inlineStr">
        <is>
          <t>&lt;script&gt;alert(1)&lt;/script&gt;</t>
        </is>
      </c>
      <c r="C44" s="43" t="inlineStr">
        <is>
          <t>XSS reflected</t>
        </is>
      </c>
      <c r="D44" s="43" t="inlineStr">
        <is>
          <t>201 lưu raw, React escape ở render</t>
        </is>
      </c>
      <c r="E44" s="43" t="inlineStr">
        <is>
          <t>A03:2021</t>
        </is>
      </c>
    </row>
    <row r="45">
      <c r="A45" s="43" t="inlineStr">
        <is>
          <t>crime</t>
        </is>
      </c>
      <c r="B45" s="43" t="inlineStr">
        <is>
          <t>&lt;img src=x onerror=alert(1)&gt;</t>
        </is>
      </c>
      <c r="C45" s="43" t="inlineStr">
        <is>
          <t>XSS stored</t>
        </is>
      </c>
      <c r="D45" s="43" t="inlineStr">
        <is>
          <t>201, không exec JS khi render</t>
        </is>
      </c>
      <c r="E45" s="43" t="inlineStr">
        <is>
          <t>A03:2021</t>
        </is>
      </c>
    </row>
    <row r="46">
      <c r="A46" s="43" t="inlineStr">
        <is>
          <t>metadata</t>
        </is>
      </c>
      <c r="B46" s="43" t="inlineStr">
        <is>
          <t>{"__proto__":{"isAdmin":true}}</t>
        </is>
      </c>
      <c r="C46" s="43" t="inlineStr">
        <is>
          <t>Prototype Pollution</t>
        </is>
      </c>
      <c r="D46" s="43" t="inlineStr">
        <is>
          <t>201 nhưng object không pollute</t>
        </is>
      </c>
      <c r="E46" s="43" t="inlineStr">
        <is>
          <t>A03:2021</t>
        </is>
      </c>
    </row>
    <row r="47">
      <c r="A47" s="43" t="inlineStr">
        <is>
          <t>linkedPetitionId</t>
        </is>
      </c>
      <c r="B47" s="43" t="inlineStr">
        <is>
          <t>&lt;id-thuộc-team-khác&gt;</t>
        </is>
      </c>
      <c r="C47" s="43" t="inlineStr">
        <is>
          <t>IDOR</t>
        </is>
      </c>
      <c r="D47" s="43" t="inlineStr">
        <is>
          <t>404 (no enumeration leak)</t>
        </is>
      </c>
      <c r="E47" s="43" t="inlineStr">
        <is>
          <t>A01:2021</t>
        </is>
      </c>
    </row>
    <row r="48">
      <c r="A48" s="43" t="inlineStr">
        <is>
          <t>GET /cases/&lt;id-team-khác&gt;</t>
        </is>
      </c>
      <c r="B48" s="43" t="inlineStr">
        <is>
          <t>-</t>
        </is>
      </c>
      <c r="C48" s="43" t="inlineStr">
        <is>
          <t>Horizontal privilege</t>
        </is>
      </c>
      <c r="D48" s="43" t="inlineStr">
        <is>
          <t>403</t>
        </is>
      </c>
      <c r="E48" s="43" t="inlineStr">
        <is>
          <t>A01:2021</t>
        </is>
      </c>
    </row>
    <row r="49">
      <c r="A49" s="43" t="inlineStr">
        <is>
          <t>PATCH /assign</t>
        </is>
      </c>
      <c r="B49" s="43" t="inlineStr">
        <is>
          <t>non-dispatcher token</t>
        </is>
      </c>
      <c r="C49" s="43" t="inlineStr">
        <is>
          <t>Vertical privilege</t>
        </is>
      </c>
      <c r="D49" s="43" t="inlineStr">
        <is>
          <t>403 DispatchGuard</t>
        </is>
      </c>
      <c r="E49" s="43" t="inlineStr">
        <is>
          <t>A01:2021</t>
        </is>
      </c>
    </row>
    <row r="50">
      <c r="A50" s="43" t="inlineStr">
        <is>
          <t>POST /cases</t>
        </is>
      </c>
      <c r="B50" s="43" t="inlineStr">
        <is>
          <t>{createdById:'evil', id:'fake', deletedAt:'2030'}</t>
        </is>
      </c>
      <c r="C50" s="43" t="inlineStr">
        <is>
          <t>Mass assignment</t>
        </is>
      </c>
      <c r="D50" s="43" t="inlineStr">
        <is>
          <t>400 forbidNonWhitelisted</t>
        </is>
      </c>
      <c r="E50" s="43" t="inlineStr">
        <is>
          <t>A08:2021</t>
        </is>
      </c>
    </row>
    <row r="51">
      <c r="A51" s="43" t="inlineStr">
        <is>
          <t>Authorization</t>
        </is>
      </c>
      <c r="B51" s="43" t="inlineStr">
        <is>
          <t>&lt;expired JWT&gt;</t>
        </is>
      </c>
      <c r="C51" s="43" t="inlineStr">
        <is>
          <t>Token expiry</t>
        </is>
      </c>
      <c r="D51" s="43" t="inlineStr">
        <is>
          <t>401</t>
        </is>
      </c>
      <c r="E51" s="43" t="inlineStr">
        <is>
          <t>A07:2021</t>
        </is>
      </c>
    </row>
    <row r="52">
      <c r="A52" s="43" t="inlineStr">
        <is>
          <t>Authorization</t>
        </is>
      </c>
      <c r="B52" s="43" t="inlineStr">
        <is>
          <t>&lt;tampered signature JWT&gt;</t>
        </is>
      </c>
      <c r="C52" s="43" t="inlineStr">
        <is>
          <t>Token tamper</t>
        </is>
      </c>
      <c r="D52" s="43" t="inlineStr">
        <is>
          <t>401</t>
        </is>
      </c>
      <c r="E52" s="43" t="inlineStr">
        <is>
          <t>A07:2021</t>
        </is>
      </c>
    </row>
    <row r="53">
      <c r="A53" s="43" t="inlineStr">
        <is>
          <t>GET /export/ward</t>
        </is>
      </c>
      <c r="B53" s="43" t="inlineStr">
        <is>
          <t>6 req/60s</t>
        </is>
      </c>
      <c r="C53" s="43" t="inlineStr">
        <is>
          <t>Rate limit bypass</t>
        </is>
      </c>
      <c r="D53" s="43" t="inlineStr">
        <is>
          <t>6th=429</t>
        </is>
      </c>
      <c r="E53" s="43" t="inlineStr">
        <is>
          <t>A04:2021</t>
        </is>
      </c>
    </row>
    <row r="54">
      <c r="A54" s="43" t="inlineStr">
        <is>
          <t>Origin</t>
        </is>
      </c>
      <c r="B54" s="43" t="inlineStr">
        <is>
          <t>https://evil.com</t>
        </is>
      </c>
      <c r="C54" s="43" t="inlineStr">
        <is>
          <t>CORS bypass</t>
        </is>
      </c>
      <c r="D54" s="43" t="inlineStr">
        <is>
          <t>Reject preflight</t>
        </is>
      </c>
      <c r="E54" s="43" t="inlineStr">
        <is>
          <t>A05:2021</t>
        </is>
      </c>
    </row>
    <row r="55">
      <c r="A55" s="43" t="inlineStr">
        <is>
          <t>Content-Type</t>
        </is>
      </c>
      <c r="B55" s="43" t="inlineStr">
        <is>
          <t>text/plain (mismatch)</t>
        </is>
      </c>
      <c r="C55" s="43" t="inlineStr">
        <is>
          <t>Content type bypass</t>
        </is>
      </c>
      <c r="D55" s="43" t="inlineStr">
        <is>
          <t>400 nếu mong JSON</t>
        </is>
      </c>
      <c r="E55" s="43" t="inlineStr">
        <is>
          <t>A05:2021</t>
        </is>
      </c>
    </row>
  </sheetData>
  <mergeCells count="3">
    <mergeCell ref="A13:G13"/>
    <mergeCell ref="A1:G1"/>
    <mergeCell ref="A40:G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50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30" customWidth="1" min="9" max="9"/>
  </cols>
  <sheetData>
    <row r="1" ht="30" customHeight="1">
      <c r="A1" s="37" t="inlineStr">
        <is>
          <t>🐛 BUG TRACKER</t>
        </is>
      </c>
    </row>
    <row r="2">
      <c r="A2" s="60" t="inlineStr">
        <is>
          <t>Workflow: Open → Fixing → Fixed → Verified → Closed. Mỗi lần TC fail tự động tạo bug record.</t>
        </is>
      </c>
    </row>
    <row r="3" ht="35" customHeight="1">
      <c r="A3" s="39" t="inlineStr">
        <is>
          <t>Bug ID</t>
        </is>
      </c>
      <c r="B3" s="39" t="inlineStr">
        <is>
          <t>TC ID liên kết</t>
        </is>
      </c>
      <c r="C3" s="39" t="inlineStr">
        <is>
          <t>Mô tả bug</t>
        </is>
      </c>
      <c r="D3" s="39" t="inlineStr">
        <is>
          <t>Severity</t>
        </is>
      </c>
      <c r="E3" s="39" t="inlineStr">
        <is>
          <t>Status</t>
        </is>
      </c>
      <c r="F3" s="39" t="inlineStr">
        <is>
          <t>Ngày phát hiện</t>
        </is>
      </c>
      <c r="G3" s="39" t="inlineStr">
        <is>
          <t>Lần fix gần nhất</t>
        </is>
      </c>
      <c r="H3" s="39" t="inlineStr">
        <is>
          <t>Re-test kết quả</t>
        </is>
      </c>
      <c r="I3" s="39" t="inlineStr">
        <is>
          <t>Ghi chú</t>
        </is>
      </c>
    </row>
    <row r="4" ht="30" customHeight="1">
      <c r="A4" s="40" t="inlineStr">
        <is>
          <t>BUG-001</t>
        </is>
      </c>
      <c r="B4" s="40" t="inlineStr">
        <is>
          <t>TC-169</t>
        </is>
      </c>
      <c r="C4" s="43" t="inlineStr">
        <is>
          <t>Test fail: TC-169: Dispatcher phân công Case sang Team-Q2 + investigator của team @P0 @GREEN @Critical</t>
        </is>
      </c>
      <c r="D4" s="40" t="inlineStr">
        <is>
          <t>Critical</t>
        </is>
      </c>
      <c r="E4" s="40" t="inlineStr">
        <is>
          <t>Open</t>
        </is>
      </c>
      <c r="F4" s="40" t="inlineStr">
        <is>
          <t>23/05/2026</t>
        </is>
      </c>
      <c r="G4" s="40" t="inlineStr"/>
      <c r="H4" s="40" t="inlineStr"/>
      <c r="I4" s="43" t="inlineStr"/>
    </row>
    <row r="5" ht="30" customHeight="1">
      <c r="A5" s="40" t="inlineStr">
        <is>
          <t>BUG-002</t>
        </is>
      </c>
      <c r="B5" s="40" t="inlineStr">
        <is>
          <t>TC-171</t>
        </is>
      </c>
      <c r="C5" s="43" t="inlineStr">
        <is>
          <t>Test fail: TC-171: Case ngoài scope của dispatcher (nếu dispatcher có scope giới hạn) → ? @P0 @RED @High</t>
        </is>
      </c>
      <c r="D5" s="40" t="inlineStr">
        <is>
          <t>High</t>
        </is>
      </c>
      <c r="E5" s="40" t="inlineStr">
        <is>
          <t>Open</t>
        </is>
      </c>
      <c r="F5" s="40" t="inlineStr">
        <is>
          <t>23/05/2026</t>
        </is>
      </c>
      <c r="G5" s="40" t="inlineStr"/>
      <c r="H5" s="40" t="inlineStr"/>
      <c r="I5" s="43" t="inlineStr"/>
    </row>
    <row r="6" ht="30" customHeight="1">
      <c r="A6" s="40" t="inlineStr">
        <is>
          <t>BUG-003</t>
        </is>
      </c>
      <c r="B6" s="40" t="inlineStr">
        <is>
          <t>TC-172</t>
        </is>
      </c>
      <c r="C6" s="43" t="inlineStr">
        <is>
          <t>Test fail: TC-172: assignedTeamId team đã isActive=false → 400 'Tổ điều tra không tồn tại hoặc đã ngừng hoạt động' @P0 @RED @High</t>
        </is>
      </c>
      <c r="D6" s="40" t="inlineStr">
        <is>
          <t>High</t>
        </is>
      </c>
      <c r="E6" s="40" t="inlineStr">
        <is>
          <t>Open</t>
        </is>
      </c>
      <c r="F6" s="40" t="inlineStr">
        <is>
          <t>23/05/2026</t>
        </is>
      </c>
      <c r="G6" s="40" t="inlineStr"/>
      <c r="H6" s="40" t="inlineStr"/>
      <c r="I6" s="43" t="inlineStr"/>
    </row>
    <row r="7" ht="30" customHeight="1">
      <c r="A7" s="40" t="inlineStr">
        <is>
          <t>BUG-004</t>
        </is>
      </c>
      <c r="B7" s="40" t="inlineStr">
        <is>
          <t>TC-173</t>
        </is>
      </c>
      <c r="C7" s="43" t="inlineStr">
        <is>
          <t>Test fail: TC-173: investigatorId không thuộc team được chỉ định → 400 'Điều tra viên không thuộc tổ' @P0 @RED @High</t>
        </is>
      </c>
      <c r="D7" s="40" t="inlineStr">
        <is>
          <t>High</t>
        </is>
      </c>
      <c r="E7" s="40" t="inlineStr">
        <is>
          <t>Open</t>
        </is>
      </c>
      <c r="F7" s="40" t="inlineStr">
        <is>
          <t>23/05/2026</t>
        </is>
      </c>
      <c r="G7" s="40" t="inlineStr"/>
      <c r="H7" s="40" t="inlineStr"/>
      <c r="I7" s="43" t="inlineStr"/>
    </row>
    <row r="8" ht="30" customHeight="1">
      <c r="A8" s="40" t="inlineStr">
        <is>
          <t>BUG-005</t>
        </is>
      </c>
      <c r="B8" s="40" t="inlineStr">
        <is>
          <t>TC-174</t>
        </is>
      </c>
      <c r="C8" s="43" t="inlineStr">
        <is>
          <t>Test fail: TC-174: investigatorId=null khi assign (chỉ chuyển team, chưa giao cho ĐTV cụ thể) @P1 @GREEN @High</t>
        </is>
      </c>
      <c r="D8" s="40" t="inlineStr">
        <is>
          <t>High</t>
        </is>
      </c>
      <c r="E8" s="40" t="inlineStr">
        <is>
          <t>Open</t>
        </is>
      </c>
      <c r="F8" s="40" t="inlineStr">
        <is>
          <t>23/05/2026</t>
        </is>
      </c>
      <c r="G8" s="40" t="inlineStr"/>
      <c r="H8" s="40" t="inlineStr"/>
      <c r="I8" s="43" t="inlineStr"/>
    </row>
    <row r="9" ht="30" customHeight="1">
      <c r="A9" s="40" t="inlineStr">
        <is>
          <t>BUG-006</t>
        </is>
      </c>
      <c r="B9" s="40" t="inlineStr">
        <is>
          <t>TC-175</t>
        </is>
      </c>
      <c r="C9" s="43" t="inlineStr">
        <is>
          <t>Test fail: TC-175: Case không tồn tại → 404 @P0 @RED @High</t>
        </is>
      </c>
      <c r="D9" s="40" t="inlineStr">
        <is>
          <t>High</t>
        </is>
      </c>
      <c r="E9" s="40" t="inlineStr">
        <is>
          <t>Open</t>
        </is>
      </c>
      <c r="F9" s="40" t="inlineStr">
        <is>
          <t>23/05/2026</t>
        </is>
      </c>
      <c r="G9" s="40" t="inlineStr"/>
      <c r="H9" s="40" t="inlineStr"/>
      <c r="I9" s="43" t="inlineStr"/>
    </row>
    <row r="10" ht="30" customHeight="1">
      <c r="A10" s="40" t="inlineStr">
        <is>
          <t>BUG-007</t>
        </is>
      </c>
      <c r="B10" s="40" t="inlineStr">
        <is>
          <t>TC-176</t>
        </is>
      </c>
      <c r="C10" s="43" t="inlineStr">
        <is>
          <t>Test fail: TC-176: Case đã soft-deleted → 404 @P0 @RED @High</t>
        </is>
      </c>
      <c r="D10" s="40" t="inlineStr">
        <is>
          <t>High</t>
        </is>
      </c>
      <c r="E10" s="40" t="inlineStr">
        <is>
          <t>Open</t>
        </is>
      </c>
      <c r="F10" s="40" t="inlineStr">
        <is>
          <t>23/05/2026</t>
        </is>
      </c>
      <c r="G10" s="40" t="inlineStr"/>
      <c r="H10" s="40" t="inlineStr"/>
      <c r="I10" s="43" t="inlineStr"/>
    </row>
    <row r="11" ht="30" customHeight="1">
      <c r="A11" s="40" t="inlineStr">
        <is>
          <t>BUG-008</t>
        </is>
      </c>
      <c r="B11" s="40" t="inlineStr">
        <is>
          <t>TC-177</t>
        </is>
      </c>
      <c r="C11" s="43" t="inlineStr">
        <is>
          <t>Test fail: TC-177: expectedUpdatedAt mismatch → 409 @P0 @RED @High</t>
        </is>
      </c>
      <c r="D11" s="40" t="inlineStr">
        <is>
          <t>High</t>
        </is>
      </c>
      <c r="E11" s="40" t="inlineStr">
        <is>
          <t>Open</t>
        </is>
      </c>
      <c r="F11" s="40" t="inlineStr">
        <is>
          <t>23/05/2026</t>
        </is>
      </c>
      <c r="G11" s="40" t="inlineStr"/>
      <c r="H11" s="40" t="inlineStr"/>
      <c r="I11" s="43" t="inlineStr"/>
    </row>
    <row r="12" ht="30" customHeight="1">
      <c r="A12" s="40" t="inlineStr">
        <is>
          <t>BUG-009</t>
        </is>
      </c>
      <c r="B12" s="40" t="inlineStr">
        <is>
          <t>TC-178</t>
        </is>
      </c>
      <c r="C12" s="43" t="inlineStr">
        <is>
          <t>Test fail: TC-178: Escalation: ward team → non-ward team → emit CASE_ESCALATED_FROM_WARD audit @P0 @GREEN @High</t>
        </is>
      </c>
      <c r="D12" s="40" t="inlineStr">
        <is>
          <t>High</t>
        </is>
      </c>
      <c r="E12" s="40" t="inlineStr">
        <is>
          <t>Open</t>
        </is>
      </c>
      <c r="F12" s="40" t="inlineStr">
        <is>
          <t>23/05/2026</t>
        </is>
      </c>
      <c r="G12" s="40" t="inlineStr"/>
      <c r="H12" s="40" t="inlineStr"/>
      <c r="I12" s="43" t="inlineStr"/>
    </row>
    <row r="13" ht="30" customHeight="1">
      <c r="A13" s="40" t="inlineStr">
        <is>
          <t>BUG-010</t>
        </is>
      </c>
      <c r="B13" s="40" t="inlineStr">
        <is>
          <t>TC-179</t>
        </is>
      </c>
      <c r="C13" s="43" t="inlineStr">
        <is>
          <t>Test fail: TC-179: Re-assign cùng team (no-op assignedTeamId không đổi) → audit không emit escalation @P1 @GREEN @Medium</t>
        </is>
      </c>
      <c r="D13" s="40" t="inlineStr">
        <is>
          <t>Medium</t>
        </is>
      </c>
      <c r="E13" s="40" t="inlineStr">
        <is>
          <t>Open</t>
        </is>
      </c>
      <c r="F13" s="40" t="inlineStr">
        <is>
          <t>23/05/2026</t>
        </is>
      </c>
      <c r="G13" s="40" t="inlineStr"/>
      <c r="H13" s="40" t="inlineStr"/>
      <c r="I13" s="43" t="inlineStr"/>
    </row>
    <row r="14" ht="30" customHeight="1">
      <c r="A14" s="40" t="inlineStr">
        <is>
          <t>BUG-011</t>
        </is>
      </c>
      <c r="B14" s="40" t="inlineStr">
        <is>
          <t>TC-180</t>
        </is>
      </c>
      <c r="C14" s="43" t="inlineStr">
        <is>
          <t>Test fail: TC-180: Non-ward team → ward team (de-escalation) — audit không emit (chỉ from-ward) @P1 @GREEN @Medium</t>
        </is>
      </c>
      <c r="D14" s="40" t="inlineStr">
        <is>
          <t>Medium</t>
        </is>
      </c>
      <c r="E14" s="40" t="inlineStr">
        <is>
          <t>Open</t>
        </is>
      </c>
      <c r="F14" s="40" t="inlineStr">
        <is>
          <t>23/05/2026</t>
        </is>
      </c>
      <c r="G14" s="40" t="inlineStr"/>
      <c r="H14" s="40" t="inlineStr"/>
      <c r="I14" s="43" t="inlineStr"/>
    </row>
    <row r="15" ht="30" customHeight="1">
      <c r="A15" s="40" t="inlineStr">
        <is>
          <t>BUG-012</t>
        </is>
      </c>
      <c r="B15" s="40" t="inlineStr">
        <is>
          <t>TC-181</t>
        </is>
      </c>
      <c r="C15" s="43" t="inlineStr">
        <is>
          <t>Test fail: TC-181: assignedTeamId rỗng '' → 400 @P1 @RED @Medium</t>
        </is>
      </c>
      <c r="D15" s="40" t="inlineStr">
        <is>
          <t>Medium</t>
        </is>
      </c>
      <c r="E15" s="40" t="inlineStr">
        <is>
          <t>Open</t>
        </is>
      </c>
      <c r="F15" s="40" t="inlineStr">
        <is>
          <t>23/05/2026</t>
        </is>
      </c>
      <c r="G15" s="40" t="inlineStr"/>
      <c r="H15" s="40" t="inlineStr"/>
      <c r="I15" s="43" t="inlineStr"/>
    </row>
    <row r="16" ht="30" customHeight="1">
      <c r="A16" s="40" t="inlineStr">
        <is>
          <t>BUG-013</t>
        </is>
      </c>
      <c r="B16" s="40" t="inlineStr">
        <is>
          <t>TC-182</t>
        </is>
      </c>
      <c r="C16" s="43" t="inlineStr">
        <is>
          <t>Test fail: TC-182: Thiếu assignedTeamId → 400 DTO required @P1 @RED @High</t>
        </is>
      </c>
      <c r="D16" s="40" t="inlineStr">
        <is>
          <t>High</t>
        </is>
      </c>
      <c r="E16" s="40" t="inlineStr">
        <is>
          <t>Open</t>
        </is>
      </c>
      <c r="F16" s="40" t="inlineStr">
        <is>
          <t>23/05/2026</t>
        </is>
      </c>
      <c r="G16" s="40" t="inlineStr"/>
      <c r="H16" s="40" t="inlineStr"/>
      <c r="I16" s="43" t="inlineStr"/>
    </row>
    <row r="17" ht="30" customHeight="1">
      <c r="A17" s="40" t="inlineStr">
        <is>
          <t>BUG-014</t>
        </is>
      </c>
      <c r="B17" s="40" t="inlineStr">
        <is>
          <t>TC-183</t>
        </is>
      </c>
      <c r="C17" s="43" t="inlineStr">
        <is>
          <t>Test fail: TC-183: Dispatcher với expectedUpdatedAt KHỚP → success @P1 @GREEN @Medium</t>
        </is>
      </c>
      <c r="D17" s="40" t="inlineStr">
        <is>
          <t>Medium</t>
        </is>
      </c>
      <c r="E17" s="40" t="inlineStr">
        <is>
          <t>Open</t>
        </is>
      </c>
      <c r="F17" s="40" t="inlineStr">
        <is>
          <t>23/05/2026</t>
        </is>
      </c>
      <c r="G17" s="40" t="inlineStr"/>
      <c r="H17" s="40" t="inlineStr"/>
      <c r="I17" s="43" t="inlineStr"/>
    </row>
    <row r="18" ht="30" customHeight="1">
      <c r="A18" s="40" t="inlineStr">
        <is>
          <t>BUG-015</t>
        </is>
      </c>
      <c r="B18" s="40" t="inlineStr">
        <is>
          <t>TC-184</t>
        </is>
      </c>
      <c r="C18" s="43" t="inlineStr">
        <is>
          <t>Test fail: TC-184: Non-dispatcher với JWT của dispatcher (token theft) → permission guard pass? — JWT check role thật @P0 @RED @High</t>
        </is>
      </c>
      <c r="D18" s="40" t="inlineStr">
        <is>
          <t>High</t>
        </is>
      </c>
      <c r="E18" s="40" t="inlineStr">
        <is>
          <t>Open</t>
        </is>
      </c>
      <c r="F18" s="40" t="inlineStr">
        <is>
          <t>23/05/2026</t>
        </is>
      </c>
      <c r="G18" s="40" t="inlineStr"/>
      <c r="H18" s="40" t="inlineStr"/>
      <c r="I18" s="43" t="inlineStr"/>
    </row>
    <row r="19" ht="30" customHeight="1">
      <c r="A19" s="40" t="inlineStr">
        <is>
          <t>BUG-016</t>
        </is>
      </c>
      <c r="B19" s="40" t="inlineStr">
        <is>
          <t>TC-484</t>
        </is>
      </c>
      <c r="C19" s="43" t="inlineStr">
        <is>
          <t>Test fail: TC-484: Tạo Conclusion với type+content+caseId @P0 @GREEN @Critical</t>
        </is>
      </c>
      <c r="D19" s="40" t="inlineStr">
        <is>
          <t>Critical</t>
        </is>
      </c>
      <c r="E19" s="40" t="inlineStr">
        <is>
          <t>Open</t>
        </is>
      </c>
      <c r="F19" s="40" t="inlineStr">
        <is>
          <t>23/05/2026</t>
        </is>
      </c>
      <c r="G19" s="40" t="inlineStr"/>
      <c r="H19" s="40" t="inlineStr"/>
      <c r="I19" s="43" t="inlineStr"/>
    </row>
    <row r="20" ht="30" customHeight="1">
      <c r="A20" s="40" t="inlineStr">
        <is>
          <t>BUG-017</t>
        </is>
      </c>
      <c r="B20" s="40" t="inlineStr">
        <is>
          <t>TC-485</t>
        </is>
      </c>
      <c r="C20" s="43" t="inlineStr">
        <is>
          <t>Test fail: TC-485: caseId thiếu → 400 IsString @P0 @RED @High</t>
        </is>
      </c>
      <c r="D20" s="40" t="inlineStr">
        <is>
          <t>High</t>
        </is>
      </c>
      <c r="E20" s="40" t="inlineStr">
        <is>
          <t>Open</t>
        </is>
      </c>
      <c r="F20" s="40" t="inlineStr">
        <is>
          <t>23/05/2026</t>
        </is>
      </c>
      <c r="G20" s="40" t="inlineStr"/>
      <c r="H20" s="40" t="inlineStr"/>
      <c r="I20" s="43" t="inlineStr"/>
    </row>
    <row r="21" ht="30" customHeight="1">
      <c r="A21" s="40" t="inlineStr">
        <is>
          <t>BUG-018</t>
        </is>
      </c>
      <c r="B21" s="40" t="inlineStr">
        <is>
          <t>TC-486</t>
        </is>
      </c>
      <c r="C21" s="43" t="inlineStr">
        <is>
          <t>Test fail: TC-486: caseId không tồn tại → 400 FK @P0 @RED @High</t>
        </is>
      </c>
      <c r="D21" s="40" t="inlineStr">
        <is>
          <t>High</t>
        </is>
      </c>
      <c r="E21" s="40" t="inlineStr">
        <is>
          <t>Open</t>
        </is>
      </c>
      <c r="F21" s="40" t="inlineStr">
        <is>
          <t>23/05/2026</t>
        </is>
      </c>
      <c r="G21" s="40" t="inlineStr"/>
      <c r="H21" s="40" t="inlineStr"/>
      <c r="I21" s="43" t="inlineStr"/>
    </row>
    <row r="22" ht="30" customHeight="1">
      <c r="A22" s="40" t="inlineStr">
        <is>
          <t>BUG-019</t>
        </is>
      </c>
      <c r="B22" s="40" t="inlineStr">
        <is>
          <t>TC-487</t>
        </is>
      </c>
      <c r="C22" s="43" t="inlineStr">
        <is>
          <t>Test fail: TC-487: type rỗng → 400 @P0 @RED @High</t>
        </is>
      </c>
      <c r="D22" s="40" t="inlineStr">
        <is>
          <t>High</t>
        </is>
      </c>
      <c r="E22" s="40" t="inlineStr">
        <is>
          <t>Open</t>
        </is>
      </c>
      <c r="F22" s="40" t="inlineStr">
        <is>
          <t>23/05/2026</t>
        </is>
      </c>
      <c r="G22" s="40" t="inlineStr"/>
      <c r="H22" s="40" t="inlineStr"/>
      <c r="I22" s="43" t="inlineStr"/>
    </row>
    <row r="23" ht="30" customHeight="1">
      <c r="A23" s="40" t="inlineStr">
        <is>
          <t>BUG-020</t>
        </is>
      </c>
      <c r="B23" s="40" t="inlineStr">
        <is>
          <t>TC-488</t>
        </is>
      </c>
      <c r="C23" s="43" t="inlineStr">
        <is>
          <t>Test fail: TC-488: content rỗng → 400 @P0 @RED @High</t>
        </is>
      </c>
      <c r="D23" s="40" t="inlineStr">
        <is>
          <t>High</t>
        </is>
      </c>
      <c r="E23" s="40" t="inlineStr">
        <is>
          <t>Open</t>
        </is>
      </c>
      <c r="F23" s="40" t="inlineStr">
        <is>
          <t>23/05/2026</t>
        </is>
      </c>
      <c r="G23" s="40" t="inlineStr"/>
      <c r="H23" s="40" t="inlineStr"/>
      <c r="I23" s="43" t="inlineStr"/>
    </row>
    <row r="24" ht="30" customHeight="1">
      <c r="A24" s="40" t="inlineStr">
        <is>
          <t>BUG-021</t>
        </is>
      </c>
      <c r="B24" s="40" t="inlineStr">
        <is>
          <t>TC-489</t>
        </is>
      </c>
      <c r="C24" s="43" t="inlineStr">
        <is>
          <t>Test fail: TC-489: Tạo Conclusion với approvedById @P0 @GREEN @High</t>
        </is>
      </c>
      <c r="D24" s="40" t="inlineStr">
        <is>
          <t>High</t>
        </is>
      </c>
      <c r="E24" s="40" t="inlineStr">
        <is>
          <t>Open</t>
        </is>
      </c>
      <c r="F24" s="40" t="inlineStr">
        <is>
          <t>23/05/2026</t>
        </is>
      </c>
      <c r="G24" s="40" t="inlineStr"/>
      <c r="H24" s="40" t="inlineStr"/>
      <c r="I24" s="43" t="inlineStr"/>
    </row>
    <row r="25" ht="30" customHeight="1">
      <c r="A25" s="40" t="inlineStr">
        <is>
          <t>BUG-022</t>
        </is>
      </c>
      <c r="B25" s="40" t="inlineStr">
        <is>
          <t>TC-490</t>
        </is>
      </c>
      <c r="C25" s="43" t="inlineStr">
        <is>
          <t>Test fail: TC-490: approvedById không tồn tại → 400 FK @P0 @RED @High</t>
        </is>
      </c>
      <c r="D25" s="40" t="inlineStr">
        <is>
          <t>High</t>
        </is>
      </c>
      <c r="E25" s="40" t="inlineStr">
        <is>
          <t>Open</t>
        </is>
      </c>
      <c r="F25" s="40" t="inlineStr">
        <is>
          <t>23/05/2026</t>
        </is>
      </c>
      <c r="G25" s="40" t="inlineStr"/>
      <c r="H25" s="40" t="inlineStr"/>
      <c r="I25" s="43" t="inlineStr"/>
    </row>
    <row r="26" ht="30" customHeight="1">
      <c r="A26" s="40" t="inlineStr">
        <is>
          <t>BUG-023</t>
        </is>
      </c>
      <c r="B26" s="40" t="inlineStr">
        <is>
          <t>TC-491</t>
        </is>
      </c>
      <c r="C26" s="43" t="inlineStr">
        <is>
          <t>Test fail: TC-491: Default status khi POST không kèm @P0 @GREEN @Medium</t>
        </is>
      </c>
      <c r="D26" s="40" t="inlineStr">
        <is>
          <t>Medium</t>
        </is>
      </c>
      <c r="E26" s="40" t="inlineStr">
        <is>
          <t>Open</t>
        </is>
      </c>
      <c r="F26" s="40" t="inlineStr">
        <is>
          <t>23/05/2026</t>
        </is>
      </c>
      <c r="G26" s="40" t="inlineStr"/>
      <c r="H26" s="40" t="inlineStr"/>
      <c r="I26" s="43" t="inlineStr"/>
    </row>
    <row r="27" ht="30" customHeight="1">
      <c r="A27" s="40" t="inlineStr">
        <is>
          <t>BUG-024</t>
        </is>
      </c>
      <c r="B27" s="40" t="inlineStr">
        <is>
          <t>TC-492</t>
        </is>
      </c>
      <c r="C27" s="43" t="inlineStr">
        <is>
          <t>Test fail: TC-492: status='INVALID' → 400 IsEnum @P1 @RED @Medium</t>
        </is>
      </c>
      <c r="D27" s="40" t="inlineStr">
        <is>
          <t>Medium</t>
        </is>
      </c>
      <c r="E27" s="40" t="inlineStr">
        <is>
          <t>Open</t>
        </is>
      </c>
      <c r="F27" s="40" t="inlineStr">
        <is>
          <t>23/05/2026</t>
        </is>
      </c>
      <c r="G27" s="40" t="inlineStr"/>
      <c r="H27" s="40" t="inlineStr"/>
      <c r="I27" s="43" t="inlineStr"/>
    </row>
    <row r="28" ht="30" customHeight="1">
      <c r="A28" s="40" t="inlineStr">
        <is>
          <t>BUG-025</t>
        </is>
      </c>
      <c r="B28" s="40" t="inlineStr">
        <is>
          <t>TC-493</t>
        </is>
      </c>
      <c r="C28" s="43" t="inlineStr">
        <is>
          <t>Test fail: TC-493: GET /conclusions?caseId=C001 list @P0 @GREEN @High</t>
        </is>
      </c>
      <c r="D28" s="40" t="inlineStr">
        <is>
          <t>High</t>
        </is>
      </c>
      <c r="E28" s="40" t="inlineStr">
        <is>
          <t>Open</t>
        </is>
      </c>
      <c r="F28" s="40" t="inlineStr">
        <is>
          <t>23/05/2026</t>
        </is>
      </c>
      <c r="G28" s="40" t="inlineStr"/>
      <c r="H28" s="40" t="inlineStr"/>
      <c r="I28" s="43" t="inlineStr"/>
    </row>
    <row r="29" ht="30" customHeight="1">
      <c r="A29" s="40" t="inlineStr">
        <is>
          <t>BUG-026</t>
        </is>
      </c>
      <c r="B29" s="40" t="inlineStr">
        <is>
          <t>TC-494</t>
        </is>
      </c>
      <c r="C29" s="43" t="inlineStr">
        <is>
          <t>Test fail: TC-494: GET /conclusions/:id detail @P0 @GREEN @High</t>
        </is>
      </c>
      <c r="D29" s="40" t="inlineStr">
        <is>
          <t>High</t>
        </is>
      </c>
      <c r="E29" s="40" t="inlineStr">
        <is>
          <t>Open</t>
        </is>
      </c>
      <c r="F29" s="40" t="inlineStr">
        <is>
          <t>23/05/2026</t>
        </is>
      </c>
      <c r="G29" s="40" t="inlineStr"/>
      <c r="H29" s="40" t="inlineStr"/>
      <c r="I29" s="43" t="inlineStr"/>
    </row>
    <row r="30" ht="30" customHeight="1">
      <c r="A30" s="40" t="inlineStr">
        <is>
          <t>BUG-027</t>
        </is>
      </c>
      <c r="B30" s="40" t="inlineStr">
        <is>
          <t>TC-495</t>
        </is>
      </c>
      <c r="C30" s="43" t="inlineStr">
        <is>
          <t>Test fail: TC-495: GET conclusion ngoài scope (Case khác team) → 403 @P0 @RED @Critical</t>
        </is>
      </c>
      <c r="D30" s="40" t="inlineStr">
        <is>
          <t>Critical</t>
        </is>
      </c>
      <c r="E30" s="40" t="inlineStr">
        <is>
          <t>Open</t>
        </is>
      </c>
      <c r="F30" s="40" t="inlineStr">
        <is>
          <t>23/05/2026</t>
        </is>
      </c>
      <c r="G30" s="40" t="inlineStr"/>
      <c r="H30" s="40" t="inlineStr"/>
      <c r="I30" s="43" t="inlineStr"/>
    </row>
    <row r="31" ht="30" customHeight="1">
      <c r="A31" s="40" t="inlineStr">
        <is>
          <t>BUG-028</t>
        </is>
      </c>
      <c r="B31" s="40" t="inlineStr">
        <is>
          <t>TC-496</t>
        </is>
      </c>
      <c r="C31" s="43" t="inlineStr">
        <is>
          <t>Test fail: TC-496: GET /conclusions/NOT_EXIST → 404 @P0 @RED @High</t>
        </is>
      </c>
      <c r="D31" s="40" t="inlineStr">
        <is>
          <t>High</t>
        </is>
      </c>
      <c r="E31" s="40" t="inlineStr">
        <is>
          <t>Open</t>
        </is>
      </c>
      <c r="F31" s="40" t="inlineStr">
        <is>
          <t>23/05/2026</t>
        </is>
      </c>
      <c r="G31" s="40" t="inlineStr"/>
      <c r="H31" s="40" t="inlineStr"/>
      <c r="I31" s="43" t="inlineStr"/>
    </row>
    <row r="32" ht="30" customHeight="1">
      <c r="A32" s="40" t="inlineStr">
        <is>
          <t>BUG-029</t>
        </is>
      </c>
      <c r="B32" s="40" t="inlineStr">
        <is>
          <t>TC-497</t>
        </is>
      </c>
      <c r="C32" s="43" t="inlineStr">
        <is>
          <t>Test fail: TC-497: PUT update content @P0 @GREEN @High</t>
        </is>
      </c>
      <c r="D32" s="40" t="inlineStr">
        <is>
          <t>High</t>
        </is>
      </c>
      <c r="E32" s="40" t="inlineStr">
        <is>
          <t>Open</t>
        </is>
      </c>
      <c r="F32" s="40" t="inlineStr">
        <is>
          <t>23/05/2026</t>
        </is>
      </c>
      <c r="G32" s="40" t="inlineStr"/>
      <c r="H32" s="40" t="inlineStr"/>
      <c r="I32" s="43" t="inlineStr"/>
    </row>
    <row r="33" ht="30" customHeight="1">
      <c r="A33" s="40" t="inlineStr">
        <is>
          <t>BUG-030</t>
        </is>
      </c>
      <c r="B33" s="40" t="inlineStr">
        <is>
          <t>TC-498</t>
        </is>
      </c>
      <c r="C33" s="43" t="inlineStr">
        <is>
          <t>Test fail: TC-498: PUT conclusion đã APPROVED không cho sửa @P0 @RED @High</t>
        </is>
      </c>
      <c r="D33" s="40" t="inlineStr">
        <is>
          <t>High</t>
        </is>
      </c>
      <c r="E33" s="40" t="inlineStr">
        <is>
          <t>Open</t>
        </is>
      </c>
      <c r="F33" s="40" t="inlineStr">
        <is>
          <t>23/05/2026</t>
        </is>
      </c>
      <c r="G33" s="40" t="inlineStr"/>
      <c r="H33" s="40" t="inlineStr"/>
      <c r="I33" s="43" t="inlineStr"/>
    </row>
    <row r="34" ht="30" customHeight="1">
      <c r="A34" s="40" t="inlineStr">
        <is>
          <t>BUG-031</t>
        </is>
      </c>
      <c r="B34" s="40" t="inlineStr">
        <is>
          <t>TC-499</t>
        </is>
      </c>
      <c r="C34" s="43" t="inlineStr">
        <is>
          <t>Test fail: TC-499: DELETE conclusion soft delete @P0 @GREEN @High</t>
        </is>
      </c>
      <c r="D34" s="40" t="inlineStr">
        <is>
          <t>High</t>
        </is>
      </c>
      <c r="E34" s="40" t="inlineStr">
        <is>
          <t>Open</t>
        </is>
      </c>
      <c r="F34" s="40" t="inlineStr">
        <is>
          <t>23/05/2026</t>
        </is>
      </c>
      <c r="G34" s="40" t="inlineStr"/>
      <c r="H34" s="40" t="inlineStr"/>
      <c r="I34" s="43" t="inlineStr"/>
    </row>
    <row r="35" ht="30" customHeight="1">
      <c r="A35" s="40" t="inlineStr">
        <is>
          <t>BUG-032</t>
        </is>
      </c>
      <c r="B35" s="40" t="inlineStr">
        <is>
          <t>TC-500</t>
        </is>
      </c>
      <c r="C35" s="43" t="inlineStr">
        <is>
          <t>Test fail: TC-500: DELETE conclusion đã APPROVED → 400 @P0 @RED @High</t>
        </is>
      </c>
      <c r="D35" s="40" t="inlineStr">
        <is>
          <t>High</t>
        </is>
      </c>
      <c r="E35" s="40" t="inlineStr">
        <is>
          <t>Open</t>
        </is>
      </c>
      <c r="F35" s="40" t="inlineStr">
        <is>
          <t>23/05/2026</t>
        </is>
      </c>
      <c r="G35" s="40" t="inlineStr"/>
      <c r="H35" s="40" t="inlineStr"/>
      <c r="I35" s="43" t="inlineStr"/>
    </row>
    <row r="36" ht="30" customHeight="1">
      <c r="A36" s="40" t="inlineStr">
        <is>
          <t>BUG-033</t>
        </is>
      </c>
      <c r="B36" s="40" t="inlineStr">
        <is>
          <t>TC-501</t>
        </is>
      </c>
      <c r="C36" s="43" t="inlineStr">
        <is>
          <t>Test fail: TC-501: Transition DRAFT → SUBMITTED (gửi đi phê duyệt) @P0 @STATE @High</t>
        </is>
      </c>
      <c r="D36" s="40" t="inlineStr">
        <is>
          <t>High</t>
        </is>
      </c>
      <c r="E36" s="40" t="inlineStr">
        <is>
          <t>Open</t>
        </is>
      </c>
      <c r="F36" s="40" t="inlineStr">
        <is>
          <t>23/05/2026</t>
        </is>
      </c>
      <c r="G36" s="40" t="inlineStr"/>
      <c r="H36" s="40" t="inlineStr"/>
      <c r="I36" s="43" t="inlineStr"/>
    </row>
    <row r="37" ht="30" customHeight="1">
      <c r="A37" s="40" t="inlineStr">
        <is>
          <t>BUG-034</t>
        </is>
      </c>
      <c r="B37" s="40" t="inlineStr">
        <is>
          <t>TC-502</t>
        </is>
      </c>
      <c r="C37" s="43" t="inlineStr">
        <is>
          <t>Test fail: TC-502: Transition SUBMITTED → APPROVED (truong don vi duyet) @P0 @STATE @High</t>
        </is>
      </c>
      <c r="D37" s="40" t="inlineStr">
        <is>
          <t>High</t>
        </is>
      </c>
      <c r="E37" s="40" t="inlineStr">
        <is>
          <t>Open</t>
        </is>
      </c>
      <c r="F37" s="40" t="inlineStr">
        <is>
          <t>23/05/2026</t>
        </is>
      </c>
      <c r="G37" s="40" t="inlineStr"/>
      <c r="H37" s="40" t="inlineStr"/>
      <c r="I37" s="43" t="inlineStr"/>
    </row>
    <row r="38" ht="30" customHeight="1">
      <c r="A38" s="40" t="inlineStr">
        <is>
          <t>BUG-035</t>
        </is>
      </c>
      <c r="B38" s="40" t="inlineStr">
        <is>
          <t>TC-503</t>
        </is>
      </c>
      <c r="C38" s="43" t="inlineStr">
        <is>
          <t>Test fail: TC-503: Transition SUBMITTED → REJECTED @P0 @STATE @Medium</t>
        </is>
      </c>
      <c r="D38" s="40" t="inlineStr">
        <is>
          <t>Medium</t>
        </is>
      </c>
      <c r="E38" s="40" t="inlineStr">
        <is>
          <t>Open</t>
        </is>
      </c>
      <c r="F38" s="40" t="inlineStr">
        <is>
          <t>23/05/2026</t>
        </is>
      </c>
      <c r="G38" s="40" t="inlineStr"/>
      <c r="H38" s="40" t="inlineStr"/>
      <c r="I38" s="43" t="inlineStr"/>
    </row>
    <row r="39" ht="30" customHeight="1">
      <c r="A39" s="40" t="inlineStr">
        <is>
          <t>BUG-036</t>
        </is>
      </c>
      <c r="B39" s="40" t="inlineStr">
        <is>
          <t>TC-504</t>
        </is>
      </c>
      <c r="C39" s="43" t="inlineStr">
        <is>
          <t>Test fail: TC-504: Transition REJECTED → DRAFT (chỉnh sửa lại) @P0 @STATE @Medium</t>
        </is>
      </c>
      <c r="D39" s="40" t="inlineStr">
        <is>
          <t>Medium</t>
        </is>
      </c>
      <c r="E39" s="40" t="inlineStr">
        <is>
          <t>Open</t>
        </is>
      </c>
      <c r="F39" s="40" t="inlineStr">
        <is>
          <t>23/05/2026</t>
        </is>
      </c>
      <c r="G39" s="40" t="inlineStr"/>
      <c r="H39" s="40" t="inlineStr"/>
      <c r="I39" s="43" t="inlineStr"/>
    </row>
    <row r="40" ht="30" customHeight="1">
      <c r="A40" s="40" t="inlineStr">
        <is>
          <t>BUG-037</t>
        </is>
      </c>
      <c r="B40" s="40" t="inlineStr">
        <is>
          <t>TC-505</t>
        </is>
      </c>
      <c r="C40" s="43" t="inlineStr">
        <is>
          <t>Test fail: TC-505: APPROVED → DRAFT (downgrade) → block @P0 @RED @High</t>
        </is>
      </c>
      <c r="D40" s="40" t="inlineStr">
        <is>
          <t>High</t>
        </is>
      </c>
      <c r="E40" s="40" t="inlineStr">
        <is>
          <t>Open</t>
        </is>
      </c>
      <c r="F40" s="40" t="inlineStr">
        <is>
          <t>23/05/2026</t>
        </is>
      </c>
      <c r="G40" s="40" t="inlineStr"/>
      <c r="H40" s="40" t="inlineStr"/>
      <c r="I40" s="43" t="inlineStr"/>
    </row>
    <row r="41" ht="30" customHeight="1">
      <c r="A41" s="40" t="inlineStr">
        <is>
          <t>BUG-038</t>
        </is>
      </c>
      <c r="B41" s="40" t="inlineStr">
        <is>
          <t>TC-506</t>
        </is>
      </c>
      <c r="C41" s="43" t="inlineStr">
        <is>
          <t>Test fail: TC-506: User thường không có quyền APPROVE (không phải TRUONG_DON_VI) → 403 @P0 @SECURITY @Critical</t>
        </is>
      </c>
      <c r="D41" s="40" t="inlineStr">
        <is>
          <t>Critical</t>
        </is>
      </c>
      <c r="E41" s="40" t="inlineStr">
        <is>
          <t>Open</t>
        </is>
      </c>
      <c r="F41" s="40" t="inlineStr">
        <is>
          <t>23/05/2026</t>
        </is>
      </c>
      <c r="G41" s="40" t="inlineStr"/>
      <c r="H41" s="40" t="inlineStr"/>
      <c r="I41" s="43" t="inlineStr"/>
    </row>
    <row r="42" ht="30" customHeight="1">
      <c r="A42" s="40" t="inlineStr">
        <is>
          <t>BUG-039</t>
        </is>
      </c>
      <c r="B42" s="40" t="inlineStr">
        <is>
          <t>TC-507</t>
        </is>
      </c>
      <c r="C42" s="43" t="inlineStr">
        <is>
          <t>Test fail: TC-507: IDOR: POST conclusion với caseId của team khác @P0 @SECURITY @Critical</t>
        </is>
      </c>
      <c r="D42" s="40" t="inlineStr">
        <is>
          <t>Critical</t>
        </is>
      </c>
      <c r="E42" s="40" t="inlineStr">
        <is>
          <t>Open</t>
        </is>
      </c>
      <c r="F42" s="40" t="inlineStr">
        <is>
          <t>23/05/2026</t>
        </is>
      </c>
      <c r="G42" s="40" t="inlineStr"/>
      <c r="H42" s="40" t="inlineStr"/>
      <c r="I42" s="43" t="inlineStr"/>
    </row>
    <row r="43" ht="30" customHeight="1">
      <c r="A43" s="40" t="inlineStr">
        <is>
          <t>BUG-040</t>
        </is>
      </c>
      <c r="B43" s="40" t="inlineStr">
        <is>
          <t>TC-508</t>
        </is>
      </c>
      <c r="C43" s="43" t="inlineStr">
        <is>
          <t>Test fail: TC-508: XSS qua content='&lt;script&gt;' @P0 @SECURITY @Critical</t>
        </is>
      </c>
      <c r="D43" s="40" t="inlineStr">
        <is>
          <t>Critical</t>
        </is>
      </c>
      <c r="E43" s="40" t="inlineStr">
        <is>
          <t>Open</t>
        </is>
      </c>
      <c r="F43" s="40" t="inlineStr">
        <is>
          <t>23/05/2026</t>
        </is>
      </c>
      <c r="G43" s="40" t="inlineStr"/>
      <c r="H43" s="40" t="inlineStr"/>
      <c r="I43" s="43" t="inlineStr"/>
    </row>
    <row r="44" ht="30" customHeight="1">
      <c r="A44" s="40" t="inlineStr">
        <is>
          <t>BUG-041</t>
        </is>
      </c>
      <c r="B44" s="40" t="inlineStr">
        <is>
          <t>TC-509</t>
        </is>
      </c>
      <c r="C44" s="43" t="inlineStr">
        <is>
          <t>Test fail: TC-509: content rất dài (10K characters) @P1 @DATA @Low</t>
        </is>
      </c>
      <c r="D44" s="40" t="inlineStr">
        <is>
          <t>Low</t>
        </is>
      </c>
      <c r="E44" s="40" t="inlineStr">
        <is>
          <t>Open</t>
        </is>
      </c>
      <c r="F44" s="40" t="inlineStr">
        <is>
          <t>23/05/2026</t>
        </is>
      </c>
      <c r="G44" s="40" t="inlineStr"/>
      <c r="H44" s="40" t="inlineStr"/>
      <c r="I44" s="43" t="inlineStr"/>
    </row>
    <row r="45" ht="30" customHeight="1">
      <c r="A45" s="40" t="inlineStr">
        <is>
          <t>BUG-042</t>
        </is>
      </c>
      <c r="B45" s="40" t="inlineStr">
        <is>
          <t>TC-510</t>
        </is>
      </c>
      <c r="C45" s="43" t="inlineStr">
        <is>
          <t>Test fail: TC-510: content có format Markdown @P1 @DATA @Low</t>
        </is>
      </c>
      <c r="D45" s="40" t="inlineStr">
        <is>
          <t>Low</t>
        </is>
      </c>
      <c r="E45" s="40" t="inlineStr">
        <is>
          <t>Open</t>
        </is>
      </c>
      <c r="F45" s="40" t="inlineStr">
        <is>
          <t>23/05/2026</t>
        </is>
      </c>
      <c r="G45" s="40" t="inlineStr"/>
      <c r="H45" s="40" t="inlineStr"/>
      <c r="I45" s="43" t="inlineStr"/>
    </row>
    <row r="46" ht="30" customHeight="1">
      <c r="A46" s="40" t="inlineStr">
        <is>
          <t>BUG-043</t>
        </is>
      </c>
      <c r="B46" s="40" t="inlineStr">
        <is>
          <t>TC-511</t>
        </is>
      </c>
      <c r="C46" s="43" t="inlineStr">
        <is>
          <t>Test fail: TC-511: Conclusion APPROVED → Case status auto-update DA_KET_LUAN @P0 @INTEGRATION @Critical</t>
        </is>
      </c>
      <c r="D46" s="40" t="inlineStr">
        <is>
          <t>Critical</t>
        </is>
      </c>
      <c r="E46" s="40" t="inlineStr">
        <is>
          <t>Open</t>
        </is>
      </c>
      <c r="F46" s="40" t="inlineStr">
        <is>
          <t>23/05/2026</t>
        </is>
      </c>
      <c r="G46" s="40" t="inlineStr"/>
      <c r="H46" s="40" t="inlineStr"/>
      <c r="I46" s="43" t="inlineStr"/>
    </row>
    <row r="47" ht="30" customHeight="1">
      <c r="A47" s="40" t="inlineStr">
        <is>
          <t>BUG-044</t>
        </is>
      </c>
      <c r="B47" s="40" t="inlineStr">
        <is>
          <t>TC-512</t>
        </is>
      </c>
      <c r="C47" s="43" t="inlineStr">
        <is>
          <t>Test fail: TC-512: CONCLUSION_APPROVED log có approvedById + timestamp @P0 @AUDIT @High</t>
        </is>
      </c>
      <c r="D47" s="40" t="inlineStr">
        <is>
          <t>High</t>
        </is>
      </c>
      <c r="E47" s="40" t="inlineStr">
        <is>
          <t>Open</t>
        </is>
      </c>
      <c r="F47" s="40" t="inlineStr">
        <is>
          <t>23/05/2026</t>
        </is>
      </c>
      <c r="G47" s="40" t="inlineStr"/>
      <c r="H47" s="40" t="inlineStr"/>
      <c r="I47" s="43" t="inlineStr"/>
    </row>
    <row r="48" ht="30" customHeight="1">
      <c r="A48" s="40" t="inlineStr">
        <is>
          <t>BUG-045</t>
        </is>
      </c>
      <c r="B48" s="40" t="inlineStr">
        <is>
          <t>TC-513</t>
        </is>
      </c>
      <c r="C48" s="43" t="inlineStr">
        <is>
          <t>Test fail: TC-513: Form content textarea có aria-label @P1 @A11Y @Low</t>
        </is>
      </c>
      <c r="D48" s="40" t="inlineStr">
        <is>
          <t>Low</t>
        </is>
      </c>
      <c r="E48" s="40" t="inlineStr">
        <is>
          <t>Open</t>
        </is>
      </c>
      <c r="F48" s="40" t="inlineStr">
        <is>
          <t>23/05/2026</t>
        </is>
      </c>
      <c r="G48" s="40" t="inlineStr"/>
      <c r="H48" s="40" t="inlineStr"/>
      <c r="I48" s="43" t="inlineStr"/>
    </row>
    <row r="49" ht="30" customHeight="1">
      <c r="A49" s="40" t="inlineStr">
        <is>
          <t>BUG-046</t>
        </is>
      </c>
      <c r="B49" s="40" t="inlineStr">
        <is>
          <t>TC-514</t>
        </is>
      </c>
      <c r="C49" s="43" t="inlineStr">
        <is>
          <t>Test fail: TC-514: Save conclusion với content 5K chars &lt; 1s @P1 @PERFORMANCE @Medium</t>
        </is>
      </c>
      <c r="D49" s="40" t="inlineStr">
        <is>
          <t>Medium</t>
        </is>
      </c>
      <c r="E49" s="40" t="inlineStr">
        <is>
          <t>Open</t>
        </is>
      </c>
      <c r="F49" s="40" t="inlineStr">
        <is>
          <t>23/05/2026</t>
        </is>
      </c>
      <c r="G49" s="40" t="inlineStr"/>
      <c r="H49" s="40" t="inlineStr"/>
      <c r="I49" s="43" t="inlineStr"/>
    </row>
    <row r="50" ht="30" customHeight="1">
      <c r="A50" s="40" t="inlineStr">
        <is>
          <t>BUG-047</t>
        </is>
      </c>
      <c r="B50" s="40" t="inlineStr">
        <is>
          <t>TC-515</t>
        </is>
      </c>
      <c r="C50" s="43" t="inlineStr">
        <is>
          <t>Test fail: TC-515: content 1 ký tự → pass @P1 @BOUNDARY @Low</t>
        </is>
      </c>
      <c r="D50" s="40" t="inlineStr">
        <is>
          <t>Low</t>
        </is>
      </c>
      <c r="E50" s="40" t="inlineStr">
        <is>
          <t>Open</t>
        </is>
      </c>
      <c r="F50" s="40" t="inlineStr">
        <is>
          <t>23/05/2026</t>
        </is>
      </c>
      <c r="G50" s="40" t="inlineStr"/>
      <c r="H50" s="40" t="inlineStr"/>
      <c r="I50" s="43" t="inlineStr"/>
    </row>
    <row r="51" ht="30" customHeight="1">
      <c r="A51" s="40" t="inlineStr">
        <is>
          <t>BUG-048</t>
        </is>
      </c>
      <c r="B51" s="40" t="inlineStr">
        <is>
          <t>TC-516</t>
        </is>
      </c>
      <c r="C51" s="43" t="inlineStr">
        <is>
          <t>Test fail: TC-516: content 100K ký tự → ? (no max limit) @P1 @BOUNDARY @Low</t>
        </is>
      </c>
      <c r="D51" s="40" t="inlineStr">
        <is>
          <t>Low</t>
        </is>
      </c>
      <c r="E51" s="40" t="inlineStr">
        <is>
          <t>Open</t>
        </is>
      </c>
      <c r="F51" s="40" t="inlineStr">
        <is>
          <t>23/05/2026</t>
        </is>
      </c>
      <c r="G51" s="40" t="inlineStr"/>
      <c r="H51" s="40" t="inlineStr"/>
      <c r="I51" s="43" t="inlineStr"/>
    </row>
    <row r="52" ht="30" customHeight="1">
      <c r="A52" s="40" t="inlineStr">
        <is>
          <t>BUG-049</t>
        </is>
      </c>
      <c r="B52" s="40" t="inlineStr">
        <is>
          <t>TC-519</t>
        </is>
      </c>
      <c r="C52" s="43" t="inlineStr">
        <is>
          <t>Test fail: TC-519: Filter status=DRAFT @P1 @GREEN @Medium</t>
        </is>
      </c>
      <c r="D52" s="40" t="inlineStr">
        <is>
          <t>Medium</t>
        </is>
      </c>
      <c r="E52" s="40" t="inlineStr">
        <is>
          <t>Open</t>
        </is>
      </c>
      <c r="F52" s="40" t="inlineStr">
        <is>
          <t>23/05/2026</t>
        </is>
      </c>
      <c r="G52" s="40" t="inlineStr"/>
      <c r="H52" s="40" t="inlineStr"/>
      <c r="I52" s="43" t="inlineStr"/>
    </row>
    <row r="53" ht="30" customHeight="1">
      <c r="A53" s="40" t="inlineStr">
        <is>
          <t>BUG-050</t>
        </is>
      </c>
      <c r="B53" s="40" t="inlineStr">
        <is>
          <t>TC-520</t>
        </is>
      </c>
      <c r="C53" s="43" t="inlineStr">
        <is>
          <t>Test fail: TC-520: notes optional bỏ trống @P1 @GREEN @Low</t>
        </is>
      </c>
      <c r="D53" s="40" t="inlineStr">
        <is>
          <t>Low</t>
        </is>
      </c>
      <c r="E53" s="40" t="inlineStr">
        <is>
          <t>Open</t>
        </is>
      </c>
      <c r="F53" s="40" t="inlineStr">
        <is>
          <t>23/05/2026</t>
        </is>
      </c>
      <c r="G53" s="40" t="inlineStr"/>
      <c r="H53" s="40" t="inlineStr"/>
      <c r="I53" s="43" t="inlineStr"/>
    </row>
    <row r="54">
      <c r="A54" t="inlineStr">
        <is>
          <t>BUG-051</t>
        </is>
      </c>
      <c r="B54" t="inlineStr">
        <is>
          <t>TC-521</t>
        </is>
      </c>
      <c r="C54" t="inlineStr">
        <is>
          <t>Test fail: TC-521: type tiếng Việt 'Kết luận đề nghị truy tố' @P1 @DATA @Low</t>
        </is>
      </c>
      <c r="D54" t="inlineStr">
        <is>
          <t>Low</t>
        </is>
      </c>
      <c r="E54" t="inlineStr">
        <is>
          <t>Open</t>
        </is>
      </c>
      <c r="F54" t="inlineStr">
        <is>
          <t>23/05/2026</t>
        </is>
      </c>
    </row>
    <row r="55">
      <c r="A55" t="inlineStr">
        <is>
          <t>BUG-052</t>
        </is>
      </c>
      <c r="B55" t="inlineStr">
        <is>
          <t>TC-522</t>
        </is>
      </c>
      <c r="C55" t="inlineStr">
        <is>
          <t>Test fail: TC-522: Delete Case bị block khi có Conclusion linked @P1 @INTEGRATION @High</t>
        </is>
      </c>
      <c r="D55" t="inlineStr">
        <is>
          <t>High</t>
        </is>
      </c>
      <c r="E55" t="inlineStr">
        <is>
          <t>Open</t>
        </is>
      </c>
      <c r="F55" t="inlineStr">
        <is>
          <t>23/05/2026</t>
        </is>
      </c>
    </row>
    <row r="56">
      <c r="A56" t="inlineStr">
        <is>
          <t>BUG-053</t>
        </is>
      </c>
      <c r="B56" t="inlineStr">
        <is>
          <t>TC-055</t>
        </is>
      </c>
      <c r="C56" t="inlineStr">
        <is>
          <t>Test fail: TC-055: POST JWT đã hết hạn → 401 @P0 @RED @Critical</t>
        </is>
      </c>
      <c r="D56" t="inlineStr">
        <is>
          <t>Critical</t>
        </is>
      </c>
      <c r="E56" t="inlineStr">
        <is>
          <t>Open</t>
        </is>
      </c>
      <c r="F56" t="inlineStr">
        <is>
          <t>23/05/2026</t>
        </is>
      </c>
    </row>
    <row r="57">
      <c r="A57" t="inlineStr">
        <is>
          <t>BUG-054</t>
        </is>
      </c>
      <c r="B57" t="inlineStr">
        <is>
          <t>TC-056</t>
        </is>
      </c>
      <c r="C57" t="inlineStr">
        <is>
          <t>Test fail: TC-056: POST JWT bị tamper signature → 401 @P0 @RED @Critical</t>
        </is>
      </c>
      <c r="D57" t="inlineStr">
        <is>
          <t>Critical</t>
        </is>
      </c>
      <c r="E57" t="inlineStr">
        <is>
          <t>Open</t>
        </is>
      </c>
      <c r="F57" t="inlineStr">
        <is>
          <t>23/05/2026</t>
        </is>
      </c>
    </row>
    <row r="58">
      <c r="A58" t="inlineStr">
        <is>
          <t>BUG-055</t>
        </is>
      </c>
      <c r="B58" t="inlineStr">
        <is>
          <t>TC-062</t>
        </is>
      </c>
      <c r="C58" t="inlineStr">
        <is>
          <t>Test fail: TC-062: name='\n\n\n' (3 newline) bị trim → 400 @P0 @RED @High</t>
        </is>
      </c>
      <c r="D58" t="inlineStr">
        <is>
          <t>High</t>
        </is>
      </c>
      <c r="E58" t="inlineStr">
        <is>
          <t>Open</t>
        </is>
      </c>
      <c r="F58" t="inlineStr">
        <is>
          <t>23/05/2026</t>
        </is>
      </c>
    </row>
    <row r="59">
      <c r="A59" t="inlineStr">
        <is>
          <t>BUG-056</t>
        </is>
      </c>
      <c r="B59" t="inlineStr">
        <is>
          <t>TC-046</t>
        </is>
      </c>
      <c r="C59" t="inlineStr">
        <is>
          <t>Test fail: TC-046: ngayKhoiTo='2026-13-45' (tháng 13, ngày 45) → 400 @P1 @RED @Medium</t>
        </is>
      </c>
      <c r="D59" t="inlineStr">
        <is>
          <t>Medium</t>
        </is>
      </c>
      <c r="E59" t="inlineStr">
        <is>
          <t>Open</t>
        </is>
      </c>
      <c r="F59" t="inlineStr">
        <is>
          <t>23/05/2026</t>
        </is>
      </c>
    </row>
    <row r="60">
      <c r="A60" t="inlineStr">
        <is>
          <t>BUG-057</t>
        </is>
      </c>
      <c r="B60" t="inlineStr">
        <is>
          <t>TC-031</t>
        </is>
      </c>
      <c r="C60" t="inlineStr">
        <is>
          <t>Test fail: TC-031: FROM_PETITION với expectedPetitionUpdatedAt cũ hơn current → 409 Conflict @P0 @RED @High</t>
        </is>
      </c>
      <c r="D60" t="inlineStr">
        <is>
          <t>High</t>
        </is>
      </c>
      <c r="E60" t="inlineStr">
        <is>
          <t>Open</t>
        </is>
      </c>
      <c r="F60" t="inlineStr">
        <is>
          <t>23/05/2026</t>
        </is>
      </c>
    </row>
    <row r="61">
      <c r="A61" t="inlineStr">
        <is>
          <t>BUG-058</t>
        </is>
      </c>
      <c r="B61" t="inlineStr">
        <is>
          <t>TC-032</t>
        </is>
      </c>
      <c r="C61" t="inlineStr">
        <is>
          <t>Test fail: TC-032: FROM_PETITION với linkedPetitionId KHÔNG tồn tại → 404 @P0 @RED @High</t>
        </is>
      </c>
      <c r="D61" t="inlineStr">
        <is>
          <t>High</t>
        </is>
      </c>
      <c r="E61" t="inlineStr">
        <is>
          <t>Open</t>
        </is>
      </c>
      <c r="F61" t="inlineStr">
        <is>
          <t>23/05/2026</t>
        </is>
      </c>
    </row>
    <row r="62">
      <c r="A62" t="inlineStr">
        <is>
          <t>BUG-059</t>
        </is>
      </c>
      <c r="B62" t="inlineStr">
        <is>
          <t>TC-033</t>
        </is>
      </c>
      <c r="C62" t="inlineStr">
        <is>
          <t>Test fail: TC-033: FROM_PETITION với Petition của user KHÁC scope → 404 (không lộ tồn tại) @P0 @RED @Critical</t>
        </is>
      </c>
      <c r="D62" t="inlineStr">
        <is>
          <t>Critical</t>
        </is>
      </c>
      <c r="E62" t="inlineStr">
        <is>
          <t>Open</t>
        </is>
      </c>
      <c r="F62" t="inlineStr">
        <is>
          <t>23/05/2026</t>
        </is>
      </c>
    </row>
    <row r="63">
      <c r="A63" t="inlineStr">
        <is>
          <t>BUG-060</t>
        </is>
      </c>
      <c r="B63" t="inlineStr">
        <is>
          <t>TC-034</t>
        </is>
      </c>
      <c r="C63" t="inlineStr">
        <is>
          <t>Test fail: TC-034: FROM_PETITION với Petition đã có linkedCaseId (đã khởi tố trước) → 404 @P0 @RED @Critical</t>
        </is>
      </c>
      <c r="D63" t="inlineStr">
        <is>
          <t>Critical</t>
        </is>
      </c>
      <c r="E63" t="inlineStr">
        <is>
          <t>Open</t>
        </is>
      </c>
      <c r="F63" t="inlineStr">
        <is>
          <t>23/05/2026</t>
        </is>
      </c>
    </row>
    <row r="64">
      <c r="A64" t="inlineStr">
        <is>
          <t>BUG-061</t>
        </is>
      </c>
      <c r="B64" t="inlineStr">
        <is>
          <t>TC-035</t>
        </is>
      </c>
      <c r="C64" t="inlineStr">
        <is>
          <t>Test fail: TC-035: FROM_PETITION với deletedAt != null → 404 @P0 @RED @High</t>
        </is>
      </c>
      <c r="D64" t="inlineStr">
        <is>
          <t>High</t>
        </is>
      </c>
      <c r="E64" t="inlineStr">
        <is>
          <t>Open</t>
        </is>
      </c>
      <c r="F64" t="inlineStr">
        <is>
          <t>23/05/2026</t>
        </is>
      </c>
    </row>
    <row r="65">
      <c r="A65" t="inlineStr">
        <is>
          <t>BUG-062</t>
        </is>
      </c>
      <c r="B65" t="inlineStr">
        <is>
          <t>TC-036</t>
        </is>
      </c>
      <c r="C65" t="inlineStr">
        <is>
          <t>Test fail: TC-036: expectedPetitionUpdatedAt sai format (không ISO 8601) → 400 @P1 @RED @Medium</t>
        </is>
      </c>
      <c r="D65" t="inlineStr">
        <is>
          <t>Medium</t>
        </is>
      </c>
      <c r="E65" t="inlineStr">
        <is>
          <t>Open</t>
        </is>
      </c>
      <c r="F65" t="inlineStr">
        <is>
          <t>23/05/2026</t>
        </is>
      </c>
    </row>
    <row r="66">
      <c r="A66" t="inlineStr">
        <is>
          <t>BUG-063</t>
        </is>
      </c>
      <c r="B66" t="inlineStr">
        <is>
          <t>TC-048</t>
        </is>
      </c>
      <c r="C66" t="inlineStr">
        <is>
          <t>Test fail: TC-048: caseProvenance=DIRECT_DISCOVERY nhưng vẫn truyền linkedPetitionId → field bị ignore @P0 @RED @Medium</t>
        </is>
      </c>
      <c r="D66" t="inlineStr">
        <is>
          <t>Medium</t>
        </is>
      </c>
      <c r="E66" t="inlineStr">
        <is>
          <t>Open</t>
        </is>
      </c>
      <c r="F66" t="inlineStr">
        <is>
          <t>23/05/2026</t>
        </is>
      </c>
    </row>
    <row r="67">
      <c r="A67" t="inlineStr">
        <is>
          <t>BUG-064</t>
        </is>
      </c>
      <c r="B67" t="inlineStr">
        <is>
          <t>TC-060</t>
        </is>
      </c>
      <c r="C67" t="inlineStr">
        <is>
          <t>Test fail: TC-060: caseProvenance=SELF_SURRENDER cần linkedPetitionId hoặc khác? — check enum @P1 @RED @Medium</t>
        </is>
      </c>
      <c r="D67" t="inlineStr">
        <is>
          <t>Medium</t>
        </is>
      </c>
      <c r="E67" t="inlineStr">
        <is>
          <t>Open</t>
        </is>
      </c>
      <c r="F67" t="inlineStr">
        <is>
          <t>23/05/2026</t>
        </is>
      </c>
    </row>
    <row r="68">
      <c r="A68" t="inlineStr">
        <is>
          <t>BUG-065</t>
        </is>
      </c>
      <c r="B68" t="inlineStr">
        <is>
          <t>TC-064</t>
        </is>
      </c>
      <c r="C68" t="inlineStr">
        <is>
          <t>Test fail: TC-064: Race condition: 2 user đồng thời FROM_PETITION cùng PET-001 → 1 ConflictException @P0 @RED @Critical</t>
        </is>
      </c>
      <c r="D68" t="inlineStr">
        <is>
          <t>Critical</t>
        </is>
      </c>
      <c r="E68" t="inlineStr">
        <is>
          <t>Open</t>
        </is>
      </c>
      <c r="F68" t="inlineStr">
        <is>
          <t>23/05/2026</t>
        </is>
      </c>
    </row>
    <row r="69">
      <c r="A69" t="inlineStr">
        <is>
          <t>BUG-066</t>
        </is>
      </c>
      <c r="B69" t="inlineStr">
        <is>
          <t>TC-065</t>
        </is>
      </c>
      <c r="C69" t="inlineStr">
        <is>
          <t>Test fail: TC-065: FROM_INCIDENT với Incident updatedAt mismatch → 409 'Vụ việc đã chỉnh sửa' @P1 @RED @High</t>
        </is>
      </c>
      <c r="D69" t="inlineStr">
        <is>
          <t>High</t>
        </is>
      </c>
      <c r="E69" t="inlineStr">
        <is>
          <t>Open</t>
        </is>
      </c>
      <c r="F69" t="inlineStr">
        <is>
          <t>23/05/2026</t>
        </is>
      </c>
    </row>
    <row r="70">
      <c r="A70" t="inlineStr">
        <is>
          <t>BUG-067</t>
        </is>
      </c>
      <c r="B70" t="inlineStr">
        <is>
          <t>TC-066</t>
        </is>
      </c>
      <c r="C70" t="inlineStr">
        <is>
          <t>Test fail: TC-066: FROM_PETITION + ngayKhoiTo trước Petition.receivedDate? — business logic cần check @P1 @RED @Low</t>
        </is>
      </c>
      <c r="D70" t="inlineStr">
        <is>
          <t>Low</t>
        </is>
      </c>
      <c r="E70" t="inlineStr">
        <is>
          <t>Open</t>
        </is>
      </c>
      <c r="F70" t="inlineStr">
        <is>
          <t>23/05/2026</t>
        </is>
      </c>
    </row>
    <row r="71">
      <c r="A71" t="inlineStr">
        <is>
          <t>BUG-068</t>
        </is>
      </c>
      <c r="B71" t="inlineStr">
        <is>
          <t>TC-047</t>
        </is>
      </c>
      <c r="C71" t="inlineStr">
        <is>
          <t>Test fail: TC-047: sourceDocumentNote &gt; 1000 ký tự → 400 @P1 @RED @Medium</t>
        </is>
      </c>
      <c r="D71" t="inlineStr">
        <is>
          <t>Medium</t>
        </is>
      </c>
      <c r="E71" t="inlineStr">
        <is>
          <t>Open</t>
        </is>
      </c>
      <c r="F71" t="inlineStr">
        <is>
          <t>23/05/2026</t>
        </is>
      </c>
    </row>
    <row r="72">
      <c r="A72" t="inlineStr">
        <is>
          <t>BUG-069</t>
        </is>
      </c>
      <c r="B72" t="inlineStr">
        <is>
          <t>TC-039</t>
        </is>
      </c>
      <c r="C72" t="inlineStr">
        <is>
          <t>Test fail: TC-039: subjectsCount = -1 → 400 @Min(0) @P1 @RED @Medium</t>
        </is>
      </c>
      <c r="D72" t="inlineStr">
        <is>
          <t>Medium</t>
        </is>
      </c>
      <c r="E72" t="inlineStr">
        <is>
          <t>Open</t>
        </is>
      </c>
      <c r="F72" t="inlineStr">
        <is>
          <t>23/05/2026</t>
        </is>
      </c>
    </row>
    <row r="73">
      <c r="A73" t="inlineStr">
        <is>
          <t>BUG-070</t>
        </is>
      </c>
      <c r="B73" t="inlineStr">
        <is>
          <t>TC-040</t>
        </is>
      </c>
      <c r="C73" t="inlineStr">
        <is>
          <t>Test fail: TC-040: subjectsCount = 1.5 (float) → 400 IsInt @P1 @RED @Medium</t>
        </is>
      </c>
      <c r="D73" t="inlineStr">
        <is>
          <t>Medium</t>
        </is>
      </c>
      <c r="E73" t="inlineStr">
        <is>
          <t>Open</t>
        </is>
      </c>
      <c r="F73" t="inlineStr">
        <is>
          <t>23/05/2026</t>
        </is>
      </c>
    </row>
    <row r="74">
      <c r="A74" t="inlineStr">
        <is>
          <t>BUG-071</t>
        </is>
      </c>
      <c r="B74" t="inlineStr">
        <is>
          <t>TC-041</t>
        </is>
      </c>
      <c r="C74" t="inlineStr">
        <is>
          <t>Test fail: TC-041: subjectsCount = 'abc' string → 400 IsInt @P1 @RED @Medium</t>
        </is>
      </c>
      <c r="D74" t="inlineStr">
        <is>
          <t>Medium</t>
        </is>
      </c>
      <c r="E74" t="inlineStr">
        <is>
          <t>Open</t>
        </is>
      </c>
      <c r="F74" t="inlineStr">
        <is>
          <t>23/05/2026</t>
        </is>
      </c>
    </row>
    <row r="75">
      <c r="A75" t="inlineStr">
        <is>
          <t>BUG-072</t>
        </is>
      </c>
      <c r="B75" t="inlineStr">
        <is>
          <t>TC-051</t>
        </is>
      </c>
      <c r="C75" t="inlineStr">
        <is>
          <t>Test fail: TC-051: assignedTeamId KHÔNG tồn tại trong teams (FK invalid) → ? @P1 @RED @Medium</t>
        </is>
      </c>
      <c r="D75" t="inlineStr">
        <is>
          <t>Medium</t>
        </is>
      </c>
      <c r="E75" t="inlineStr">
        <is>
          <t>Open</t>
        </is>
      </c>
      <c r="F75" t="inlineStr">
        <is>
          <t>23/05/2026</t>
        </is>
      </c>
    </row>
    <row r="76">
      <c r="A76" t="inlineStr">
        <is>
          <t>BUG-073</t>
        </is>
      </c>
      <c r="B76" t="inlineStr">
        <is>
          <t>TC-059</t>
        </is>
      </c>
      <c r="C76" t="inlineStr">
        <is>
          <t>Test fail: TC-059: assignedTeamId của team đã isActive=false → field saved nhưng cảnh báo @P1 @RED @Medium</t>
        </is>
      </c>
      <c r="D76" t="inlineStr">
        <is>
          <t>Medium</t>
        </is>
      </c>
      <c r="E76" t="inlineStr">
        <is>
          <t>Open</t>
        </is>
      </c>
      <c r="F76" t="inlineStr">
        <is>
          <t>23/05/2026</t>
        </is>
      </c>
    </row>
    <row r="77">
      <c r="A77" t="inlineStr">
        <is>
          <t>BUG-074</t>
        </is>
      </c>
      <c r="B77" t="inlineStr">
        <is>
          <t>TC-057</t>
        </is>
      </c>
      <c r="C77" t="inlineStr">
        <is>
          <t>Test fail: TC-057: deadline là object → 400 IsDateString @P1 @RED @Medium</t>
        </is>
      </c>
      <c r="D77" t="inlineStr">
        <is>
          <t>Medium</t>
        </is>
      </c>
      <c r="E77" t="inlineStr">
        <is>
          <t>Open</t>
        </is>
      </c>
      <c r="F77" t="inlineStr">
        <is>
          <t>23/05/2026</t>
        </is>
      </c>
    </row>
    <row r="78">
      <c r="A78" t="inlineStr">
        <is>
          <t>BUG-075</t>
        </is>
      </c>
      <c r="B78" t="inlineStr">
        <is>
          <t>TC-058</t>
        </is>
      </c>
      <c r="C78" t="inlineStr">
        <is>
          <t>Test fail: TC-058: investigatorId là number 12345 → 400 IsString @P1 @RED @Medium</t>
        </is>
      </c>
      <c r="D78" t="inlineStr">
        <is>
          <t>Medium</t>
        </is>
      </c>
      <c r="E78" t="inlineStr">
        <is>
          <t>Open</t>
        </is>
      </c>
      <c r="F78" t="inlineStr">
        <is>
          <t>23/05/2026</t>
        </is>
      </c>
    </row>
    <row r="79">
      <c r="A79" t="inlineStr">
        <is>
          <t>BUG-076</t>
        </is>
      </c>
      <c r="B79" t="inlineStr">
        <is>
          <t>TC-043</t>
        </is>
      </c>
      <c r="C79" t="inlineStr">
        <is>
          <t>Test fail: TC-043: unit &gt; 255 ký tự → 400 @P1 @RED @Medium</t>
        </is>
      </c>
      <c r="D79" t="inlineStr">
        <is>
          <t>Medium</t>
        </is>
      </c>
      <c r="E79" t="inlineStr">
        <is>
          <t>Open</t>
        </is>
      </c>
      <c r="F79" t="inlineStr">
        <is>
          <t>23/05/2026</t>
        </is>
      </c>
    </row>
    <row r="80">
      <c r="A80" t="inlineStr">
        <is>
          <t>BUG-077</t>
        </is>
      </c>
      <c r="B80" t="inlineStr">
        <is>
          <t>TC-052</t>
        </is>
      </c>
      <c r="C80" t="inlineStr">
        <is>
          <t>Test fail: TC-052: POST kèm field lạ 'evilField=hack' với whitelist=true → 400 @P1 @RED @Medium</t>
        </is>
      </c>
      <c r="D80" t="inlineStr">
        <is>
          <t>Medium</t>
        </is>
      </c>
      <c r="E80" t="inlineStr">
        <is>
          <t>Open</t>
        </is>
      </c>
      <c r="F80" t="inlineStr">
        <is>
          <t>23/05/2026</t>
        </is>
      </c>
    </row>
    <row r="81">
      <c r="A81" t="inlineStr">
        <is>
          <t>BUG-078</t>
        </is>
      </c>
      <c r="B81" t="inlineStr">
        <is>
          <t>TC-001</t>
        </is>
      </c>
      <c r="C81" t="inlineStr">
        <is>
          <t>Test fail: TC-001: Tạo Case DIRECT_DISCOVERY thành công với input đầy đủ @P0 @GREEN @Critical</t>
        </is>
      </c>
      <c r="D81" t="inlineStr">
        <is>
          <t>Critical</t>
        </is>
      </c>
      <c r="E81" t="inlineStr">
        <is>
          <t>Open</t>
        </is>
      </c>
      <c r="F81" t="inlineStr">
        <is>
          <t>23/05/2026</t>
        </is>
      </c>
    </row>
    <row r="82">
      <c r="A82" t="inlineStr">
        <is>
          <t>BUG-079</t>
        </is>
      </c>
      <c r="B82" t="inlineStr">
        <is>
          <t>TC-002</t>
        </is>
      </c>
      <c r="C82" t="inlineStr">
        <is>
          <t>Test fail: TC-002: Tạo Case FROM_PETITION link Petition đang status TIEP_NHAN + expectedPetitionUpdatedAt khớp @P0 @GREEN @Critical</t>
        </is>
      </c>
      <c r="D82" t="inlineStr">
        <is>
          <t>Critical</t>
        </is>
      </c>
      <c r="E82" t="inlineStr">
        <is>
          <t>Open</t>
        </is>
      </c>
      <c r="F82" t="inlineStr">
        <is>
          <t>23/05/2026</t>
        </is>
      </c>
    </row>
    <row r="83">
      <c r="A83" t="inlineStr">
        <is>
          <t>BUG-080</t>
        </is>
      </c>
      <c r="B83" t="inlineStr">
        <is>
          <t>TC-003</t>
        </is>
      </c>
      <c r="C83" t="inlineStr">
        <is>
          <t>Test fail: TC-003: Tạo Case FROM_INCIDENT link Incident chưa khởi tố + expectedIncidentUpdatedAt khớp @P0 @GREEN @Critical</t>
        </is>
      </c>
      <c r="D83" t="inlineStr">
        <is>
          <t>Critical</t>
        </is>
      </c>
      <c r="E83" t="inlineStr">
        <is>
          <t>Open</t>
        </is>
      </c>
      <c r="F83" t="inlineStr">
        <is>
          <t>23/05/2026</t>
        </is>
      </c>
    </row>
    <row r="84">
      <c r="A84" t="inlineStr">
        <is>
          <t>BUG-081</t>
        </is>
      </c>
      <c r="B84" t="inlineStr">
        <is>
          <t>TC-004</t>
        </is>
      </c>
      <c r="C84" t="inlineStr">
        <is>
          <t>Test fail: TC-004: Tạo Case TRANSFERRED với sourceDocumentNote @P0 @GREEN @High</t>
        </is>
      </c>
      <c r="D84" t="inlineStr">
        <is>
          <t>High</t>
        </is>
      </c>
      <c r="E84" t="inlineStr">
        <is>
          <t>Open</t>
        </is>
      </c>
      <c r="F84" t="inlineStr">
        <is>
          <t>23/05/2026</t>
        </is>
      </c>
    </row>
    <row r="85">
      <c r="A85" t="inlineStr">
        <is>
          <t>BUG-082</t>
        </is>
      </c>
      <c r="B85" t="inlineStr">
        <is>
          <t>TC-005</t>
        </is>
      </c>
      <c r="C85" t="inlineStr">
        <is>
          <t>Test fail: TC-005: Tạo Case OTHER_LEGAL_SOURCE @P0 @GREEN @High</t>
        </is>
      </c>
      <c r="D85" t="inlineStr">
        <is>
          <t>High</t>
        </is>
      </c>
      <c r="E85" t="inlineStr">
        <is>
          <t>Open</t>
        </is>
      </c>
      <c r="F85" t="inlineStr">
        <is>
          <t>23/05/2026</t>
        </is>
      </c>
    </row>
    <row r="86">
      <c r="A86" t="inlineStr">
        <is>
          <t>BUG-083</t>
        </is>
      </c>
      <c r="B86" t="inlineStr">
        <is>
          <t>TC-006</t>
        </is>
      </c>
      <c r="C86" t="inlineStr">
        <is>
          <t>Test fail: TC-006: Tạo Case với capDoToiPham=DAC_BIET_NGHIEM_TRONG để KPI-4 tính @P0 @GREEN @High</t>
        </is>
      </c>
      <c r="D86" t="inlineStr">
        <is>
          <t>High</t>
        </is>
      </c>
      <c r="E86" t="inlineStr">
        <is>
          <t>Open</t>
        </is>
      </c>
      <c r="F86" t="inlineStr">
        <is>
          <t>23/05/2026</t>
        </is>
      </c>
    </row>
    <row r="87">
      <c r="A87" t="inlineStr">
        <is>
          <t>BUG-084</t>
        </is>
      </c>
      <c r="B87" t="inlineStr">
        <is>
          <t>TC-007</t>
        </is>
      </c>
      <c r="C87" t="inlineStr">
        <is>
          <t>Test fail: TC-007: Auto-deadline tính theo SystemSetting THOI_HAN_GIAI_QUYET @P0 @GREEN @High</t>
        </is>
      </c>
      <c r="D87" t="inlineStr">
        <is>
          <t>High</t>
        </is>
      </c>
      <c r="E87" t="inlineStr">
        <is>
          <t>Open</t>
        </is>
      </c>
      <c r="F87" t="inlineStr">
        <is>
          <t>23/05/2026</t>
        </is>
      </c>
    </row>
    <row r="88">
      <c r="A88" t="inlineStr">
        <is>
          <t>BUG-085</t>
        </is>
      </c>
      <c r="B88" t="inlineStr">
        <is>
          <t>TC-008</t>
        </is>
      </c>
      <c r="C88" t="inlineStr">
        <is>
          <t>Test fail: TC-008: Tạo Case manual deadline override auto-deadline @P0 @GREEN @High</t>
        </is>
      </c>
      <c r="D88" t="inlineStr">
        <is>
          <t>High</t>
        </is>
      </c>
      <c r="E88" t="inlineStr">
        <is>
          <t>Open</t>
        </is>
      </c>
      <c r="F88" t="inlineStr">
        <is>
          <t>23/05/2026</t>
        </is>
      </c>
    </row>
    <row r="89">
      <c r="A89" t="inlineStr">
        <is>
          <t>BUG-086</t>
        </is>
      </c>
      <c r="B89" t="inlineStr">
        <is>
          <t>TC-009</t>
        </is>
      </c>
      <c r="C89" t="inlineStr">
        <is>
          <t>Test fail: TC-009: Tạo Case với metadata custom (người báo tin) @P0 @GREEN @High</t>
        </is>
      </c>
      <c r="D89" t="inlineStr">
        <is>
          <t>High</t>
        </is>
      </c>
      <c r="E89" t="inlineStr">
        <is>
          <t>Open</t>
        </is>
      </c>
      <c r="F89" t="inlineStr">
        <is>
          <t>23/05/2026</t>
        </is>
      </c>
    </row>
    <row r="90">
      <c r="A90" t="inlineStr">
        <is>
          <t>BUG-087</t>
        </is>
      </c>
      <c r="B90" t="inlineStr">
        <is>
          <t>TC-010</t>
        </is>
      </c>
      <c r="C90" t="inlineStr">
        <is>
          <t>Test fail: TC-010: Ward officer auto-set assignedTeamId theo wardTeamId (silent override) @P0 @GREEN @High</t>
        </is>
      </c>
      <c r="D90" t="inlineStr">
        <is>
          <t>High</t>
        </is>
      </c>
      <c r="E90" t="inlineStr">
        <is>
          <t>Open</t>
        </is>
      </c>
      <c r="F90" t="inlineStr">
        <is>
          <t>23/05/2026</t>
        </is>
      </c>
    </row>
    <row r="91">
      <c r="A91" t="inlineStr">
        <is>
          <t>BUG-088</t>
        </is>
      </c>
      <c r="B91" t="inlineStr">
        <is>
          <t>TC-014</t>
        </is>
      </c>
      <c r="C91" t="inlineStr">
        <is>
          <t>Test fail: TC-014: Dispatcher tạo Case có thể chọn assignedTeamId bất kỳ @P1 @GREEN @High</t>
        </is>
      </c>
      <c r="D91" t="inlineStr">
        <is>
          <t>High</t>
        </is>
      </c>
      <c r="E91" t="inlineStr">
        <is>
          <t>Open</t>
        </is>
      </c>
      <c r="F91" t="inlineStr">
        <is>
          <t>23/05/2026</t>
        </is>
      </c>
    </row>
    <row r="92">
      <c r="A92" t="inlineStr">
        <is>
          <t>BUG-089</t>
        </is>
      </c>
      <c r="B92" t="inlineStr">
        <is>
          <t>TC-305</t>
        </is>
      </c>
      <c r="C92" t="inlineStr">
        <is>
          <t>Test fail: TC-305: crime 255 ký tự (max) → pass @P1 @BOUNDARY @Medium</t>
        </is>
      </c>
      <c r="D92" t="inlineStr">
        <is>
          <t>Medium</t>
        </is>
      </c>
      <c r="E92" t="inlineStr">
        <is>
          <t>Open</t>
        </is>
      </c>
      <c r="F92" t="inlineStr">
        <is>
          <t>23/05/2026</t>
        </is>
      </c>
    </row>
    <row r="93">
      <c r="A93" t="inlineStr">
        <is>
          <t>BUG-090</t>
        </is>
      </c>
      <c r="B93" t="inlineStr">
        <is>
          <t>TC-306</t>
        </is>
      </c>
      <c r="C93" t="inlineStr">
        <is>
          <t>Test fail: TC-306: crime 256 ký tự → 400 @P1 @BOUNDARY @Medium</t>
        </is>
      </c>
      <c r="D93" t="inlineStr">
        <is>
          <t>Medium</t>
        </is>
      </c>
      <c r="E93" t="inlineStr">
        <is>
          <t>Open</t>
        </is>
      </c>
      <c r="F93" t="inlineStr">
        <is>
          <t>23/05/2026</t>
        </is>
      </c>
    </row>
    <row r="94">
      <c r="A94" t="inlineStr">
        <is>
          <t>BUG-091</t>
        </is>
      </c>
      <c r="B94" t="inlineStr">
        <is>
          <t>TC-239</t>
        </is>
      </c>
      <c r="C94" t="inlineStr">
        <is>
          <t>Test fail: TC-239: Mutation POST/PUT/DELETE từ origin lạ không có cookie + custom header → reject CORS @P0 @SECURITY @High</t>
        </is>
      </c>
      <c r="D94" t="inlineStr">
        <is>
          <t>High</t>
        </is>
      </c>
      <c r="E94" t="inlineStr">
        <is>
          <t>Open</t>
        </is>
      </c>
      <c r="F94" t="inlineStr">
        <is>
          <t>23/05/2026</t>
        </is>
      </c>
    </row>
    <row r="95">
      <c r="A95" t="inlineStr">
        <is>
          <t>BUG-092</t>
        </is>
      </c>
      <c r="B95" t="inlineStr">
        <is>
          <t>TC-333</t>
        </is>
      </c>
      <c r="C95" t="inlineStr">
        <is>
          <t>Test fail: TC-333: ADMIN (dataScope=null) xem mọi Case @P0 @DECISION @Critical</t>
        </is>
      </c>
      <c r="D95" t="inlineStr">
        <is>
          <t>Critical</t>
        </is>
      </c>
      <c r="E95" t="inlineStr">
        <is>
          <t>Open</t>
        </is>
      </c>
      <c r="F95" t="inlineStr">
        <is>
          <t>23/05/2026</t>
        </is>
      </c>
    </row>
    <row r="96">
      <c r="A96" t="inlineStr">
        <is>
          <t>BUG-093</t>
        </is>
      </c>
      <c r="B96" t="inlineStr">
        <is>
          <t>TC-334</t>
        </is>
      </c>
      <c r="C96" t="inlineStr">
        <is>
          <t>Test fail: TC-334: Dispatcher (canDispatch=true) xem mọi Case @P0 @DECISION @Critical</t>
        </is>
      </c>
      <c r="D96" t="inlineStr">
        <is>
          <t>Critical</t>
        </is>
      </c>
      <c r="E96" t="inlineStr">
        <is>
          <t>Open</t>
        </is>
      </c>
      <c r="F96" t="inlineStr">
        <is>
          <t>23/05/2026</t>
        </is>
      </c>
    </row>
    <row r="97">
      <c r="A97" t="inlineStr">
        <is>
          <t>BUG-094</t>
        </is>
      </c>
      <c r="B97" t="inlineStr">
        <is>
          <t>TC-335</t>
        </is>
      </c>
      <c r="C97" t="inlineStr">
        <is>
          <t>Test fail: TC-335: Owner (investigatorId match userIds) xem Case mình @P0 @DECISION @High</t>
        </is>
      </c>
      <c r="D97" t="inlineStr">
        <is>
          <t>High</t>
        </is>
      </c>
      <c r="E97" t="inlineStr">
        <is>
          <t>Open</t>
        </is>
      </c>
      <c r="F97" t="inlineStr">
        <is>
          <t>23/05/2026</t>
        </is>
      </c>
    </row>
    <row r="98">
      <c r="A98" t="inlineStr">
        <is>
          <t>BUG-095</t>
        </is>
      </c>
      <c r="B98" t="inlineStr">
        <is>
          <t>TC-336</t>
        </is>
      </c>
      <c r="C98" t="inlineStr">
        <is>
          <t>Test fail: TC-336: Same team (assignedTeamId in teamIds) xem Case đồng nghiệp @P0 @DECISION @High</t>
        </is>
      </c>
      <c r="D98" t="inlineStr">
        <is>
          <t>High</t>
        </is>
      </c>
      <c r="E98" t="inlineStr">
        <is>
          <t>Open</t>
        </is>
      </c>
      <c r="F98" t="inlineStr">
        <is>
          <t>23/05/2026</t>
        </is>
      </c>
    </row>
    <row r="99">
      <c r="A99" t="inlineStr">
        <is>
          <t>BUG-096</t>
        </is>
      </c>
      <c r="B99" t="inlineStr">
        <is>
          <t>TC-337</t>
        </is>
      </c>
      <c r="C99" t="inlineStr">
        <is>
          <t>Test fail: TC-337: Unassigned Case + user có team (teamIds.length&gt;0) @P0 @DECISION @Medium</t>
        </is>
      </c>
      <c r="D99" t="inlineStr">
        <is>
          <t>Medium</t>
        </is>
      </c>
      <c r="E99" t="inlineStr">
        <is>
          <t>Open</t>
        </is>
      </c>
      <c r="F99" t="inlineStr">
        <is>
          <t>23/05/2026</t>
        </is>
      </c>
    </row>
    <row r="100">
      <c r="A100" t="inlineStr">
        <is>
          <t>BUG-097</t>
        </is>
      </c>
      <c r="B100" t="inlineStr">
        <is>
          <t>TC-338</t>
        </is>
      </c>
      <c r="C100" t="inlineStr">
        <is>
          <t>Test fail: TC-338: User khác team + không owner → 403 @P0 @DECISION @Critical</t>
        </is>
      </c>
      <c r="D100" t="inlineStr">
        <is>
          <t>Critical</t>
        </is>
      </c>
      <c r="E100" t="inlineStr">
        <is>
          <t>Open</t>
        </is>
      </c>
      <c r="F100" t="inlineStr">
        <is>
          <t>23/05/2026</t>
        </is>
      </c>
    </row>
    <row r="101">
      <c r="A101" t="inlineStr">
        <is>
          <t>BUG-098</t>
        </is>
      </c>
      <c r="B101" t="inlineStr">
        <is>
          <t>TC-295</t>
        </is>
      </c>
      <c r="C101" t="inlineStr">
        <is>
          <t>Test fail: TC-295: ngayKhoiTo='2026-02-29' (năm 2026 không nhuận) → 400 hoặc 2026-03-01? @P1 @DATA @Medium</t>
        </is>
      </c>
      <c r="D101" t="inlineStr">
        <is>
          <t>Medium</t>
        </is>
      </c>
      <c r="E101" t="inlineStr">
        <is>
          <t>Open</t>
        </is>
      </c>
      <c r="F101" t="inlineStr">
        <is>
          <t>23/05/2026</t>
        </is>
      </c>
    </row>
    <row r="102">
      <c r="A102" t="inlineStr">
        <is>
          <t>BUG-099</t>
        </is>
      </c>
      <c r="B102" t="inlineStr">
        <is>
          <t>TC-616</t>
        </is>
      </c>
      <c r="C102" t="inlineStr">
        <is>
          <t>Test fail: TC-616: Tạo Delegation với delegationNumber + receivingUnit @P0 @GREEN @High</t>
        </is>
      </c>
      <c r="D102" t="inlineStr">
        <is>
          <t>High</t>
        </is>
      </c>
      <c r="E102" t="inlineStr">
        <is>
          <t>Open</t>
        </is>
      </c>
      <c r="F102" t="inlineStr">
        <is>
          <t>23/05/2026</t>
        </is>
      </c>
    </row>
    <row r="103">
      <c r="A103" t="inlineStr">
        <is>
          <t>BUG-100</t>
        </is>
      </c>
      <c r="B103" t="inlineStr">
        <is>
          <t>TC-617</t>
        </is>
      </c>
      <c r="C103" t="inlineStr">
        <is>
          <t>Test fail: TC-617: delegationNumber rỗng → 400 @P0 @RED @High</t>
        </is>
      </c>
      <c r="D103" t="inlineStr">
        <is>
          <t>High</t>
        </is>
      </c>
      <c r="E103" t="inlineStr">
        <is>
          <t>Open</t>
        </is>
      </c>
      <c r="F103" t="inlineStr">
        <is>
          <t>23/05/2026</t>
        </is>
      </c>
    </row>
    <row r="104">
      <c r="A104" t="inlineStr">
        <is>
          <t>BUG-101</t>
        </is>
      </c>
      <c r="B104" t="inlineStr">
        <is>
          <t>TC-618</t>
        </is>
      </c>
      <c r="C104" t="inlineStr">
        <is>
          <t>Test fail: TC-618: receivingUnit rỗng → 400 @P0 @RED @High</t>
        </is>
      </c>
      <c r="D104" t="inlineStr">
        <is>
          <t>High</t>
        </is>
      </c>
      <c r="E104" t="inlineStr">
        <is>
          <t>Open</t>
        </is>
      </c>
      <c r="F104" t="inlineStr">
        <is>
          <t>23/05/2026</t>
        </is>
      </c>
    </row>
    <row r="105">
      <c r="A105" t="inlineStr">
        <is>
          <t>BUG-102</t>
        </is>
      </c>
      <c r="B105" t="inlineStr">
        <is>
          <t>TC-619</t>
        </is>
      </c>
      <c r="C105" t="inlineStr">
        <is>
          <t>Test fail: TC-619: content rỗng → 400 @P0 @RED @High</t>
        </is>
      </c>
      <c r="D105" t="inlineStr">
        <is>
          <t>High</t>
        </is>
      </c>
      <c r="E105" t="inlineStr">
        <is>
          <t>Open</t>
        </is>
      </c>
      <c r="F105" t="inlineStr">
        <is>
          <t>23/05/2026</t>
        </is>
      </c>
    </row>
    <row r="106">
      <c r="A106" t="inlineStr">
        <is>
          <t>BUG-103</t>
        </is>
      </c>
      <c r="B106" t="inlineStr">
        <is>
          <t>TC-620</t>
        </is>
      </c>
      <c r="C106" t="inlineStr">
        <is>
          <t>Test fail: TC-620: delegationNumber duplicate → 409 @P0 @RED @High</t>
        </is>
      </c>
      <c r="D106" t="inlineStr">
        <is>
          <t>High</t>
        </is>
      </c>
      <c r="E106" t="inlineStr">
        <is>
          <t>Open</t>
        </is>
      </c>
      <c r="F106" t="inlineStr">
        <is>
          <t>23/05/2026</t>
        </is>
      </c>
    </row>
    <row r="107">
      <c r="A107" t="inlineStr">
        <is>
          <t>BUG-104</t>
        </is>
      </c>
      <c r="B107" t="inlineStr">
        <is>
          <t>TC-622</t>
        </is>
      </c>
      <c r="C107" t="inlineStr">
        <is>
          <t>Test fail: TC-622: relatedCaseId không tồn tại → 400 @P0 @RED @High</t>
        </is>
      </c>
      <c r="D107" t="inlineStr">
        <is>
          <t>High</t>
        </is>
      </c>
      <c r="E107" t="inlineStr">
        <is>
          <t>Open</t>
        </is>
      </c>
      <c r="F107" t="inlineStr">
        <is>
          <t>23/05/2026</t>
        </is>
      </c>
    </row>
    <row r="108">
      <c r="A108" t="inlineStr">
        <is>
          <t>BUG-105</t>
        </is>
      </c>
      <c r="B108" t="inlineStr">
        <is>
          <t>TC-625</t>
        </is>
      </c>
      <c r="C108" t="inlineStr">
        <is>
          <t>Test fail: TC-625: GET ngoài scope → 403 @P0 @RED @Critical</t>
        </is>
      </c>
      <c r="D108" t="inlineStr">
        <is>
          <t>Critical</t>
        </is>
      </c>
      <c r="E108" t="inlineStr">
        <is>
          <t>Open</t>
        </is>
      </c>
      <c r="F108" t="inlineStr">
        <is>
          <t>23/05/2026</t>
        </is>
      </c>
    </row>
    <row r="109">
      <c r="A109" t="inlineStr">
        <is>
          <t>BUG-106</t>
        </is>
      </c>
      <c r="B109" t="inlineStr">
        <is>
          <t>TC-626</t>
        </is>
      </c>
      <c r="C109" t="inlineStr">
        <is>
          <t>Test fail: TC-626: GET NOT_EXIST → 404 @P0 @RED @High</t>
        </is>
      </c>
      <c r="D109" t="inlineStr">
        <is>
          <t>High</t>
        </is>
      </c>
      <c r="E109" t="inlineStr">
        <is>
          <t>Open</t>
        </is>
      </c>
      <c r="F109" t="inlineStr">
        <is>
          <t>23/05/2026</t>
        </is>
      </c>
    </row>
    <row r="110">
      <c r="A110" t="inlineStr">
        <is>
          <t>BUG-107</t>
        </is>
      </c>
      <c r="B110" t="inlineStr">
        <is>
          <t>TC-627</t>
        </is>
      </c>
      <c r="C110" t="inlineStr">
        <is>
          <t>Test fail: TC-627: PUT update content + completedDate @P0 @GREEN @High</t>
        </is>
      </c>
      <c r="D110" t="inlineStr">
        <is>
          <t>High</t>
        </is>
      </c>
      <c r="E110" t="inlineStr">
        <is>
          <t>Open</t>
        </is>
      </c>
      <c r="F110" t="inlineStr">
        <is>
          <t>23/05/2026</t>
        </is>
      </c>
    </row>
    <row r="111">
      <c r="A111" t="inlineStr">
        <is>
          <t>BUG-108</t>
        </is>
      </c>
      <c r="B111" t="inlineStr">
        <is>
          <t>TC-628</t>
        </is>
      </c>
      <c r="C111" t="inlineStr">
        <is>
          <t>Test fail: TC-628: DELETE soft delete @P0 @GREEN @High</t>
        </is>
      </c>
      <c r="D111" t="inlineStr">
        <is>
          <t>High</t>
        </is>
      </c>
      <c r="E111" t="inlineStr">
        <is>
          <t>Open</t>
        </is>
      </c>
      <c r="F111" t="inlineStr">
        <is>
          <t>23/05/2026</t>
        </is>
      </c>
    </row>
    <row r="112">
      <c r="A112" t="inlineStr">
        <is>
          <t>BUG-109</t>
        </is>
      </c>
      <c r="B112" t="inlineStr">
        <is>
          <t>TC-629</t>
        </is>
      </c>
      <c r="C112" t="inlineStr">
        <is>
          <t>Test fail: TC-629: Transition PENDING → IN_PROGRESS @P0 @STATE @High</t>
        </is>
      </c>
      <c r="D112" t="inlineStr">
        <is>
          <t>High</t>
        </is>
      </c>
      <c r="E112" t="inlineStr">
        <is>
          <t>Open</t>
        </is>
      </c>
      <c r="F112" t="inlineStr">
        <is>
          <t>23/05/2026</t>
        </is>
      </c>
    </row>
    <row r="113">
      <c r="A113" t="inlineStr">
        <is>
          <t>BUG-110</t>
        </is>
      </c>
      <c r="B113" t="inlineStr">
        <is>
          <t>TC-630</t>
        </is>
      </c>
      <c r="C113" t="inlineStr">
        <is>
          <t>Test fail: TC-630: Transition IN_PROGRESS → COMPLETED @P0 @STATE @High</t>
        </is>
      </c>
      <c r="D113" t="inlineStr">
        <is>
          <t>High</t>
        </is>
      </c>
      <c r="E113" t="inlineStr">
        <is>
          <t>Open</t>
        </is>
      </c>
      <c r="F113" t="inlineStr">
        <is>
          <t>23/05/2026</t>
        </is>
      </c>
    </row>
    <row r="114">
      <c r="A114" t="inlineStr">
        <is>
          <t>BUG-111</t>
        </is>
      </c>
      <c r="B114" t="inlineStr">
        <is>
          <t>TC-631</t>
        </is>
      </c>
      <c r="C114" t="inlineStr">
        <is>
          <t>Test fail: TC-631: Transition any → CANCELLED @P0 @STATE @Medium</t>
        </is>
      </c>
      <c r="D114" t="inlineStr">
        <is>
          <t>Medium</t>
        </is>
      </c>
      <c r="E114" t="inlineStr">
        <is>
          <t>Open</t>
        </is>
      </c>
      <c r="F114" t="inlineStr">
        <is>
          <t>23/05/2026</t>
        </is>
      </c>
    </row>
    <row r="115">
      <c r="A115" t="inlineStr">
        <is>
          <t>BUG-112</t>
        </is>
      </c>
      <c r="B115" t="inlineStr">
        <is>
          <t>TC-632</t>
        </is>
      </c>
      <c r="C115" t="inlineStr">
        <is>
          <t>Test fail: TC-632: COMPLETED → PENDING (downgrade) → block @P0 @RED @High</t>
        </is>
      </c>
      <c r="D115" t="inlineStr">
        <is>
          <t>High</t>
        </is>
      </c>
      <c r="E115" t="inlineStr">
        <is>
          <t>Open</t>
        </is>
      </c>
      <c r="F115" t="inlineStr">
        <is>
          <t>23/05/2026</t>
        </is>
      </c>
    </row>
    <row r="116">
      <c r="A116" t="inlineStr">
        <is>
          <t>BUG-113</t>
        </is>
      </c>
      <c r="B116" t="inlineStr">
        <is>
          <t>TC-633</t>
        </is>
      </c>
      <c r="C116" t="inlineStr">
        <is>
          <t>Test fail: TC-633: IDOR relatedCaseId team khác @P0 @SECURITY @Critical</t>
        </is>
      </c>
      <c r="D116" t="inlineStr">
        <is>
          <t>Critical</t>
        </is>
      </c>
      <c r="E116" t="inlineStr">
        <is>
          <t>Open</t>
        </is>
      </c>
      <c r="F116" t="inlineStr">
        <is>
          <t>23/05/2026</t>
        </is>
      </c>
    </row>
    <row r="117">
      <c r="A117" t="inlineStr">
        <is>
          <t>BUG-114</t>
        </is>
      </c>
      <c r="B117" t="inlineStr">
        <is>
          <t>TC-634</t>
        </is>
      </c>
      <c r="C117" t="inlineStr">
        <is>
          <t>Test fail: TC-634: XSS content @P0 @SECURITY @High</t>
        </is>
      </c>
      <c r="D117" t="inlineStr">
        <is>
          <t>High</t>
        </is>
      </c>
      <c r="E117" t="inlineStr">
        <is>
          <t>Open</t>
        </is>
      </c>
      <c r="F117" t="inlineStr">
        <is>
          <t>23/05/2026</t>
        </is>
      </c>
    </row>
    <row r="118">
      <c r="A118" t="inlineStr">
        <is>
          <t>BUG-115</t>
        </is>
      </c>
      <c r="B118" t="inlineStr">
        <is>
          <t>TC-635</t>
        </is>
      </c>
      <c r="C118" t="inlineStr">
        <is>
          <t>Test fail: TC-635: receivingUnit tiếng Việt 'Phòng Cảnh sát Hà Nội' @P1 @DATA @Low</t>
        </is>
      </c>
      <c r="D118" t="inlineStr">
        <is>
          <t>Low</t>
        </is>
      </c>
      <c r="E118" t="inlineStr">
        <is>
          <t>Open</t>
        </is>
      </c>
      <c r="F118" t="inlineStr">
        <is>
          <t>23/05/2026</t>
        </is>
      </c>
    </row>
    <row r="119">
      <c r="A119" t="inlineStr">
        <is>
          <t>BUG-116</t>
        </is>
      </c>
      <c r="B119" t="inlineStr">
        <is>
          <t>TC-636</t>
        </is>
      </c>
      <c r="C119" t="inlineStr">
        <is>
          <t>Test fail: TC-636: content nhiều paragraph @P1 @DATA @Low</t>
        </is>
      </c>
      <c r="D119" t="inlineStr">
        <is>
          <t>Low</t>
        </is>
      </c>
      <c r="E119" t="inlineStr">
        <is>
          <t>Open</t>
        </is>
      </c>
      <c r="F119" t="inlineStr">
        <is>
          <t>23/05/2026</t>
        </is>
      </c>
    </row>
    <row r="120">
      <c r="A120" t="inlineStr">
        <is>
          <t>BUG-117</t>
        </is>
      </c>
      <c r="B120" t="inlineStr">
        <is>
          <t>TC-637</t>
        </is>
      </c>
      <c r="C120" t="inlineStr">
        <is>
          <t>Test fail: TC-637: delegationDate ISO format @P1 @DATA @Medium</t>
        </is>
      </c>
      <c r="D120" t="inlineStr">
        <is>
          <t>Medium</t>
        </is>
      </c>
      <c r="E120" t="inlineStr">
        <is>
          <t>Open</t>
        </is>
      </c>
      <c r="F120" t="inlineStr">
        <is>
          <t>23/05/2026</t>
        </is>
      </c>
    </row>
    <row r="121">
      <c r="A121" t="inlineStr">
        <is>
          <t>BUG-118</t>
        </is>
      </c>
      <c r="B121" t="inlineStr">
        <is>
          <t>TC-638</t>
        </is>
      </c>
      <c r="C121" t="inlineStr">
        <is>
          <t>Test fail: TC-638: delegationDate format invalid → 400 (nếu IsDateString) @P1 @RED @Medium</t>
        </is>
      </c>
      <c r="D121" t="inlineStr">
        <is>
          <t>Medium</t>
        </is>
      </c>
      <c r="E121" t="inlineStr">
        <is>
          <t>Open</t>
        </is>
      </c>
      <c r="F121" t="inlineStr">
        <is>
          <t>23/05/2026</t>
        </is>
      </c>
    </row>
    <row r="122">
      <c r="A122" t="inlineStr">
        <is>
          <t>BUG-119</t>
        </is>
      </c>
      <c r="B122" t="inlineStr">
        <is>
          <t>TC-639</t>
        </is>
      </c>
      <c r="C122" t="inlineStr">
        <is>
          <t>Test fail: TC-639: DELEGATION_CREATED log @P0 @AUDIT @High</t>
        </is>
      </c>
      <c r="D122" t="inlineStr">
        <is>
          <t>High</t>
        </is>
      </c>
      <c r="E122" t="inlineStr">
        <is>
          <t>Open</t>
        </is>
      </c>
      <c r="F122" t="inlineStr">
        <is>
          <t>23/05/2026</t>
        </is>
      </c>
    </row>
    <row r="123">
      <c r="A123" t="inlineStr">
        <is>
          <t>BUG-120</t>
        </is>
      </c>
      <c r="B123" t="inlineStr">
        <is>
          <t>TC-640</t>
        </is>
      </c>
      <c r="C123" t="inlineStr">
        <is>
          <t>Test fail: TC-640: DELEGATION_COMPLETED log với completedDate @P0 @AUDIT @High</t>
        </is>
      </c>
      <c r="D123" t="inlineStr">
        <is>
          <t>High</t>
        </is>
      </c>
      <c r="E123" t="inlineStr">
        <is>
          <t>Open</t>
        </is>
      </c>
      <c r="F123" t="inlineStr">
        <is>
          <t>23/05/2026</t>
        </is>
      </c>
    </row>
    <row r="124">
      <c r="A124" t="inlineStr">
        <is>
          <t>BUG-121</t>
        </is>
      </c>
      <c r="B124" t="inlineStr">
        <is>
          <t>TC-641</t>
        </is>
      </c>
      <c r="C124" t="inlineStr">
        <is>
          <t>Test fail: TC-641: delegationNumber 1 ký tự @P1 @BOUNDARY @Low</t>
        </is>
      </c>
      <c r="D124" t="inlineStr">
        <is>
          <t>Low</t>
        </is>
      </c>
      <c r="E124" t="inlineStr">
        <is>
          <t>Open</t>
        </is>
      </c>
      <c r="F124" t="inlineStr">
        <is>
          <t>23/05/2026</t>
        </is>
      </c>
    </row>
    <row r="125">
      <c r="A125" t="inlineStr">
        <is>
          <t>BUG-122</t>
        </is>
      </c>
      <c r="B125" t="inlineStr">
        <is>
          <t>TC-642</t>
        </is>
      </c>
      <c r="C125" t="inlineStr">
        <is>
          <t>Test fail: TC-642: content 100K ký tự @P1 @BOUNDARY @Low</t>
        </is>
      </c>
      <c r="D125" t="inlineStr">
        <is>
          <t>Low</t>
        </is>
      </c>
      <c r="E125" t="inlineStr">
        <is>
          <t>Open</t>
        </is>
      </c>
      <c r="F125" t="inlineStr">
        <is>
          <t>23/05/2026</t>
        </is>
      </c>
    </row>
    <row r="126">
      <c r="A126" t="inlineStr">
        <is>
          <t>BUG-123</t>
        </is>
      </c>
      <c r="B126" t="inlineStr">
        <is>
          <t>TC-643</t>
        </is>
      </c>
      <c r="C126" t="inlineStr">
        <is>
          <t>Test fail: TC-643: List 50 delegations &lt; 500ms @P1 @PERFORMANCE @Medium</t>
        </is>
      </c>
      <c r="D126" t="inlineStr">
        <is>
          <t>Medium</t>
        </is>
      </c>
      <c r="E126" t="inlineStr">
        <is>
          <t>Open</t>
        </is>
      </c>
      <c r="F126" t="inlineStr">
        <is>
          <t>23/05/2026</t>
        </is>
      </c>
    </row>
    <row r="127">
      <c r="A127" t="inlineStr">
        <is>
          <t>BUG-124</t>
        </is>
      </c>
      <c r="B127" t="inlineStr">
        <is>
          <t>TC-644</t>
        </is>
      </c>
      <c r="C127" t="inlineStr">
        <is>
          <t>Test fail: TC-644: Form A11Y compliant @P1 @A11Y @Low</t>
        </is>
      </c>
      <c r="D127" t="inlineStr">
        <is>
          <t>Low</t>
        </is>
      </c>
      <c r="E127" t="inlineStr">
        <is>
          <t>Open</t>
        </is>
      </c>
      <c r="F127" t="inlineStr">
        <is>
          <t>23/05/2026</t>
        </is>
      </c>
    </row>
    <row r="128">
      <c r="A128" t="inlineStr">
        <is>
          <t>BUG-125</t>
        </is>
      </c>
      <c r="B128" t="inlineStr">
        <is>
          <t>TC-645</t>
        </is>
      </c>
      <c r="C128" t="inlineStr">
        <is>
          <t>Test fail: TC-645: Form mobile responsive @P1 @COMPAT @Medium</t>
        </is>
      </c>
      <c r="D128" t="inlineStr">
        <is>
          <t>Medium</t>
        </is>
      </c>
      <c r="E128" t="inlineStr">
        <is>
          <t>Open</t>
        </is>
      </c>
      <c r="F128" t="inlineStr">
        <is>
          <t>23/05/2026</t>
        </is>
      </c>
    </row>
    <row r="129">
      <c r="A129" t="inlineStr">
        <is>
          <t>BUG-126</t>
        </is>
      </c>
      <c r="B129" t="inlineStr">
        <is>
          <t>TC-342</t>
        </is>
      </c>
      <c r="C129" t="inlineStr">
        <is>
          <t>Test fail: TC-342: Decision matrix delete: TIEP_NHAN + creator + within 72h → success @P0 @DECISION @High</t>
        </is>
      </c>
      <c r="D129" t="inlineStr">
        <is>
          <t>High</t>
        </is>
      </c>
      <c r="E129" t="inlineStr">
        <is>
          <t>Open</t>
        </is>
      </c>
      <c r="F129" t="inlineStr">
        <is>
          <t>23/05/2026</t>
        </is>
      </c>
    </row>
    <row r="130">
      <c r="A130" t="inlineStr">
        <is>
          <t>BUG-127</t>
        </is>
      </c>
      <c r="B130" t="inlineStr">
        <is>
          <t>TC-343</t>
        </is>
      </c>
      <c r="C130" t="inlineStr">
        <is>
          <t>Test fail: TC-343: Decision: TIEP_NHAN + creator + &gt;72h + non-ADMIN → 400 @P0 @DECISION @High</t>
        </is>
      </c>
      <c r="D130" t="inlineStr">
        <is>
          <t>High</t>
        </is>
      </c>
      <c r="E130" t="inlineStr">
        <is>
          <t>Open</t>
        </is>
      </c>
      <c r="F130" t="inlineStr">
        <is>
          <t>23/05/2026</t>
        </is>
      </c>
    </row>
    <row r="131">
      <c r="A131" t="inlineStr">
        <is>
          <t>BUG-128</t>
        </is>
      </c>
      <c r="B131" t="inlineStr">
        <is>
          <t>TC-344</t>
        </is>
      </c>
      <c r="C131" t="inlineStr">
        <is>
          <t>Test fail: TC-344: Decision: TIEP_NHAN + non-creator + non-ADMIN → 403 @P0 @DECISION @High</t>
        </is>
      </c>
      <c r="D131" t="inlineStr">
        <is>
          <t>High</t>
        </is>
      </c>
      <c r="E131" t="inlineStr">
        <is>
          <t>Open</t>
        </is>
      </c>
      <c r="F131" t="inlineStr">
        <is>
          <t>23/05/2026</t>
        </is>
      </c>
    </row>
    <row r="132">
      <c r="A132" t="inlineStr">
        <is>
          <t>BUG-129</t>
        </is>
      </c>
      <c r="B132" t="inlineStr">
        <is>
          <t>TC-140</t>
        </is>
      </c>
      <c r="C132" t="inlineStr">
        <is>
          <t>Test fail: TC-140: Reason &lt; 10 ký tự → 400 @P0 @RED @High</t>
        </is>
      </c>
      <c r="D132" t="inlineStr">
        <is>
          <t>High</t>
        </is>
      </c>
      <c r="E132" t="inlineStr">
        <is>
          <t>Open</t>
        </is>
      </c>
      <c r="F132" t="inlineStr">
        <is>
          <t>23/05/2026</t>
        </is>
      </c>
    </row>
    <row r="133">
      <c r="A133" t="inlineStr">
        <is>
          <t>BUG-130</t>
        </is>
      </c>
      <c r="B133" t="inlineStr">
        <is>
          <t>TC-141</t>
        </is>
      </c>
      <c r="C133" t="inlineStr">
        <is>
          <t>Test fail: TC-141: Reason &gt; 500 ký tự → 400 @P0 @RED @High</t>
        </is>
      </c>
      <c r="D133" t="inlineStr">
        <is>
          <t>High</t>
        </is>
      </c>
      <c r="E133" t="inlineStr">
        <is>
          <t>Open</t>
        </is>
      </c>
      <c r="F133" t="inlineStr">
        <is>
          <t>23/05/2026</t>
        </is>
      </c>
    </row>
    <row r="134">
      <c r="A134" t="inlineStr">
        <is>
          <t>BUG-131</t>
        </is>
      </c>
      <c r="B134" t="inlineStr">
        <is>
          <t>TC-142</t>
        </is>
      </c>
      <c r="C134" t="inlineStr">
        <is>
          <t>Test fail: TC-142: Thiếu reason → 400 @P0 @RED @High</t>
        </is>
      </c>
      <c r="D134" t="inlineStr">
        <is>
          <t>High</t>
        </is>
      </c>
      <c r="E134" t="inlineStr">
        <is>
          <t>Open</t>
        </is>
      </c>
      <c r="F134" t="inlineStr">
        <is>
          <t>23/05/2026</t>
        </is>
      </c>
    </row>
    <row r="135">
      <c r="A135" t="inlineStr">
        <is>
          <t>BUG-132</t>
        </is>
      </c>
      <c r="B135" t="inlineStr">
        <is>
          <t>TC-143</t>
        </is>
      </c>
      <c r="C135" t="inlineStr">
        <is>
          <t>Test fail: TC-143: Reason rỗng '' → 400 @P0 @RED @High</t>
        </is>
      </c>
      <c r="D135" t="inlineStr">
        <is>
          <t>High</t>
        </is>
      </c>
      <c r="E135" t="inlineStr">
        <is>
          <t>Open</t>
        </is>
      </c>
      <c r="F135" t="inlineStr">
        <is>
          <t>23/05/2026</t>
        </is>
      </c>
    </row>
    <row r="136">
      <c r="A136" t="inlineStr">
        <is>
          <t>BUG-133</t>
        </is>
      </c>
      <c r="B136" t="inlineStr">
        <is>
          <t>TC-144</t>
        </is>
      </c>
      <c r="C136" t="inlineStr">
        <is>
          <t>Test fail: TC-144: Reason chỉ whitespace '          ' → 400 (Transform trim) @P0 @RED @High</t>
        </is>
      </c>
      <c r="D136" t="inlineStr">
        <is>
          <t>High</t>
        </is>
      </c>
      <c r="E136" t="inlineStr">
        <is>
          <t>Open</t>
        </is>
      </c>
      <c r="F136" t="inlineStr">
        <is>
          <t>23/05/2026</t>
        </is>
      </c>
    </row>
    <row r="137">
      <c r="A137" t="inlineStr">
        <is>
          <t>BUG-134</t>
        </is>
      </c>
      <c r="B137" t="inlineStr">
        <is>
          <t>TC-145</t>
        </is>
      </c>
      <c r="C137" t="inlineStr">
        <is>
          <t>Test fail: TC-145: Status ≠ TIEP_NHAN (DANG_DIEU_TRA) → 400 'Chỉ xóa được vụ án ở trạng thái Tiếp nhận' @P0 @RED @Critical</t>
        </is>
      </c>
      <c r="D137" t="inlineStr">
        <is>
          <t>Critical</t>
        </is>
      </c>
      <c r="E137" t="inlineStr">
        <is>
          <t>Open</t>
        </is>
      </c>
      <c r="F137" t="inlineStr">
        <is>
          <t>23/05/2026</t>
        </is>
      </c>
    </row>
    <row r="138">
      <c r="A138" t="inlineStr">
        <is>
          <t>BUG-135</t>
        </is>
      </c>
      <c r="B138" t="inlineStr">
        <is>
          <t>TC-146</t>
        </is>
      </c>
      <c r="C138" t="inlineStr">
        <is>
          <t>Test fail: TC-146: Có ≥1 subject linked → 400 'có N đối tượng. Xóa các đối tượng trước' @P0 @RED @High</t>
        </is>
      </c>
      <c r="D138" t="inlineStr">
        <is>
          <t>High</t>
        </is>
      </c>
      <c r="E138" t="inlineStr">
        <is>
          <t>Open</t>
        </is>
      </c>
      <c r="F138" t="inlineStr">
        <is>
          <t>23/05/2026</t>
        </is>
      </c>
    </row>
    <row r="139">
      <c r="A139" t="inlineStr">
        <is>
          <t>BUG-136</t>
        </is>
      </c>
      <c r="B139" t="inlineStr">
        <is>
          <t>TC-147</t>
        </is>
      </c>
      <c r="C139" t="inlineStr">
        <is>
          <t>Test fail: TC-147: Có ≥1 lawyer linked → 400 'có N luật sư' @P0 @RED @High</t>
        </is>
      </c>
      <c r="D139" t="inlineStr">
        <is>
          <t>High</t>
        </is>
      </c>
      <c r="E139" t="inlineStr">
        <is>
          <t>Open</t>
        </is>
      </c>
      <c r="F139" t="inlineStr">
        <is>
          <t>23/05/2026</t>
        </is>
      </c>
    </row>
    <row r="140">
      <c r="A140" t="inlineStr">
        <is>
          <t>BUG-137</t>
        </is>
      </c>
      <c r="B140" t="inlineStr">
        <is>
          <t>TC-148</t>
        </is>
      </c>
      <c r="C140" t="inlineStr">
        <is>
          <t>Test fail: TC-148: Có ≥1 conclusion → 400 @P0 @RED @High</t>
        </is>
      </c>
      <c r="D140" t="inlineStr">
        <is>
          <t>High</t>
        </is>
      </c>
      <c r="E140" t="inlineStr">
        <is>
          <t>Open</t>
        </is>
      </c>
      <c r="F140" t="inlineStr">
        <is>
          <t>23/05/2026</t>
        </is>
      </c>
    </row>
    <row r="141">
      <c r="A141" t="inlineStr">
        <is>
          <t>BUG-138</t>
        </is>
      </c>
      <c r="B141" t="inlineStr">
        <is>
          <t>TC-149</t>
        </is>
      </c>
      <c r="C141" t="inlineStr">
        <is>
          <t>Test fail: TC-149: Có ≥1 document → 400 @P0 @RED @High</t>
        </is>
      </c>
      <c r="D141" t="inlineStr">
        <is>
          <t>High</t>
        </is>
      </c>
      <c r="E141" t="inlineStr">
        <is>
          <t>Open</t>
        </is>
      </c>
      <c r="F141" t="inlineStr">
        <is>
          <t>23/05/2026</t>
        </is>
      </c>
    </row>
    <row r="142">
      <c r="A142" t="inlineStr">
        <is>
          <t>BUG-139</t>
        </is>
      </c>
      <c r="B142" t="inlineStr">
        <is>
          <t>TC-150</t>
        </is>
      </c>
      <c r="C142" t="inlineStr">
        <is>
          <t>Test fail: TC-150: Có ≥1 linkedIncident → 400 @P0 @RED @High</t>
        </is>
      </c>
      <c r="D142" t="inlineStr">
        <is>
          <t>High</t>
        </is>
      </c>
      <c r="E142" t="inlineStr">
        <is>
          <t>Open</t>
        </is>
      </c>
      <c r="F142" t="inlineStr">
        <is>
          <t>23/05/2026</t>
        </is>
      </c>
    </row>
    <row r="143">
      <c r="A143" t="inlineStr">
        <is>
          <t>BUG-140</t>
        </is>
      </c>
      <c r="B143" t="inlineStr">
        <is>
          <t>TC-151</t>
        </is>
      </c>
      <c r="C143" t="inlineStr">
        <is>
          <t>Test fail: TC-151: User không phải creator + không phải ADMIN → 403 @P0 @RED @Critical</t>
        </is>
      </c>
      <c r="D143" t="inlineStr">
        <is>
          <t>Critical</t>
        </is>
      </c>
      <c r="E143" t="inlineStr">
        <is>
          <t>Open</t>
        </is>
      </c>
      <c r="F143" t="inlineStr">
        <is>
          <t>23/05/2026</t>
        </is>
      </c>
    </row>
    <row r="144">
      <c r="A144" t="inlineStr">
        <is>
          <t>BUG-141</t>
        </is>
      </c>
      <c r="B144" t="inlineStr">
        <is>
          <t>TC-152</t>
        </is>
      </c>
      <c r="C144" t="inlineStr">
        <is>
          <t>Test fail: TC-152: createdById=NULL (legacy data) + user không ADMIN → 403 message riêng @P0 @RED @High</t>
        </is>
      </c>
      <c r="D144" t="inlineStr">
        <is>
          <t>High</t>
        </is>
      </c>
      <c r="E144" t="inlineStr">
        <is>
          <t>Open</t>
        </is>
      </c>
      <c r="F144" t="inlineStr">
        <is>
          <t>23/05/2026</t>
        </is>
      </c>
    </row>
    <row r="145">
      <c r="A145" t="inlineStr">
        <is>
          <t>BUG-142</t>
        </is>
      </c>
      <c r="B145" t="inlineStr">
        <is>
          <t>TC-153</t>
        </is>
      </c>
      <c r="C145" t="inlineStr">
        <is>
          <t>Test fail: TC-153: ADMIN xóa được Case của bất kỳ ai trong window @P0 @GREEN @High</t>
        </is>
      </c>
      <c r="D145" t="inlineStr">
        <is>
          <t>High</t>
        </is>
      </c>
      <c r="E145" t="inlineStr">
        <is>
          <t>Open</t>
        </is>
      </c>
      <c r="F145" t="inlineStr">
        <is>
          <t>23/05/2026</t>
        </is>
      </c>
    </row>
    <row r="146">
      <c r="A146" t="inlineStr">
        <is>
          <t>BUG-143</t>
        </is>
      </c>
      <c r="B146" t="inlineStr">
        <is>
          <t>TC-154</t>
        </is>
      </c>
      <c r="C146" t="inlineStr">
        <is>
          <t>Test fail: TC-154: Quá window (THOI_HAN_XOA_VU_AN=72h default) + không ADMIN → 400 @P0 @RED @High</t>
        </is>
      </c>
      <c r="D146" t="inlineStr">
        <is>
          <t>High</t>
        </is>
      </c>
      <c r="E146" t="inlineStr">
        <is>
          <t>Open</t>
        </is>
      </c>
      <c r="F146" t="inlineStr">
        <is>
          <t>23/05/2026</t>
        </is>
      </c>
    </row>
    <row r="147">
      <c r="A147" t="inlineStr">
        <is>
          <t>BUG-144</t>
        </is>
      </c>
      <c r="B147" t="inlineStr">
        <is>
          <t>TC-155</t>
        </is>
      </c>
      <c r="C147" t="inlineStr">
        <is>
          <t>Test fail: TC-155: ADMIN có thể xóa Case quá 72h window @P0 @GREEN @High</t>
        </is>
      </c>
      <c r="D147" t="inlineStr">
        <is>
          <t>High</t>
        </is>
      </c>
      <c r="E147" t="inlineStr">
        <is>
          <t>Open</t>
        </is>
      </c>
      <c r="F147" t="inlineStr">
        <is>
          <t>23/05/2026</t>
        </is>
      </c>
    </row>
    <row r="148">
      <c r="A148" t="inlineStr">
        <is>
          <t>BUG-145</t>
        </is>
      </c>
      <c r="B148" t="inlineStr">
        <is>
          <t>TC-156</t>
        </is>
      </c>
      <c r="C148" t="inlineStr">
        <is>
          <t>Test fail: TC-156: Race condition: status đổi trong lúc DELETE → P2025 catch → 400 friendly @P0 @RED @High</t>
        </is>
      </c>
      <c r="D148" t="inlineStr">
        <is>
          <t>High</t>
        </is>
      </c>
      <c r="E148" t="inlineStr">
        <is>
          <t>Open</t>
        </is>
      </c>
      <c r="F148" t="inlineStr">
        <is>
          <t>23/05/2026</t>
        </is>
      </c>
    </row>
    <row r="149">
      <c r="A149" t="inlineStr">
        <is>
          <t>BUG-146</t>
        </is>
      </c>
      <c r="B149" t="inlineStr">
        <is>
          <t>TC-157</t>
        </is>
      </c>
      <c r="C149" t="inlineStr">
        <is>
          <t>Test fail: TC-157: TOCTOU: subject vừa được insert giữa initial check và transaction → 400 trong tx @P0 @RED @Critical</t>
        </is>
      </c>
      <c r="D149" t="inlineStr">
        <is>
          <t>Critical</t>
        </is>
      </c>
      <c r="E149" t="inlineStr">
        <is>
          <t>Open</t>
        </is>
      </c>
      <c r="F149" t="inlineStr">
        <is>
          <t>23/05/2026</t>
        </is>
      </c>
    </row>
    <row r="150">
      <c r="A150" t="inlineStr">
        <is>
          <t>BUG-147</t>
        </is>
      </c>
      <c r="B150" t="inlineStr">
        <is>
          <t>TC-161</t>
        </is>
      </c>
      <c r="C150" t="inlineStr">
        <is>
          <t>Test fail: TC-161: Preflight Case ngoài scope → 403 (checkRecordInScope) @P0 @RED @High</t>
        </is>
      </c>
      <c r="D150" t="inlineStr">
        <is>
          <t>High</t>
        </is>
      </c>
      <c r="E150" t="inlineStr">
        <is>
          <t>Open</t>
        </is>
      </c>
      <c r="F150" t="inlineStr">
        <is>
          <t>23/05/2026</t>
        </is>
      </c>
    </row>
    <row r="151">
      <c r="A151" t="inlineStr">
        <is>
          <t>BUG-148</t>
        </is>
      </c>
      <c r="B151" t="inlineStr">
        <is>
          <t>TC-087</t>
        </is>
      </c>
      <c r="C151" t="inlineStr">
        <is>
          <t>Test fail: TC-087: GET /cases/NOT_EXIST → 404 @P0 @RED @High</t>
        </is>
      </c>
      <c r="D151" t="inlineStr">
        <is>
          <t>High</t>
        </is>
      </c>
      <c r="E151" t="inlineStr">
        <is>
          <t>Open</t>
        </is>
      </c>
      <c r="F151" t="inlineStr">
        <is>
          <t>23/05/2026</t>
        </is>
      </c>
    </row>
    <row r="152">
      <c r="A152" t="inlineStr">
        <is>
          <t>BUG-149</t>
        </is>
      </c>
      <c r="B152" t="inlineStr">
        <is>
          <t>TC-088</t>
        </is>
      </c>
      <c r="C152" t="inlineStr">
        <is>
          <t>Test fail: TC-088: GET /cases/:id của Case đã soft-deleted → 404 (deletedAt IS NOT NULL) @P0 @RED @High</t>
        </is>
      </c>
      <c r="D152" t="inlineStr">
        <is>
          <t>High</t>
        </is>
      </c>
      <c r="E152" t="inlineStr">
        <is>
          <t>Open</t>
        </is>
      </c>
      <c r="F152" t="inlineStr">
        <is>
          <t>23/05/2026</t>
        </is>
      </c>
    </row>
    <row r="153">
      <c r="A153" t="inlineStr">
        <is>
          <t>BUG-150</t>
        </is>
      </c>
      <c r="B153" t="inlineStr">
        <is>
          <t>TC-089</t>
        </is>
      </c>
      <c r="C153" t="inlineStr">
        <is>
          <t>Test fail: TC-089: GET /cases/:id của Case ngoài scope → 403 @P0 @RED @Critical</t>
        </is>
      </c>
      <c r="D153" t="inlineStr">
        <is>
          <t>Critical</t>
        </is>
      </c>
      <c r="E153" t="inlineStr">
        <is>
          <t>Open</t>
        </is>
      </c>
      <c r="F153" t="inlineStr">
        <is>
          <t>23/05/2026</t>
        </is>
      </c>
    </row>
    <row r="154">
      <c r="A154" t="inlineStr">
        <is>
          <t>BUG-151</t>
        </is>
      </c>
      <c r="B154" t="inlineStr">
        <is>
          <t>TC-090</t>
        </is>
      </c>
      <c r="C154" t="inlineStr">
        <is>
          <t>Test fail: TC-090: Dispatcher xem mọi Case không bị scope chặn @P0 @GREEN @High</t>
        </is>
      </c>
      <c r="D154" t="inlineStr">
        <is>
          <t>High</t>
        </is>
      </c>
      <c r="E154" t="inlineStr">
        <is>
          <t>Open</t>
        </is>
      </c>
      <c r="F154" t="inlineStr">
        <is>
          <t>23/05/2026</t>
        </is>
      </c>
    </row>
    <row r="155">
      <c r="A155" t="inlineStr">
        <is>
          <t>BUG-152</t>
        </is>
      </c>
      <c r="B155" t="inlineStr">
        <is>
          <t>TC-091</t>
        </is>
      </c>
      <c r="C155" t="inlineStr">
        <is>
          <t>Test fail: TC-091: ADMIN xem mọi Case (no scope) @P0 @GREEN @High</t>
        </is>
      </c>
      <c r="D155" t="inlineStr">
        <is>
          <t>High</t>
        </is>
      </c>
      <c r="E155" t="inlineStr">
        <is>
          <t>Open</t>
        </is>
      </c>
      <c r="F155" t="inlineStr">
        <is>
          <t>23/05/2026</t>
        </is>
      </c>
    </row>
    <row r="156">
      <c r="A156" t="inlineStr">
        <is>
          <t>BUG-153</t>
        </is>
      </c>
      <c r="B156" t="inlineStr">
        <is>
          <t>TC-092</t>
        </is>
      </c>
      <c r="C156" t="inlineStr">
        <is>
          <t>Test fail: TC-092: Owner (investigator) xem được Case mình phụ trách @P0 @GREEN @High</t>
        </is>
      </c>
      <c r="D156" t="inlineStr">
        <is>
          <t>High</t>
        </is>
      </c>
      <c r="E156" t="inlineStr">
        <is>
          <t>Open</t>
        </is>
      </c>
      <c r="F156" t="inlineStr">
        <is>
          <t>23/05/2026</t>
        </is>
      </c>
    </row>
    <row r="157">
      <c r="A157" t="inlineStr">
        <is>
          <t>BUG-154</t>
        </is>
      </c>
      <c r="B157" t="inlineStr">
        <is>
          <t>TC-093</t>
        </is>
      </c>
      <c r="C157" t="inlineStr">
        <is>
          <t>Test fail: TC-093: Cùng team xem được Case của đồng nghiệp @P0 @GREEN @High</t>
        </is>
      </c>
      <c r="D157" t="inlineStr">
        <is>
          <t>High</t>
        </is>
      </c>
      <c r="E157" t="inlineStr">
        <is>
          <t>Open</t>
        </is>
      </c>
      <c r="F157" t="inlineStr">
        <is>
          <t>23/05/2026</t>
        </is>
      </c>
    </row>
    <row r="158">
      <c r="A158" t="inlineStr">
        <is>
          <t>BUG-155</t>
        </is>
      </c>
      <c r="B158" t="inlineStr">
        <is>
          <t>TC-094</t>
        </is>
      </c>
      <c r="C158" t="inlineStr">
        <is>
          <t>Test fail: TC-094: User được xem unassigned Case của team mình (assignedTeamId=null + teamIds.length&gt;0) @P1 @GREEN @Medium</t>
        </is>
      </c>
      <c r="D158" t="inlineStr">
        <is>
          <t>Medium</t>
        </is>
      </c>
      <c r="E158" t="inlineStr">
        <is>
          <t>Open</t>
        </is>
      </c>
      <c r="F158" t="inlineStr">
        <is>
          <t>23/05/2026</t>
        </is>
      </c>
    </row>
    <row r="159">
      <c r="A159" t="inlineStr">
        <is>
          <t>BUG-156</t>
        </is>
      </c>
      <c r="B159" t="inlineStr">
        <is>
          <t>TC-280</t>
        </is>
      </c>
      <c r="C159" t="inlineStr">
        <is>
          <t>Test fail: TC-280: GET /cases/:id (include petitions + investigator) &lt; 300ms @P1 @PERFORMANCE @Medium</t>
        </is>
      </c>
      <c r="D159" t="inlineStr">
        <is>
          <t>Medium</t>
        </is>
      </c>
      <c r="E159" t="inlineStr">
        <is>
          <t>Open</t>
        </is>
      </c>
      <c r="F159" t="inlineStr">
        <is>
          <t>23/05/2026</t>
        </is>
      </c>
    </row>
    <row r="160">
      <c r="A160" t="inlineStr">
        <is>
          <t>BUG-157</t>
        </is>
      </c>
      <c r="B160" t="inlineStr">
        <is>
          <t>TC-523</t>
        </is>
      </c>
      <c r="C160" t="inlineStr">
        <is>
          <t>Test fail: TC-523: Upload PDF 5MB qua POST /documents @P0 @GREEN @Critical</t>
        </is>
      </c>
      <c r="D160" t="inlineStr">
        <is>
          <t>Critical</t>
        </is>
      </c>
      <c r="E160" t="inlineStr">
        <is>
          <t>Open</t>
        </is>
      </c>
      <c r="F160" t="inlineStr">
        <is>
          <t>23/05/2026</t>
        </is>
      </c>
    </row>
    <row r="161">
      <c r="A161" t="inlineStr">
        <is>
          <t>BUG-158</t>
        </is>
      </c>
      <c r="B161" t="inlineStr">
        <is>
          <t>TC-524</t>
        </is>
      </c>
      <c r="C161" t="inlineStr">
        <is>
          <t>Test fail: TC-524: Upload Word .docx @P0 @GREEN @High</t>
        </is>
      </c>
      <c r="D161" t="inlineStr">
        <is>
          <t>High</t>
        </is>
      </c>
      <c r="E161" t="inlineStr">
        <is>
          <t>Open</t>
        </is>
      </c>
      <c r="F161" t="inlineStr">
        <is>
          <t>23/05/2026</t>
        </is>
      </c>
    </row>
    <row r="162">
      <c r="A162" t="inlineStr">
        <is>
          <t>BUG-159</t>
        </is>
      </c>
      <c r="B162" t="inlineStr">
        <is>
          <t>TC-525</t>
        </is>
      </c>
      <c r="C162" t="inlineStr">
        <is>
          <t>Test fail: TC-525: Upload image JPG @P0 @GREEN @High</t>
        </is>
      </c>
      <c r="D162" t="inlineStr">
        <is>
          <t>High</t>
        </is>
      </c>
      <c r="E162" t="inlineStr">
        <is>
          <t>Open</t>
        </is>
      </c>
      <c r="F162" t="inlineStr">
        <is>
          <t>23/05/2026</t>
        </is>
      </c>
    </row>
    <row r="163">
      <c r="A163" t="inlineStr">
        <is>
          <t>BUG-160</t>
        </is>
      </c>
      <c r="B163" t="inlineStr">
        <is>
          <t>TC-526</t>
        </is>
      </c>
      <c r="C163" t="inlineStr">
        <is>
          <t>Test fail: TC-526: Upload PNG @P0 @GREEN @High</t>
        </is>
      </c>
      <c r="D163" t="inlineStr">
        <is>
          <t>High</t>
        </is>
      </c>
      <c r="E163" t="inlineStr">
        <is>
          <t>Open</t>
        </is>
      </c>
      <c r="F163" t="inlineStr">
        <is>
          <t>23/05/2026</t>
        </is>
      </c>
    </row>
    <row r="164">
      <c r="A164" t="inlineStr">
        <is>
          <t>BUG-161</t>
        </is>
      </c>
      <c r="B164" t="inlineStr">
        <is>
          <t>TC-527</t>
        </is>
      </c>
      <c r="C164" t="inlineStr">
        <is>
          <t>Test fail: TC-527: Upload file &gt; 10MB (mặc định limit) → 413 @P0 @RED @High</t>
        </is>
      </c>
      <c r="D164" t="inlineStr">
        <is>
          <t>High</t>
        </is>
      </c>
      <c r="E164" t="inlineStr">
        <is>
          <t>Open</t>
        </is>
      </c>
      <c r="F164" t="inlineStr">
        <is>
          <t>23/05/2026</t>
        </is>
      </c>
    </row>
    <row r="165">
      <c r="A165" t="inlineStr">
        <is>
          <t>BUG-162</t>
        </is>
      </c>
      <c r="B165" t="inlineStr">
        <is>
          <t>TC-528</t>
        </is>
      </c>
      <c r="C165" t="inlineStr">
        <is>
          <t>Test fail: TC-528: Upload .exe → block by mimetype @P0 @RED @Critical</t>
        </is>
      </c>
      <c r="D165" t="inlineStr">
        <is>
          <t>Critical</t>
        </is>
      </c>
      <c r="E165" t="inlineStr">
        <is>
          <t>Open</t>
        </is>
      </c>
      <c r="F165" t="inlineStr">
        <is>
          <t>23/05/2026</t>
        </is>
      </c>
    </row>
    <row r="166">
      <c r="A166" t="inlineStr">
        <is>
          <t>BUG-163</t>
        </is>
      </c>
      <c r="B166" t="inlineStr">
        <is>
          <t>TC-529</t>
        </is>
      </c>
      <c r="C166" t="inlineStr">
        <is>
          <t>Test fail: TC-529: Upload .sh script → block @P0 @RED @Critical</t>
        </is>
      </c>
      <c r="D166" t="inlineStr">
        <is>
          <t>Critical</t>
        </is>
      </c>
      <c r="E166" t="inlineStr">
        <is>
          <t>Open</t>
        </is>
      </c>
      <c r="F166" t="inlineStr">
        <is>
          <t>23/05/2026</t>
        </is>
      </c>
    </row>
    <row r="167">
      <c r="A167" t="inlineStr">
        <is>
          <t>BUG-164</t>
        </is>
      </c>
      <c r="B167" t="inlineStr">
        <is>
          <t>TC-530</t>
        </is>
      </c>
      <c r="C167" t="inlineStr">
        <is>
          <t>Test fail: TC-530: Upload .js → block @P0 @RED @Critical</t>
        </is>
      </c>
      <c r="D167" t="inlineStr">
        <is>
          <t>Critical</t>
        </is>
      </c>
      <c r="E167" t="inlineStr">
        <is>
          <t>Open</t>
        </is>
      </c>
      <c r="F167" t="inlineStr">
        <is>
          <t>23/05/2026</t>
        </is>
      </c>
    </row>
    <row r="168">
      <c r="A168" t="inlineStr">
        <is>
          <t>BUG-165</t>
        </is>
      </c>
      <c r="B168" t="inlineStr">
        <is>
          <t>TC-531</t>
        </is>
      </c>
      <c r="C168" t="inlineStr">
        <is>
          <t>Test fail: TC-531: Upload PDF nhưng đổi extension thành .pdf (magic byte check) @P0 @SECURITY @Critical</t>
        </is>
      </c>
      <c r="D168" t="inlineStr">
        <is>
          <t>Critical</t>
        </is>
      </c>
      <c r="E168" t="inlineStr">
        <is>
          <t>Open</t>
        </is>
      </c>
      <c r="F168" t="inlineStr">
        <is>
          <t>23/05/2026</t>
        </is>
      </c>
    </row>
    <row r="169">
      <c r="A169" t="inlineStr">
        <is>
          <t>BUG-166</t>
        </is>
      </c>
      <c r="B169" t="inlineStr">
        <is>
          <t>TC-532</t>
        </is>
      </c>
      <c r="C169" t="inlineStr">
        <is>
          <t>Test fail: TC-532: Path traversal qua originalName '../../../etc/passwd' @P0 @SECURITY @Critical</t>
        </is>
      </c>
      <c r="D169" t="inlineStr">
        <is>
          <t>Critical</t>
        </is>
      </c>
      <c r="E169" t="inlineStr">
        <is>
          <t>Open</t>
        </is>
      </c>
      <c r="F169" t="inlineStr">
        <is>
          <t>23/05/2026</t>
        </is>
      </c>
    </row>
    <row r="170">
      <c r="A170" t="inlineStr">
        <is>
          <t>BUG-167</t>
        </is>
      </c>
      <c r="B170" t="inlineStr">
        <is>
          <t>TC-533</t>
        </is>
      </c>
      <c r="C170" t="inlineStr">
        <is>
          <t>Test fail: TC-533: Filename có null byte 'evil\0.jpg' @P0 @SECURITY @High</t>
        </is>
      </c>
      <c r="D170" t="inlineStr">
        <is>
          <t>High</t>
        </is>
      </c>
      <c r="E170" t="inlineStr">
        <is>
          <t>Open</t>
        </is>
      </c>
      <c r="F170" t="inlineStr">
        <is>
          <t>23/05/2026</t>
        </is>
      </c>
    </row>
    <row r="171">
      <c r="A171" t="inlineStr">
        <is>
          <t>BUG-168</t>
        </is>
      </c>
      <c r="B171" t="inlineStr">
        <is>
          <t>TC-534</t>
        </is>
      </c>
      <c r="C171" t="inlineStr">
        <is>
          <t>Test fail: TC-534: ZIP slip nếu support upload .zip @P0 @SECURITY @High</t>
        </is>
      </c>
      <c r="D171" t="inlineStr">
        <is>
          <t>High</t>
        </is>
      </c>
      <c r="E171" t="inlineStr">
        <is>
          <t>Open</t>
        </is>
      </c>
      <c r="F171" t="inlineStr">
        <is>
          <t>23/05/2026</t>
        </is>
      </c>
    </row>
    <row r="172">
      <c r="A172" t="inlineStr">
        <is>
          <t>BUG-169</t>
        </is>
      </c>
      <c r="B172" t="inlineStr">
        <is>
          <t>TC-536</t>
        </is>
      </c>
      <c r="C172" t="inlineStr">
        <is>
          <t>Test fail: TC-536: caseId optional — không kèm cũng OK (general document) @P0 @GREEN @Medium</t>
        </is>
      </c>
      <c r="D172" t="inlineStr">
        <is>
          <t>Medium</t>
        </is>
      </c>
      <c r="E172" t="inlineStr">
        <is>
          <t>Open</t>
        </is>
      </c>
      <c r="F172" t="inlineStr">
        <is>
          <t>23/05/2026</t>
        </is>
      </c>
    </row>
    <row r="173">
      <c r="A173" t="inlineStr">
        <is>
          <t>BUG-170</t>
        </is>
      </c>
      <c r="B173" t="inlineStr">
        <is>
          <t>TC-537</t>
        </is>
      </c>
      <c r="C173" t="inlineStr">
        <is>
          <t>Test fail: TC-537: incidentId thay vì caseId (gắn với Incident) @P0 @GREEN @Medium</t>
        </is>
      </c>
      <c r="D173" t="inlineStr">
        <is>
          <t>Medium</t>
        </is>
      </c>
      <c r="E173" t="inlineStr">
        <is>
          <t>Open</t>
        </is>
      </c>
      <c r="F173" t="inlineStr">
        <is>
          <t>23/05/2026</t>
        </is>
      </c>
    </row>
    <row r="174">
      <c r="A174" t="inlineStr">
        <is>
          <t>BUG-171</t>
        </is>
      </c>
      <c r="B174" t="inlineStr">
        <is>
          <t>TC-538</t>
        </is>
      </c>
      <c r="C174" t="inlineStr">
        <is>
          <t>Test fail: TC-538: Cả caseId VÀ incidentId → 400 'Chỉ chọn 1' @P0 @RED @Medium</t>
        </is>
      </c>
      <c r="D174" t="inlineStr">
        <is>
          <t>Medium</t>
        </is>
      </c>
      <c r="E174" t="inlineStr">
        <is>
          <t>Open</t>
        </is>
      </c>
      <c r="F174" t="inlineStr">
        <is>
          <t>23/05/2026</t>
        </is>
      </c>
    </row>
    <row r="175">
      <c r="A175" t="inlineStr">
        <is>
          <t>BUG-172</t>
        </is>
      </c>
      <c r="B175" t="inlineStr">
        <is>
          <t>TC-540</t>
        </is>
      </c>
      <c r="C175" t="inlineStr">
        <is>
          <t>Test fail: TC-540: GET /documents?caseId=C001 list documents của Case @P0 @GREEN @High</t>
        </is>
      </c>
      <c r="D175" t="inlineStr">
        <is>
          <t>High</t>
        </is>
      </c>
      <c r="E175" t="inlineStr">
        <is>
          <t>Open</t>
        </is>
      </c>
      <c r="F175" t="inlineStr">
        <is>
          <t>23/05/2026</t>
        </is>
      </c>
    </row>
    <row r="176">
      <c r="A176" t="inlineStr">
        <is>
          <t>BUG-173</t>
        </is>
      </c>
      <c r="B176" t="inlineStr">
        <is>
          <t>TC-541</t>
        </is>
      </c>
      <c r="C176" t="inlineStr">
        <is>
          <t>Test fail: TC-541: GET /documents/:id metadata only (chưa download file) @P0 @GREEN @High</t>
        </is>
      </c>
      <c r="D176" t="inlineStr">
        <is>
          <t>High</t>
        </is>
      </c>
      <c r="E176" t="inlineStr">
        <is>
          <t>Open</t>
        </is>
      </c>
      <c r="F176" t="inlineStr">
        <is>
          <t>23/05/2026</t>
        </is>
      </c>
    </row>
    <row r="177">
      <c r="A177" t="inlineStr">
        <is>
          <t>BUG-174</t>
        </is>
      </c>
      <c r="B177" t="inlineStr">
        <is>
          <t>TC-542</t>
        </is>
      </c>
      <c r="C177" t="inlineStr">
        <is>
          <t>Test fail: TC-542: GET /documents/:id/download trả file binary @P0 @GREEN @Critical</t>
        </is>
      </c>
      <c r="D177" t="inlineStr">
        <is>
          <t>Critical</t>
        </is>
      </c>
      <c r="E177" t="inlineStr">
        <is>
          <t>Open</t>
        </is>
      </c>
      <c r="F177" t="inlineStr">
        <is>
          <t>23/05/2026</t>
        </is>
      </c>
    </row>
    <row r="178">
      <c r="A178" t="inlineStr">
        <is>
          <t>BUG-175</t>
        </is>
      </c>
      <c r="B178" t="inlineStr">
        <is>
          <t>TC-543</t>
        </is>
      </c>
      <c r="C178" t="inlineStr">
        <is>
          <t>Test fail: TC-543: Download document ngoài scope → 403 @P0 @RED @Critical</t>
        </is>
      </c>
      <c r="D178" t="inlineStr">
        <is>
          <t>Critical</t>
        </is>
      </c>
      <c r="E178" t="inlineStr">
        <is>
          <t>Open</t>
        </is>
      </c>
      <c r="F178" t="inlineStr">
        <is>
          <t>23/05/2026</t>
        </is>
      </c>
    </row>
    <row r="179">
      <c r="A179" t="inlineStr">
        <is>
          <t>BUG-176</t>
        </is>
      </c>
      <c r="B179" t="inlineStr">
        <is>
          <t>TC-544</t>
        </is>
      </c>
      <c r="C179" t="inlineStr">
        <is>
          <t>Test fail: TC-544: Download document đã soft-deleted → 404 @P0 @RED @High</t>
        </is>
      </c>
      <c r="D179" t="inlineStr">
        <is>
          <t>High</t>
        </is>
      </c>
      <c r="E179" t="inlineStr">
        <is>
          <t>Open</t>
        </is>
      </c>
      <c r="F179" t="inlineStr">
        <is>
          <t>23/05/2026</t>
        </is>
      </c>
    </row>
    <row r="180">
      <c r="A180" t="inlineStr">
        <is>
          <t>BUG-177</t>
        </is>
      </c>
      <c r="B180" t="inlineStr">
        <is>
          <t>TC-545</t>
        </is>
      </c>
      <c r="C180" t="inlineStr">
        <is>
          <t>Test fail: TC-545: Download bằng GET /uploads/file.pdf trực tiếp → 401/403 @P0 @RED @Critical</t>
        </is>
      </c>
      <c r="D180" t="inlineStr">
        <is>
          <t>Critical</t>
        </is>
      </c>
      <c r="E180" t="inlineStr">
        <is>
          <t>Open</t>
        </is>
      </c>
      <c r="F180" t="inlineStr">
        <is>
          <t>23/05/2026</t>
        </is>
      </c>
    </row>
    <row r="181">
      <c r="A181" t="inlineStr">
        <is>
          <t>BUG-178</t>
        </is>
      </c>
      <c r="B181" t="inlineStr">
        <is>
          <t>TC-546</t>
        </is>
      </c>
      <c r="C181" t="inlineStr">
        <is>
          <t>Test fail: TC-546: DELETE document soft delete @P0 @GREEN @High</t>
        </is>
      </c>
      <c r="D181" t="inlineStr">
        <is>
          <t>High</t>
        </is>
      </c>
      <c r="E181" t="inlineStr">
        <is>
          <t>Open</t>
        </is>
      </c>
      <c r="F181" t="inlineStr">
        <is>
          <t>23/05/2026</t>
        </is>
      </c>
    </row>
    <row r="182">
      <c r="A182" t="inlineStr">
        <is>
          <t>BUG-179</t>
        </is>
      </c>
      <c r="B182" t="inlineStr">
        <is>
          <t>TC-547</t>
        </is>
      </c>
      <c r="C182" t="inlineStr">
        <is>
          <t>Test fail: TC-547: DELETE document ngoài scope → 403 @P0 @RED @Critical</t>
        </is>
      </c>
      <c r="D182" t="inlineStr">
        <is>
          <t>Critical</t>
        </is>
      </c>
      <c r="E182" t="inlineStr">
        <is>
          <t>Open</t>
        </is>
      </c>
      <c r="F182" t="inlineStr">
        <is>
          <t>23/05/2026</t>
        </is>
      </c>
    </row>
    <row r="183">
      <c r="A183" t="inlineStr">
        <is>
          <t>BUG-180</t>
        </is>
      </c>
      <c r="B183" t="inlineStr">
        <is>
          <t>TC-548</t>
        </is>
      </c>
      <c r="C183" t="inlineStr">
        <is>
          <t>Test fail: TC-548: PUT update title + description @P0 @GREEN @High</t>
        </is>
      </c>
      <c r="D183" t="inlineStr">
        <is>
          <t>High</t>
        </is>
      </c>
      <c r="E183" t="inlineStr">
        <is>
          <t>Open</t>
        </is>
      </c>
      <c r="F183" t="inlineStr">
        <is>
          <t>23/05/2026</t>
        </is>
      </c>
    </row>
    <row r="184">
      <c r="A184" t="inlineStr">
        <is>
          <t>BUG-181</t>
        </is>
      </c>
      <c r="B184" t="inlineStr">
        <is>
          <t>TC-549</t>
        </is>
      </c>
      <c r="C184" t="inlineStr">
        <is>
          <t>Test fail: TC-549: PUT thay đổi fileName/filePath bị forbidNonWhitelisted reject @P0 @RED @High</t>
        </is>
      </c>
      <c r="D184" t="inlineStr">
        <is>
          <t>High</t>
        </is>
      </c>
      <c r="E184" t="inlineStr">
        <is>
          <t>Open</t>
        </is>
      </c>
      <c r="F184" t="inlineStr">
        <is>
          <t>23/05/2026</t>
        </is>
      </c>
    </row>
    <row r="185">
      <c r="A185" t="inlineStr">
        <is>
          <t>BUG-182</t>
        </is>
      </c>
      <c r="B185" t="inlineStr">
        <is>
          <t>TC-550</t>
        </is>
      </c>
      <c r="C185" t="inlineStr">
        <is>
          <t>Test fail: TC-550: XSS qua originalName '&lt;script&gt;alert&lt;/script&gt;.pdf' @P0 @SECURITY @High</t>
        </is>
      </c>
      <c r="D185" t="inlineStr">
        <is>
          <t>High</t>
        </is>
      </c>
      <c r="E185" t="inlineStr">
        <is>
          <t>Open</t>
        </is>
      </c>
      <c r="F185" t="inlineStr">
        <is>
          <t>23/05/2026</t>
        </is>
      </c>
    </row>
    <row r="186">
      <c r="A186" t="inlineStr">
        <is>
          <t>BUG-183</t>
        </is>
      </c>
      <c r="B186" t="inlineStr">
        <is>
          <t>TC-551</t>
        </is>
      </c>
      <c r="C186" t="inlineStr">
        <is>
          <t>Test fail: TC-551: CSV injection qua title '=cmd|calc' @P0 @SECURITY @Medium</t>
        </is>
      </c>
      <c r="D186" t="inlineStr">
        <is>
          <t>Medium</t>
        </is>
      </c>
      <c r="E186" t="inlineStr">
        <is>
          <t>Open</t>
        </is>
      </c>
      <c r="F186" t="inlineStr">
        <is>
          <t>23/05/2026</t>
        </is>
      </c>
    </row>
    <row r="187">
      <c r="A187" t="inlineStr">
        <is>
          <t>BUG-184</t>
        </is>
      </c>
      <c r="B187" t="inlineStr">
        <is>
          <t>TC-552</t>
        </is>
      </c>
      <c r="C187" t="inlineStr">
        <is>
          <t>Test fail: TC-552: title tiếng Việt có dấu @P1 @DATA @Low</t>
        </is>
      </c>
      <c r="D187" t="inlineStr">
        <is>
          <t>Low</t>
        </is>
      </c>
      <c r="E187" t="inlineStr">
        <is>
          <t>Open</t>
        </is>
      </c>
      <c r="F187" t="inlineStr">
        <is>
          <t>23/05/2026</t>
        </is>
      </c>
    </row>
    <row r="188">
      <c r="A188" t="inlineStr">
        <is>
          <t>BUG-185</t>
        </is>
      </c>
      <c r="B188" t="inlineStr">
        <is>
          <t>TC-553</t>
        </is>
      </c>
      <c r="C188" t="inlineStr">
        <is>
          <t>Test fail: TC-553: filename Unicode 'tài liệu công văn.pdf' @P1 @DATA @Medium</t>
        </is>
      </c>
      <c r="D188" t="inlineStr">
        <is>
          <t>Medium</t>
        </is>
      </c>
      <c r="E188" t="inlineStr">
        <is>
          <t>Open</t>
        </is>
      </c>
      <c r="F188" t="inlineStr">
        <is>
          <t>23/05/2026</t>
        </is>
      </c>
    </row>
    <row r="189">
      <c r="A189" t="inlineStr">
        <is>
          <t>BUG-186</t>
        </is>
      </c>
      <c r="B189" t="inlineStr">
        <is>
          <t>TC-554</t>
        </is>
      </c>
      <c r="C189" t="inlineStr">
        <is>
          <t>Test fail: TC-554: filename emoji '📄report.pdf' @P1 @DATA @Low</t>
        </is>
      </c>
      <c r="D189" t="inlineStr">
        <is>
          <t>Low</t>
        </is>
      </c>
      <c r="E189" t="inlineStr">
        <is>
          <t>Open</t>
        </is>
      </c>
      <c r="F189" t="inlineStr">
        <is>
          <t>23/05/2026</t>
        </is>
      </c>
    </row>
    <row r="190">
      <c r="A190" t="inlineStr">
        <is>
          <t>BUG-187</t>
        </is>
      </c>
      <c r="B190" t="inlineStr">
        <is>
          <t>TC-555</t>
        </is>
      </c>
      <c r="C190" t="inlineStr">
        <is>
          <t>Test fail: TC-555: File 0 byte (empty) → 400 @P1 @BOUNDARY @Medium</t>
        </is>
      </c>
      <c r="D190" t="inlineStr">
        <is>
          <t>Medium</t>
        </is>
      </c>
      <c r="E190" t="inlineStr">
        <is>
          <t>Open</t>
        </is>
      </c>
      <c r="F190" t="inlineStr">
        <is>
          <t>23/05/2026</t>
        </is>
      </c>
    </row>
    <row r="191">
      <c r="A191" t="inlineStr">
        <is>
          <t>BUG-188</t>
        </is>
      </c>
      <c r="B191" t="inlineStr">
        <is>
          <t>TC-556</t>
        </is>
      </c>
      <c r="C191" t="inlineStr">
        <is>
          <t>Test fail: TC-556: File 1 byte (smallest non-empty) → 201 @P1 @BOUNDARY @Low</t>
        </is>
      </c>
      <c r="D191" t="inlineStr">
        <is>
          <t>Low</t>
        </is>
      </c>
      <c r="E191" t="inlineStr">
        <is>
          <t>Open</t>
        </is>
      </c>
      <c r="F191" t="inlineStr">
        <is>
          <t>23/05/2026</t>
        </is>
      </c>
    </row>
    <row r="192">
      <c r="A192" t="inlineStr">
        <is>
          <t>BUG-189</t>
        </is>
      </c>
      <c r="B192" t="inlineStr">
        <is>
          <t>TC-557</t>
        </is>
      </c>
      <c r="C192" t="inlineStr">
        <is>
          <t>Test fail: TC-557: File đúng limit 10MB → 201 @P1 @BOUNDARY @Medium</t>
        </is>
      </c>
      <c r="D192" t="inlineStr">
        <is>
          <t>Medium</t>
        </is>
      </c>
      <c r="E192" t="inlineStr">
        <is>
          <t>Open</t>
        </is>
      </c>
      <c r="F192" t="inlineStr">
        <is>
          <t>23/05/2026</t>
        </is>
      </c>
    </row>
    <row r="193">
      <c r="A193" t="inlineStr">
        <is>
          <t>BUG-190</t>
        </is>
      </c>
      <c r="B193" t="inlineStr">
        <is>
          <t>TC-558</t>
        </is>
      </c>
      <c r="C193" t="inlineStr">
        <is>
          <t>Test fail: TC-558: File 10MB+1 byte → 413 @P1 @BOUNDARY @Medium</t>
        </is>
      </c>
      <c r="D193" t="inlineStr">
        <is>
          <t>Medium</t>
        </is>
      </c>
      <c r="E193" t="inlineStr">
        <is>
          <t>Open</t>
        </is>
      </c>
      <c r="F193" t="inlineStr">
        <is>
          <t>23/05/2026</t>
        </is>
      </c>
    </row>
    <row r="194">
      <c r="A194" t="inlineStr">
        <is>
          <t>BUG-191</t>
        </is>
      </c>
      <c r="B194" t="inlineStr">
        <is>
          <t>TC-559</t>
        </is>
      </c>
      <c r="C194" t="inlineStr">
        <is>
          <t>Test fail: TC-559: Upload 5MB &lt; 5s @P1 @PERFORMANCE @Medium</t>
        </is>
      </c>
      <c r="D194" t="inlineStr">
        <is>
          <t>Medium</t>
        </is>
      </c>
      <c r="E194" t="inlineStr">
        <is>
          <t>Open</t>
        </is>
      </c>
      <c r="F194" t="inlineStr">
        <is>
          <t>23/05/2026</t>
        </is>
      </c>
    </row>
    <row r="195">
      <c r="A195" t="inlineStr">
        <is>
          <t>BUG-192</t>
        </is>
      </c>
      <c r="B195" t="inlineStr">
        <is>
          <t>TC-560</t>
        </is>
      </c>
      <c r="C195" t="inlineStr">
        <is>
          <t>Test fail: TC-560: Download 5MB streaming không OOM @P1 @PERFORMANCE @Medium</t>
        </is>
      </c>
      <c r="D195" t="inlineStr">
        <is>
          <t>Medium</t>
        </is>
      </c>
      <c r="E195" t="inlineStr">
        <is>
          <t>Open</t>
        </is>
      </c>
      <c r="F195" t="inlineStr">
        <is>
          <t>23/05/2026</t>
        </is>
      </c>
    </row>
    <row r="196">
      <c r="A196" t="inlineStr">
        <is>
          <t>BUG-193</t>
        </is>
      </c>
      <c r="B196" t="inlineStr">
        <is>
          <t>TC-561</t>
        </is>
      </c>
      <c r="C196" t="inlineStr">
        <is>
          <t>Test fail: TC-561: Upload bị interrupt giữa chừng → no partial file @P1 @RECOVERY @High</t>
        </is>
      </c>
      <c r="D196" t="inlineStr">
        <is>
          <t>High</t>
        </is>
      </c>
      <c r="E196" t="inlineStr">
        <is>
          <t>Open</t>
        </is>
      </c>
      <c r="F196" t="inlineStr">
        <is>
          <t>23/05/2026</t>
        </is>
      </c>
    </row>
    <row r="197">
      <c r="A197" t="inlineStr">
        <is>
          <t>BUG-194</t>
        </is>
      </c>
      <c r="B197" t="inlineStr">
        <is>
          <t>TC-562</t>
        </is>
      </c>
      <c r="C197" t="inlineStr">
        <is>
          <t>Test fail: TC-562: Disk full khi upload → 500 cleanup @P1 @RECOVERY @High</t>
        </is>
      </c>
      <c r="D197" t="inlineStr">
        <is>
          <t>High</t>
        </is>
      </c>
      <c r="E197" t="inlineStr">
        <is>
          <t>Open</t>
        </is>
      </c>
      <c r="F197" t="inlineStr">
        <is>
          <t>23/05/2026</t>
        </is>
      </c>
    </row>
    <row r="198">
      <c r="A198" t="inlineStr">
        <is>
          <t>BUG-195</t>
        </is>
      </c>
      <c r="B198" t="inlineStr">
        <is>
          <t>TC-563</t>
        </is>
      </c>
      <c r="C198" t="inlineStr">
        <is>
          <t>Test fail: TC-563: Quota: user upload nhiều file → check storage limit @P0 @SECURITY @High</t>
        </is>
      </c>
      <c r="D198" t="inlineStr">
        <is>
          <t>High</t>
        </is>
      </c>
      <c r="E198" t="inlineStr">
        <is>
          <t>Open</t>
        </is>
      </c>
      <c r="F198" t="inlineStr">
        <is>
          <t>23/05/2026</t>
        </is>
      </c>
    </row>
    <row r="199">
      <c r="A199" t="inlineStr">
        <is>
          <t>BUG-196</t>
        </is>
      </c>
      <c r="B199" t="inlineStr">
        <is>
          <t>TC-564</t>
        </is>
      </c>
      <c r="C199" t="inlineStr">
        <is>
          <t>Test fail: TC-564: DOCUMENT_CREATED có fileName + size + mimeType @P0 @AUDIT @High</t>
        </is>
      </c>
      <c r="D199" t="inlineStr">
        <is>
          <t>High</t>
        </is>
      </c>
      <c r="E199" t="inlineStr">
        <is>
          <t>Open</t>
        </is>
      </c>
      <c r="F199" t="inlineStr">
        <is>
          <t>23/05/2026</t>
        </is>
      </c>
    </row>
    <row r="200">
      <c r="A200" t="inlineStr">
        <is>
          <t>BUG-197</t>
        </is>
      </c>
      <c r="B200" t="inlineStr">
        <is>
          <t>TC-565</t>
        </is>
      </c>
      <c r="C200" t="inlineStr">
        <is>
          <t>Test fail: TC-565: DOCUMENT_DOWNLOADED audit mỗi lần download @P0 @AUDIT @High</t>
        </is>
      </c>
      <c r="D200" t="inlineStr">
        <is>
          <t>High</t>
        </is>
      </c>
      <c r="E200" t="inlineStr">
        <is>
          <t>Open</t>
        </is>
      </c>
      <c r="F200" t="inlineStr">
        <is>
          <t>23/05/2026</t>
        </is>
      </c>
    </row>
    <row r="201">
      <c r="A201" t="inlineStr">
        <is>
          <t>BUG-198</t>
        </is>
      </c>
      <c r="B201" t="inlineStr">
        <is>
          <t>TC-566</t>
        </is>
      </c>
      <c r="C201" t="inlineStr">
        <is>
          <t>Test fail: TC-566: DOCUMENT_DELETED có original fileName @P0 @AUDIT @High</t>
        </is>
      </c>
      <c r="D201" t="inlineStr">
        <is>
          <t>High</t>
        </is>
      </c>
      <c r="E201" t="inlineStr">
        <is>
          <t>Open</t>
        </is>
      </c>
      <c r="F201" t="inlineStr">
        <is>
          <t>23/05/2026</t>
        </is>
      </c>
    </row>
    <row r="202">
      <c r="A202" t="inlineStr">
        <is>
          <t>BUG-199</t>
        </is>
      </c>
      <c r="B202" t="inlineStr">
        <is>
          <t>TC-567</t>
        </is>
      </c>
      <c r="C202" t="inlineStr">
        <is>
          <t>Test fail: TC-567: File input có aria-label @P1 @A11Y @Low</t>
        </is>
      </c>
      <c r="D202" t="inlineStr">
        <is>
          <t>Low</t>
        </is>
      </c>
      <c r="E202" t="inlineStr">
        <is>
          <t>Open</t>
        </is>
      </c>
      <c r="F202" t="inlineStr">
        <is>
          <t>23/05/2026</t>
        </is>
      </c>
    </row>
    <row r="203">
      <c r="A203" t="inlineStr">
        <is>
          <t>BUG-200</t>
        </is>
      </c>
      <c r="B203" t="inlineStr">
        <is>
          <t>TC-568</t>
        </is>
      </c>
      <c r="C203" t="inlineStr">
        <is>
          <t>Test fail: TC-568: Upload progress có aria-live='polite' announce @P1 @A11Y @Medium</t>
        </is>
      </c>
      <c r="D203" t="inlineStr">
        <is>
          <t>Medium</t>
        </is>
      </c>
      <c r="E203" t="inlineStr">
        <is>
          <t>Open</t>
        </is>
      </c>
      <c r="F203" t="inlineStr">
        <is>
          <t>23/05/2026</t>
        </is>
      </c>
    </row>
    <row r="204">
      <c r="A204" t="inlineStr">
        <is>
          <t>BUG-201</t>
        </is>
      </c>
      <c r="B204" t="inlineStr">
        <is>
          <t>TC-569</t>
        </is>
      </c>
      <c r="C204" t="inlineStr">
        <is>
          <t>Test fail: TC-569: Drag-drop upload trên Chrome @P1 @COMPAT @Medium</t>
        </is>
      </c>
      <c r="D204" t="inlineStr">
        <is>
          <t>Medium</t>
        </is>
      </c>
      <c r="E204" t="inlineStr">
        <is>
          <t>Open</t>
        </is>
      </c>
      <c r="F204" t="inlineStr">
        <is>
          <t>23/05/2026</t>
        </is>
      </c>
    </row>
    <row r="205">
      <c r="A205" t="inlineStr">
        <is>
          <t>BUG-202</t>
        </is>
      </c>
      <c r="B205" t="inlineStr">
        <is>
          <t>TC-570</t>
        </is>
      </c>
      <c r="C205" t="inlineStr">
        <is>
          <t>Test fail: TC-570: File picker mobile (iOS Safari) @P1 @COMPAT @Medium</t>
        </is>
      </c>
      <c r="D205" t="inlineStr">
        <is>
          <t>Medium</t>
        </is>
      </c>
      <c r="E205" t="inlineStr">
        <is>
          <t>Open</t>
        </is>
      </c>
      <c r="F205" t="inlineStr">
        <is>
          <t>23/05/2026</t>
        </is>
      </c>
    </row>
    <row r="206">
      <c r="A206" t="inlineStr">
        <is>
          <t>BUG-203</t>
        </is>
      </c>
      <c r="B206" t="inlineStr">
        <is>
          <t>TC-571</t>
        </is>
      </c>
      <c r="C206" t="inlineStr">
        <is>
          <t>Test fail: TC-571: Multi-file upload (nếu hỗ trợ) — concurrent @P0 @RED @Medium</t>
        </is>
      </c>
      <c r="D206" t="inlineStr">
        <is>
          <t>Medium</t>
        </is>
      </c>
      <c r="E206" t="inlineStr">
        <is>
          <t>Open</t>
        </is>
      </c>
      <c r="F206" t="inlineStr">
        <is>
          <t>23/05/2026</t>
        </is>
      </c>
    </row>
    <row r="207">
      <c r="A207" t="inlineStr">
        <is>
          <t>BUG-204</t>
        </is>
      </c>
      <c r="B207" t="inlineStr">
        <is>
          <t>TC-572</t>
        </is>
      </c>
      <c r="C207" t="inlineStr">
        <is>
          <t>Test fail: TC-572: File trùng tên (cùng originalName) → vẫn lưu (fileName generated unique) @P1 @RED @Medium</t>
        </is>
      </c>
      <c r="D207" t="inlineStr">
        <is>
          <t>Medium</t>
        </is>
      </c>
      <c r="E207" t="inlineStr">
        <is>
          <t>Open</t>
        </is>
      </c>
      <c r="F207" t="inlineStr">
        <is>
          <t>23/05/2026</t>
        </is>
      </c>
    </row>
    <row r="208">
      <c r="A208" t="inlineStr">
        <is>
          <t>BUG-205</t>
        </is>
      </c>
      <c r="B208" t="inlineStr">
        <is>
          <t>TC-573</t>
        </is>
      </c>
      <c r="C208" t="inlineStr">
        <is>
          <t>Test fail: TC-573: Delete Case bị block khi có Document linked @P0 @INTEGRATION @High</t>
        </is>
      </c>
      <c r="D208" t="inlineStr">
        <is>
          <t>High</t>
        </is>
      </c>
      <c r="E208" t="inlineStr">
        <is>
          <t>Open</t>
        </is>
      </c>
      <c r="F208" t="inlineStr">
        <is>
          <t>23/05/2026</t>
        </is>
      </c>
    </row>
    <row r="209">
      <c r="A209" t="inlineStr">
        <is>
          <t>BUG-206</t>
        </is>
      </c>
      <c r="B209" t="inlineStr">
        <is>
          <t>TC-574</t>
        </is>
      </c>
      <c r="C209" t="inlineStr">
        <is>
          <t>Test fail: TC-574: Filter documentType=COURT_DECISION @P1 @GREEN @Medium</t>
        </is>
      </c>
      <c r="D209" t="inlineStr">
        <is>
          <t>Medium</t>
        </is>
      </c>
      <c r="E209" t="inlineStr">
        <is>
          <t>Open</t>
        </is>
      </c>
      <c r="F209" t="inlineStr">
        <is>
          <t>23/05/2026</t>
        </is>
      </c>
    </row>
    <row r="210">
      <c r="A210" t="inlineStr">
        <is>
          <t>BUG-207</t>
        </is>
      </c>
      <c r="B210" t="inlineStr">
        <is>
          <t>TC-575</t>
        </is>
      </c>
      <c r="C210" t="inlineStr">
        <is>
          <t>Test fail: TC-575: Filter by uploadedById @P1 @GREEN @Low</t>
        </is>
      </c>
      <c r="D210" t="inlineStr">
        <is>
          <t>Low</t>
        </is>
      </c>
      <c r="E210" t="inlineStr">
        <is>
          <t>Open</t>
        </is>
      </c>
      <c r="F210" t="inlineStr">
        <is>
          <t>23/05/2026</t>
        </is>
      </c>
    </row>
    <row r="211">
      <c r="A211" t="inlineStr">
        <is>
          <t>BUG-208</t>
        </is>
      </c>
      <c r="B211" t="inlineStr">
        <is>
          <t>TC-578</t>
        </is>
      </c>
      <c r="C211" t="inlineStr">
        <is>
          <t>Test fail: TC-578: Content-Sniffing: response header X-Content-Type-Options: nosniff @P1 @SECURITY @High</t>
        </is>
      </c>
      <c r="D211" t="inlineStr">
        <is>
          <t>High</t>
        </is>
      </c>
      <c r="E211" t="inlineStr">
        <is>
          <t>Open</t>
        </is>
      </c>
      <c r="F211" t="inlineStr">
        <is>
          <t>23/05/2026</t>
        </is>
      </c>
    </row>
    <row r="212">
      <c r="A212" t="inlineStr">
        <is>
          <t>BUG-209</t>
        </is>
      </c>
      <c r="B212" t="inlineStr">
        <is>
          <t>TC-579</t>
        </is>
      </c>
      <c r="C212" t="inlineStr">
        <is>
          <t>Test fail: TC-579: mimeType validate against extension consistency @P1 @DATA @Medium</t>
        </is>
      </c>
      <c r="D212" t="inlineStr">
        <is>
          <t>Medium</t>
        </is>
      </c>
      <c r="E212" t="inlineStr">
        <is>
          <t>Open</t>
        </is>
      </c>
      <c r="F212" t="inlineStr">
        <is>
          <t>23/05/2026</t>
        </is>
      </c>
    </row>
    <row r="213">
      <c r="A213" t="inlineStr">
        <is>
          <t>BUG-210</t>
        </is>
      </c>
      <c r="B213" t="inlineStr">
        <is>
          <t>TC-580</t>
        </is>
      </c>
      <c r="C213" t="inlineStr">
        <is>
          <t>Test fail: TC-580: Document gắn cả Subject (nếu schema cho phép) @P1 @INTEGRATION @Low</t>
        </is>
      </c>
      <c r="D213" t="inlineStr">
        <is>
          <t>Low</t>
        </is>
      </c>
      <c r="E213" t="inlineStr">
        <is>
          <t>Open</t>
        </is>
      </c>
      <c r="F213" t="inlineStr">
        <is>
          <t>23/05/2026</t>
        </is>
      </c>
    </row>
    <row r="214">
      <c r="A214" t="inlineStr">
        <is>
          <t>BUG-211</t>
        </is>
      </c>
      <c r="B214" t="inlineStr">
        <is>
          <t>TC-347</t>
        </is>
      </c>
      <c r="C214" t="inlineStr">
        <is>
          <t>Test fail: TC-347: Flow: Petition → Khởi tố vụ án → Thêm subject → Update status → Kết luận @P0 @INTEGRATION @Critical</t>
        </is>
      </c>
      <c r="D214" t="inlineStr">
        <is>
          <t>Critical</t>
        </is>
      </c>
      <c r="E214" t="inlineStr">
        <is>
          <t>Open</t>
        </is>
      </c>
      <c r="F214" t="inlineStr">
        <is>
          <t>23/05/2026</t>
        </is>
      </c>
    </row>
    <row r="215">
      <c r="A215" t="inlineStr">
        <is>
          <t>BUG-212</t>
        </is>
      </c>
      <c r="B215" t="inlineStr">
        <is>
          <t>TC-348</t>
        </is>
      </c>
      <c r="C215" t="inlineStr">
        <is>
          <t>Test fail: TC-348: Flow: Incident → khởi tố Case → Assign → Delete fail → Restore @P0 @INTEGRATION @High</t>
        </is>
      </c>
      <c r="D215" t="inlineStr">
        <is>
          <t>High</t>
        </is>
      </c>
      <c r="E215" t="inlineStr">
        <is>
          <t>Open</t>
        </is>
      </c>
      <c r="F215" t="inlineStr">
        <is>
          <t>23/05/2026</t>
        </is>
      </c>
    </row>
    <row r="216">
      <c r="A216" t="inlineStr">
        <is>
          <t>BUG-213</t>
        </is>
      </c>
      <c r="B216" t="inlineStr">
        <is>
          <t>TC-349</t>
        </is>
      </c>
      <c r="C216" t="inlineStr">
        <is>
          <t>Test fail: TC-349: Bulk create Case + sequential STT trên Petition (DT-2026-NNNNN) @P0 @INTEGRATION @High</t>
        </is>
      </c>
      <c r="D216" t="inlineStr">
        <is>
          <t>High</t>
        </is>
      </c>
      <c r="E216" t="inlineStr">
        <is>
          <t>Open</t>
        </is>
      </c>
      <c r="F216" t="inlineStr">
        <is>
          <t>23/05/2026</t>
        </is>
      </c>
    </row>
    <row r="217">
      <c r="A217" t="inlineStr">
        <is>
          <t>BUG-214</t>
        </is>
      </c>
      <c r="B217" t="inlineStr">
        <is>
          <t>TC-350</t>
        </is>
      </c>
      <c r="C217" t="inlineStr">
        <is>
          <t>Test fail: TC-350: Cross-feature: KPI dashboard reload khi Case mới capDoToiPham=DBNT tạo @P1 @INTEGRATION @Medium</t>
        </is>
      </c>
      <c r="D217" t="inlineStr">
        <is>
          <t>Medium</t>
        </is>
      </c>
      <c r="E217" t="inlineStr">
        <is>
          <t>Open</t>
        </is>
      </c>
      <c r="F217" t="inlineStr">
        <is>
          <t>23/05/2026</t>
        </is>
      </c>
    </row>
    <row r="218">
      <c r="A218" t="inlineStr">
        <is>
          <t>BUG-215</t>
        </is>
      </c>
      <c r="B218" t="inlineStr">
        <is>
          <t>TC-351</t>
        </is>
      </c>
      <c r="C218" t="inlineStr">
        <is>
          <t>Test fail: TC-351: Update Case sync Petition.petitionType @P1 @INTEGRATION @High</t>
        </is>
      </c>
      <c r="D218" t="inlineStr">
        <is>
          <t>High</t>
        </is>
      </c>
      <c r="E218" t="inlineStr">
        <is>
          <t>Open</t>
        </is>
      </c>
      <c r="F218" t="inlineStr">
        <is>
          <t>23/05/2026</t>
        </is>
      </c>
    </row>
    <row r="219">
      <c r="A219" t="inlineStr">
        <is>
          <t>BUG-216</t>
        </is>
      </c>
      <c r="B219" t="inlineStr">
        <is>
          <t>TC-352</t>
        </is>
      </c>
      <c r="C219" t="inlineStr">
        <is>
          <t>Test fail: TC-352: Assign Case ward → cross-ward → audit event chuỗi @P1 @INTEGRATION @Medium</t>
        </is>
      </c>
      <c r="D219" t="inlineStr">
        <is>
          <t>Medium</t>
        </is>
      </c>
      <c r="E219" t="inlineStr">
        <is>
          <t>Open</t>
        </is>
      </c>
      <c r="F219" t="inlineStr">
        <is>
          <t>23/05/2026</t>
        </is>
      </c>
    </row>
    <row r="220">
      <c r="A220" t="inlineStr">
        <is>
          <t>BUG-217</t>
        </is>
      </c>
      <c r="B220" t="inlineStr">
        <is>
          <t>TC-353</t>
        </is>
      </c>
      <c r="C220" t="inlineStr">
        <is>
          <t>Test fail: TC-353: Soft delete → list deleted → restore → list active @P1 @INTEGRATION @Medium</t>
        </is>
      </c>
      <c r="D220" t="inlineStr">
        <is>
          <t>Medium</t>
        </is>
      </c>
      <c r="E220" t="inlineStr">
        <is>
          <t>Open</t>
        </is>
      </c>
      <c r="F220" t="inlineStr">
        <is>
          <t>23/05/2026</t>
        </is>
      </c>
    </row>
    <row r="221">
      <c r="A221" t="inlineStr">
        <is>
          <t>BUG-218</t>
        </is>
      </c>
      <c r="B221" t="inlineStr">
        <is>
          <t>TC-354</t>
        </is>
      </c>
      <c r="C221" t="inlineStr">
        <is>
          <t>Test fail: TC-354: Multi-user race: A update + B delete đồng thời @P1 @INTEGRATION @High</t>
        </is>
      </c>
      <c r="D221" t="inlineStr">
        <is>
          <t>High</t>
        </is>
      </c>
      <c r="E221" t="inlineStr">
        <is>
          <t>Open</t>
        </is>
      </c>
      <c r="F221" t="inlineStr">
        <is>
          <t>23/05/2026</t>
        </is>
      </c>
    </row>
    <row r="222">
      <c r="A222" t="inlineStr">
        <is>
          <t>BUG-219</t>
        </is>
      </c>
      <c r="B222" t="inlineStr">
        <is>
          <t>TC-290</t>
        </is>
      </c>
      <c r="C222" t="inlineStr">
        <is>
          <t>Test fail: TC-290: name có emoji 'Vụ test 🎉' — 4-byte UTF-8 @P1 @DATA @Medium</t>
        </is>
      </c>
      <c r="D222" t="inlineStr">
        <is>
          <t>Medium</t>
        </is>
      </c>
      <c r="E222" t="inlineStr">
        <is>
          <t>Open</t>
        </is>
      </c>
      <c r="F222" t="inlineStr">
        <is>
          <t>23/05/2026</t>
        </is>
      </c>
    </row>
    <row r="223">
      <c r="A223" t="inlineStr">
        <is>
          <t>BUG-220</t>
        </is>
      </c>
      <c r="B223" t="inlineStr">
        <is>
          <t>TC-298</t>
        </is>
      </c>
      <c r="C223" t="inlineStr">
        <is>
          <t>Test fail: TC-298: Multi-byte filename trong sourceDocumentNote @P1 @DATA @Medium</t>
        </is>
      </c>
      <c r="D223" t="inlineStr">
        <is>
          <t>Medium</t>
        </is>
      </c>
      <c r="E223" t="inlineStr">
        <is>
          <t>Open</t>
        </is>
      </c>
      <c r="F223" t="inlineStr">
        <is>
          <t>23/05/2026</t>
        </is>
      </c>
    </row>
    <row r="224">
      <c r="A224" t="inlineStr">
        <is>
          <t>BUG-221</t>
        </is>
      </c>
      <c r="B224" t="inlineStr">
        <is>
          <t>TC-185</t>
        </is>
      </c>
      <c r="C224" t="inlineStr">
        <is>
          <t>Test fail: TC-185: GET /cases/export/ward trả file Excel với header BCA + 8 cột @P0 @GREEN @High</t>
        </is>
      </c>
      <c r="D224" t="inlineStr">
        <is>
          <t>High</t>
        </is>
      </c>
      <c r="E224" t="inlineStr">
        <is>
          <t>Open</t>
        </is>
      </c>
      <c r="F224" t="inlineStr">
        <is>
          <t>23/05/2026</t>
        </is>
      </c>
    </row>
    <row r="225">
      <c r="A225" t="inlineStr">
        <is>
          <t>BUG-222</t>
        </is>
      </c>
      <c r="B225" t="inlineStr">
        <is>
          <t>TC-186</t>
        </is>
      </c>
      <c r="C225" t="inlineStr">
        <is>
          <t>Test fail: TC-186: Export ward với fromDate + toDate trong period @P0 @GREEN @Medium</t>
        </is>
      </c>
      <c r="D225" t="inlineStr">
        <is>
          <t>Medium</t>
        </is>
      </c>
      <c r="E225" t="inlineStr">
        <is>
          <t>Open</t>
        </is>
      </c>
      <c r="F225" t="inlineStr">
        <is>
          <t>23/05/2026</t>
        </is>
      </c>
    </row>
    <row r="226">
      <c r="A226" t="inlineStr">
        <is>
          <t>BUG-223</t>
        </is>
      </c>
      <c r="B226" t="inlineStr">
        <is>
          <t>TC-187</t>
        </is>
      </c>
      <c r="C226" t="inlineStr">
        <is>
          <t>Test fail: TC-187: Export 'phân loại khác' với category filter @P0 @GREEN @Medium</t>
        </is>
      </c>
      <c r="D226" t="inlineStr">
        <is>
          <t>Medium</t>
        </is>
      </c>
      <c r="E226" t="inlineStr">
        <is>
          <t>Open</t>
        </is>
      </c>
      <c r="F226" t="inlineStr">
        <is>
          <t>23/05/2026</t>
        </is>
      </c>
    </row>
    <row r="227">
      <c r="A227" t="inlineStr">
        <is>
          <t>BUG-224</t>
        </is>
      </c>
      <c r="B227" t="inlineStr">
        <is>
          <t>TC-188</t>
        </is>
      </c>
      <c r="C227" t="inlineStr">
        <is>
          <t>Test fail: TC-188: Rate limit: gọi /export/ward 6 lần trong 60s → 429 @P0 @RED @High</t>
        </is>
      </c>
      <c r="D227" t="inlineStr">
        <is>
          <t>High</t>
        </is>
      </c>
      <c r="E227" t="inlineStr">
        <is>
          <t>Open</t>
        </is>
      </c>
      <c r="F227" t="inlineStr">
        <is>
          <t>23/05/2026</t>
        </is>
      </c>
    </row>
    <row r="228">
      <c r="A228" t="inlineStr">
        <is>
          <t>BUG-225</t>
        </is>
      </c>
      <c r="B228" t="inlineStr">
        <is>
          <t>TC-190</t>
        </is>
      </c>
      <c r="C228" t="inlineStr">
        <is>
          <t>Test fail: TC-190: Dispatcher xem tất cả case khi export @P0 @RED @High</t>
        </is>
      </c>
      <c r="D228" t="inlineStr">
        <is>
          <t>High</t>
        </is>
      </c>
      <c r="E228" t="inlineStr">
        <is>
          <t>Open</t>
        </is>
      </c>
      <c r="F228" t="inlineStr">
        <is>
          <t>23/05/2026</t>
        </is>
      </c>
    </row>
    <row r="229">
      <c r="A229" t="inlineStr">
        <is>
          <t>BUG-226</t>
        </is>
      </c>
      <c r="B229" t="inlineStr">
        <is>
          <t>TC-191</t>
        </is>
      </c>
      <c r="C229" t="inlineStr">
        <is>
          <t>Test fail: TC-191: Export với take=500 limit cứng (không trả &gt;500 row) @P1 @GREEN @Medium</t>
        </is>
      </c>
      <c r="D229" t="inlineStr">
        <is>
          <t>Medium</t>
        </is>
      </c>
      <c r="E229" t="inlineStr">
        <is>
          <t>Open</t>
        </is>
      </c>
      <c r="F229" t="inlineStr">
        <is>
          <t>23/05/2026</t>
        </is>
      </c>
    </row>
    <row r="230">
      <c r="A230" t="inlineStr">
        <is>
          <t>BUG-227</t>
        </is>
      </c>
      <c r="B230" t="inlineStr">
        <is>
          <t>TC-193</t>
        </is>
      </c>
      <c r="C230" t="inlineStr">
        <is>
          <t>Test fail: TC-193: JWT thiếu → 401 @P0 @RED @Critical</t>
        </is>
      </c>
      <c r="D230" t="inlineStr">
        <is>
          <t>Critical</t>
        </is>
      </c>
      <c r="E230" t="inlineStr">
        <is>
          <t>Open</t>
        </is>
      </c>
      <c r="F230" t="inlineStr">
        <is>
          <t>23/05/2026</t>
        </is>
      </c>
    </row>
    <row r="231">
      <c r="A231" t="inlineStr">
        <is>
          <t>BUG-228</t>
        </is>
      </c>
      <c r="B231" t="inlineStr">
        <is>
          <t>TC-194</t>
        </is>
      </c>
      <c r="C231" t="inlineStr">
        <is>
          <t>Test fail: TC-194: Export ward không có data → vẫn trả Excel với header + empty body + footer @P1 @GREEN @Medium</t>
        </is>
      </c>
      <c r="D231" t="inlineStr">
        <is>
          <t>Medium</t>
        </is>
      </c>
      <c r="E231" t="inlineStr">
        <is>
          <t>Open</t>
        </is>
      </c>
      <c r="F231" t="inlineStr">
        <is>
          <t>23/05/2026</t>
        </is>
      </c>
    </row>
    <row r="232">
      <c r="A232" t="inlineStr">
        <is>
          <t>BUG-229</t>
        </is>
      </c>
      <c r="B232" t="inlineStr">
        <is>
          <t>TC-195</t>
        </is>
      </c>
      <c r="C232" t="inlineStr">
        <is>
          <t>Test fail: TC-195: Server crash giữa export (write fail) → response 500 JSON nếu chưa send header @P1 @RED @High</t>
        </is>
      </c>
      <c r="D232" t="inlineStr">
        <is>
          <t>High</t>
        </is>
      </c>
      <c r="E232" t="inlineStr">
        <is>
          <t>Open</t>
        </is>
      </c>
      <c r="F232" t="inlineStr">
        <is>
          <t>23/05/2026</t>
        </is>
      </c>
    </row>
    <row r="233">
      <c r="A233" t="inlineStr">
        <is>
          <t>BUG-230</t>
        </is>
      </c>
      <c r="B233" t="inlineStr">
        <is>
          <t>TC-196</t>
        </is>
      </c>
      <c r="C233" t="inlineStr">
        <is>
          <t>Test fail: TC-196: Audit CASE_EXPORTED capture filters đầy đủ @P1 @GREEN @High</t>
        </is>
      </c>
      <c r="D233" t="inlineStr">
        <is>
          <t>High</t>
        </is>
      </c>
      <c r="E233" t="inlineStr">
        <is>
          <t>Open</t>
        </is>
      </c>
      <c r="F233" t="inlineStr">
        <is>
          <t>23/05/2026</t>
        </is>
      </c>
    </row>
    <row r="234">
      <c r="A234" t="inlineStr">
        <is>
          <t>BUG-231</t>
        </is>
      </c>
      <c r="B234" t="inlineStr">
        <is>
          <t>TC-282</t>
        </is>
      </c>
      <c r="C234" t="inlineStr">
        <is>
          <t>Test fail: TC-282: Export 500 row Excel &lt; 5s @P1 @PERFORMANCE @Medium</t>
        </is>
      </c>
      <c r="D234" t="inlineStr">
        <is>
          <t>Medium</t>
        </is>
      </c>
      <c r="E234" t="inlineStr">
        <is>
          <t>Open</t>
        </is>
      </c>
      <c r="F234" t="inlineStr">
        <is>
          <t>23/05/2026</t>
        </is>
      </c>
    </row>
    <row r="235">
      <c r="A235" t="inlineStr">
        <is>
          <t>BUG-232</t>
        </is>
      </c>
      <c r="B235" t="inlineStr">
        <is>
          <t>TC-747</t>
        </is>
      </c>
      <c r="C235" t="inlineStr">
        <is>
          <t>Test fail: TC-747: Update status TIEP_NHAN → DA_KET_LUAN skip middle steps @P0 @STATE @High</t>
        </is>
      </c>
      <c r="D235" t="inlineStr">
        <is>
          <t>High</t>
        </is>
      </c>
      <c r="E235" t="inlineStr">
        <is>
          <t>Open</t>
        </is>
      </c>
      <c r="F235" t="inlineStr">
        <is>
          <t>23/05/2026</t>
        </is>
      </c>
    </row>
    <row r="236">
      <c r="A236" t="inlineStr">
        <is>
          <t>BUG-233</t>
        </is>
      </c>
      <c r="B236" t="inlineStr">
        <is>
          <t>TC-717</t>
        </is>
      </c>
      <c r="C236" t="inlineStr">
        <is>
          <t>Test fail: TC-717: Incident convertToCase @P0 @GREEN @Critical</t>
        </is>
      </c>
      <c r="D236" t="inlineStr">
        <is>
          <t>Critical</t>
        </is>
      </c>
      <c r="E236" t="inlineStr">
        <is>
          <t>Open</t>
        </is>
      </c>
      <c r="F236" t="inlineStr">
        <is>
          <t>23/05/2026</t>
        </is>
      </c>
    </row>
    <row r="237">
      <c r="A237" t="inlineStr">
        <is>
          <t>BUG-234</t>
        </is>
      </c>
      <c r="B237" t="inlineStr">
        <is>
          <t>TC-718</t>
        </is>
      </c>
      <c r="C237" t="inlineStr">
        <is>
          <t>Test fail: TC-718: Incident đã linked → 400 @P0 @RED @High</t>
        </is>
      </c>
      <c r="D237" t="inlineStr">
        <is>
          <t>High</t>
        </is>
      </c>
      <c r="E237" t="inlineStr">
        <is>
          <t>Open</t>
        </is>
      </c>
      <c r="F237" t="inlineStr">
        <is>
          <t>23/05/2026</t>
        </is>
      </c>
    </row>
    <row r="238">
      <c r="A238" t="inlineStr">
        <is>
          <t>BUG-235</t>
        </is>
      </c>
      <c r="B238" t="inlineStr">
        <is>
          <t>TC-719</t>
        </is>
      </c>
      <c r="C238" t="inlineStr">
        <is>
          <t>Test fail: TC-719: Incident ngoài scope → 403 @P0 @RED @Critical</t>
        </is>
      </c>
      <c r="D238" t="inlineStr">
        <is>
          <t>Critical</t>
        </is>
      </c>
      <c r="E238" t="inlineStr">
        <is>
          <t>Open</t>
        </is>
      </c>
      <c r="F238" t="inlineStr">
        <is>
          <t>23/05/2026</t>
        </is>
      </c>
    </row>
    <row r="239">
      <c r="A239" t="inlineStr">
        <is>
          <t>BUG-236</t>
        </is>
      </c>
      <c r="B239" t="inlineStr">
        <is>
          <t>TC-720</t>
        </is>
      </c>
      <c r="C239" t="inlineStr">
        <is>
          <t>Test fail: TC-720: Incident.status MOI_TIEP_NHAN → DANG_XAC_MINH @P0 @STATE @High</t>
        </is>
      </c>
      <c r="D239" t="inlineStr">
        <is>
          <t>High</t>
        </is>
      </c>
      <c r="E239" t="inlineStr">
        <is>
          <t>Open</t>
        </is>
      </c>
      <c r="F239" t="inlineStr">
        <is>
          <t>23/05/2026</t>
        </is>
      </c>
    </row>
    <row r="240">
      <c r="A240" t="inlineStr">
        <is>
          <t>BUG-237</t>
        </is>
      </c>
      <c r="B240" t="inlineStr">
        <is>
          <t>TC-721</t>
        </is>
      </c>
      <c r="C240" t="inlineStr">
        <is>
          <t>Test fail: TC-721: Incident → TAM_DINH_CHI @P0 @STATE @High</t>
        </is>
      </c>
      <c r="D240" t="inlineStr">
        <is>
          <t>High</t>
        </is>
      </c>
      <c r="E240" t="inlineStr">
        <is>
          <t>Open</t>
        </is>
      </c>
      <c r="F240" t="inlineStr">
        <is>
          <t>23/05/2026</t>
        </is>
      </c>
    </row>
    <row r="241">
      <c r="A241" t="inlineStr">
        <is>
          <t>BUG-238</t>
        </is>
      </c>
      <c r="B241" t="inlineStr">
        <is>
          <t>TC-722</t>
        </is>
      </c>
      <c r="C241" t="inlineStr">
        <is>
          <t>Test fail: TC-722: Incident → PHUC_HOI_NGUON_TIN @P0 @STATE @High</t>
        </is>
      </c>
      <c r="D241" t="inlineStr">
        <is>
          <t>High</t>
        </is>
      </c>
      <c r="E241" t="inlineStr">
        <is>
          <t>Open</t>
        </is>
      </c>
      <c r="F241" t="inlineStr">
        <is>
          <t>23/05/2026</t>
        </is>
      </c>
    </row>
    <row r="242">
      <c r="A242" t="inlineStr">
        <is>
          <t>BUG-239</t>
        </is>
      </c>
      <c r="B242" t="inlineStr">
        <is>
          <t>TC-723</t>
        </is>
      </c>
      <c r="C242" t="inlineStr">
        <is>
          <t>Test fail: TC-723: Incident TAM_DINH_CHI → DANG_XAC_MINH (phục hồi) @P0 @STATE @High</t>
        </is>
      </c>
      <c r="D242" t="inlineStr">
        <is>
          <t>High</t>
        </is>
      </c>
      <c r="E242" t="inlineStr">
        <is>
          <t>Open</t>
        </is>
      </c>
      <c r="F242" t="inlineStr">
        <is>
          <t>23/05/2026</t>
        </is>
      </c>
    </row>
    <row r="243">
      <c r="A243" t="inlineStr">
        <is>
          <t>BUG-240</t>
        </is>
      </c>
      <c r="B243" t="inlineStr">
        <is>
          <t>TC-724</t>
        </is>
      </c>
      <c r="C243" t="inlineStr">
        <is>
          <t>Test fail: TC-724: Incident → Case keep linkage (Incident.linkedCaseId) @P0 @INTEGRATION @Critical</t>
        </is>
      </c>
      <c r="D243" t="inlineStr">
        <is>
          <t>Critical</t>
        </is>
      </c>
      <c r="E243" t="inlineStr">
        <is>
          <t>Open</t>
        </is>
      </c>
      <c r="F243" t="inlineStr">
        <is>
          <t>23/05/2026</t>
        </is>
      </c>
    </row>
    <row r="244">
      <c r="A244" t="inlineStr">
        <is>
          <t>BUG-241</t>
        </is>
      </c>
      <c r="B244" t="inlineStr">
        <is>
          <t>TC-725</t>
        </is>
      </c>
      <c r="C244" t="inlineStr">
        <is>
          <t>Test fail: TC-725: Delete Incident có linkedCase Restrict @P0 @INTEGRATION @High</t>
        </is>
      </c>
      <c r="D244" t="inlineStr">
        <is>
          <t>High</t>
        </is>
      </c>
      <c r="E244" t="inlineStr">
        <is>
          <t>Open</t>
        </is>
      </c>
      <c r="F244" t="inlineStr">
        <is>
          <t>23/05/2026</t>
        </is>
      </c>
    </row>
    <row r="245">
      <c r="A245" t="inlineStr">
        <is>
          <t>BUG-242</t>
        </is>
      </c>
      <c r="B245" t="inlineStr">
        <is>
          <t>TC-726</t>
        </is>
      </c>
      <c r="C245" t="inlineStr">
        <is>
          <t>Test fail: TC-726: CaseProvenance=FROM_INCIDENT → linkedIncidentId set @P0 @GREEN @Critical</t>
        </is>
      </c>
      <c r="D245" t="inlineStr">
        <is>
          <t>Critical</t>
        </is>
      </c>
      <c r="E245" t="inlineStr">
        <is>
          <t>Open</t>
        </is>
      </c>
      <c r="F245" t="inlineStr">
        <is>
          <t>23/05/2026</t>
        </is>
      </c>
    </row>
    <row r="246">
      <c r="A246" t="inlineStr">
        <is>
          <t>BUG-243</t>
        </is>
      </c>
      <c r="B246" t="inlineStr">
        <is>
          <t>TC-727</t>
        </is>
      </c>
      <c r="C246" t="inlineStr">
        <is>
          <t>Test fail: TC-727: FROM_INCIDENT thiếu expectedIncidentUpdatedAt → 400 @P0 @RED @High</t>
        </is>
      </c>
      <c r="D246" t="inlineStr">
        <is>
          <t>High</t>
        </is>
      </c>
      <c r="E246" t="inlineStr">
        <is>
          <t>Open</t>
        </is>
      </c>
      <c r="F246" t="inlineStr">
        <is>
          <t>23/05/2026</t>
        </is>
      </c>
    </row>
    <row r="247">
      <c r="A247" t="inlineStr">
        <is>
          <t>BUG-244</t>
        </is>
      </c>
      <c r="B247" t="inlineStr">
        <is>
          <t>TC-728</t>
        </is>
      </c>
      <c r="C247" t="inlineStr">
        <is>
          <t>Test fail: TC-728: Race convertToCase 2 user same Incident → 1×409 @P0 @SECURITY @Critical</t>
        </is>
      </c>
      <c r="D247" t="inlineStr">
        <is>
          <t>Critical</t>
        </is>
      </c>
      <c r="E247" t="inlineStr">
        <is>
          <t>Open</t>
        </is>
      </c>
      <c r="F247" t="inlineStr">
        <is>
          <t>23/05/2026</t>
        </is>
      </c>
    </row>
    <row r="248">
      <c r="A248" t="inlineStr">
        <is>
          <t>BUG-245</t>
        </is>
      </c>
      <c r="B248" t="inlineStr">
        <is>
          <t>TC-729</t>
        </is>
      </c>
      <c r="C248" t="inlineStr">
        <is>
          <t>Test fail: TC-729: INCIDENT_CONVERTED audit @P0 @AUDIT @High</t>
        </is>
      </c>
      <c r="D248" t="inlineStr">
        <is>
          <t>High</t>
        </is>
      </c>
      <c r="E248" t="inlineStr">
        <is>
          <t>Open</t>
        </is>
      </c>
      <c r="F248" t="inlineStr">
        <is>
          <t>23/05/2026</t>
        </is>
      </c>
    </row>
    <row r="249">
      <c r="A249" t="inlineStr">
        <is>
          <t>BUG-246</t>
        </is>
      </c>
      <c r="B249" t="inlineStr">
        <is>
          <t>TC-730</t>
        </is>
      </c>
      <c r="C249" t="inlineStr">
        <is>
          <t>Test fail: TC-730: Incident có deadlineRuleVersionId tracked @P1 @DATA @Medium</t>
        </is>
      </c>
      <c r="D249" t="inlineStr">
        <is>
          <t>Medium</t>
        </is>
      </c>
      <c r="E249" t="inlineStr">
        <is>
          <t>Open</t>
        </is>
      </c>
      <c r="F249" t="inlineStr">
        <is>
          <t>23/05/2026</t>
        </is>
      </c>
    </row>
    <row r="250">
      <c r="A250" t="inlineStr">
        <is>
          <t>BUG-247</t>
        </is>
      </c>
      <c r="B250" t="inlineStr">
        <is>
          <t>TC-731</t>
        </is>
      </c>
      <c r="C250" t="inlineStr">
        <is>
          <t>Test fail: TC-731: E2E: Tạo Incident → assign → convert Case → KPI dashboard update @P1 @INTEGRATION @Medium</t>
        </is>
      </c>
      <c r="D250" t="inlineStr">
        <is>
          <t>Medium</t>
        </is>
      </c>
      <c r="E250" t="inlineStr">
        <is>
          <t>Open</t>
        </is>
      </c>
      <c r="F250" t="inlineStr">
        <is>
          <t>23/05/2026</t>
        </is>
      </c>
    </row>
    <row r="251">
      <c r="A251" t="inlineStr">
        <is>
          <t>BUG-248</t>
        </is>
      </c>
      <c r="B251" t="inlineStr">
        <is>
          <t>TC-732</t>
        </is>
      </c>
      <c r="C251" t="inlineStr">
        <is>
          <t>Test fail: TC-732: convertToCase &lt; 1s @P1 @PERFORMANCE @Medium</t>
        </is>
      </c>
      <c r="D251" t="inlineStr">
        <is>
          <t>Medium</t>
        </is>
      </c>
      <c r="E251" t="inlineStr">
        <is>
          <t>Open</t>
        </is>
      </c>
      <c r="F251" t="inlineStr">
        <is>
          <t>23/05/2026</t>
        </is>
      </c>
    </row>
    <row r="252">
      <c r="A252" t="inlineStr">
        <is>
          <t>BUG-249</t>
        </is>
      </c>
      <c r="B252" t="inlineStr">
        <is>
          <t>TC-733</t>
        </is>
      </c>
      <c r="C252" t="inlineStr">
        <is>
          <t>Test fail: TC-733: convertToCase fail giữa tx → Incident nguyên @P1 @RECOVERY @High</t>
        </is>
      </c>
      <c r="D252" t="inlineStr">
        <is>
          <t>High</t>
        </is>
      </c>
      <c r="E252" t="inlineStr">
        <is>
          <t>Open</t>
        </is>
      </c>
      <c r="F252" t="inlineStr">
        <is>
          <t>23/05/2026</t>
        </is>
      </c>
    </row>
    <row r="253">
      <c r="A253" t="inlineStr">
        <is>
          <t>BUG-250</t>
        </is>
      </c>
      <c r="B253" t="inlineStr">
        <is>
          <t>TC-734</t>
        </is>
      </c>
      <c r="C253" t="inlineStr">
        <is>
          <t>Test fail: TC-734: VIEWER convert → 403 @P0 @RED @High</t>
        </is>
      </c>
      <c r="D253" t="inlineStr">
        <is>
          <t>High</t>
        </is>
      </c>
      <c r="E253" t="inlineStr">
        <is>
          <t>Open</t>
        </is>
      </c>
      <c r="F253" t="inlineStr">
        <is>
          <t>23/05/2026</t>
        </is>
      </c>
    </row>
    <row r="254">
      <c r="A254" t="inlineStr">
        <is>
          <t>BUG-251</t>
        </is>
      </c>
      <c r="B254" t="inlineStr">
        <is>
          <t>TC-735</t>
        </is>
      </c>
      <c r="C254" t="inlineStr">
        <is>
          <t>Test fail: TC-735: JWT thiếu → 401 @P0 @RED @High</t>
        </is>
      </c>
      <c r="D254" t="inlineStr">
        <is>
          <t>High</t>
        </is>
      </c>
      <c r="E254" t="inlineStr">
        <is>
          <t>Open</t>
        </is>
      </c>
      <c r="F254" t="inlineStr">
        <is>
          <t>23/05/2026</t>
        </is>
      </c>
    </row>
    <row r="255">
      <c r="A255" t="inlineStr">
        <is>
          <t>BUG-252</t>
        </is>
      </c>
      <c r="B255" t="inlineStr">
        <is>
          <t>TC-736</t>
        </is>
      </c>
      <c r="C255" t="inlineStr">
        <is>
          <t>Test fail: TC-736: Incident TAM_DINH_CHI_LAI (lần 2 trở đi) @P0 @STATE @High</t>
        </is>
      </c>
      <c r="D255" t="inlineStr">
        <is>
          <t>High</t>
        </is>
      </c>
      <c r="E255" t="inlineStr">
        <is>
          <t>Open</t>
        </is>
      </c>
      <c r="F255" t="inlineStr">
        <is>
          <t>23/05/2026</t>
        </is>
      </c>
    </row>
    <row r="256">
      <c r="A256" t="inlineStr">
        <is>
          <t>BUG-253</t>
        </is>
      </c>
      <c r="B256" t="inlineStr">
        <is>
          <t>TC-737</t>
        </is>
      </c>
      <c r="C256" t="inlineStr">
        <is>
          <t>Test fail: TC-737: Incident detail show ketQuaXacMinh + ngayPhucHoi @P1 @GREEN @Medium</t>
        </is>
      </c>
      <c r="D256" t="inlineStr">
        <is>
          <t>Medium</t>
        </is>
      </c>
      <c r="E256" t="inlineStr">
        <is>
          <t>Open</t>
        </is>
      </c>
      <c r="F256" t="inlineStr">
        <is>
          <t>23/05/2026</t>
        </is>
      </c>
    </row>
    <row r="257">
      <c r="A257" t="inlineStr">
        <is>
          <t>BUG-254</t>
        </is>
      </c>
      <c r="B257" t="inlineStr">
        <is>
          <t>TC-738</t>
        </is>
      </c>
      <c r="C257" t="inlineStr">
        <is>
          <t>Test fail: TC-738: Incident kết quả phục hồi enum khác Case @P1 @DATA @Medium</t>
        </is>
      </c>
      <c r="D257" t="inlineStr">
        <is>
          <t>Medium</t>
        </is>
      </c>
      <c r="E257" t="inlineStr">
        <is>
          <t>Open</t>
        </is>
      </c>
      <c r="F257" t="inlineStr">
        <is>
          <t>23/05/2026</t>
        </is>
      </c>
    </row>
    <row r="258">
      <c r="A258" t="inlineStr">
        <is>
          <t>BUG-255</t>
        </is>
      </c>
      <c r="B258" t="inlineStr">
        <is>
          <t>TC-739</t>
        </is>
      </c>
      <c r="C258" t="inlineStr">
        <is>
          <t>Test fail: TC-739: Incident deadline override Case deadline? @P1 @BOUNDARY @Low</t>
        </is>
      </c>
      <c r="D258" t="inlineStr">
        <is>
          <t>Low</t>
        </is>
      </c>
      <c r="E258" t="inlineStr">
        <is>
          <t>Open</t>
        </is>
      </c>
      <c r="F258" t="inlineStr">
        <is>
          <t>23/05/2026</t>
        </is>
      </c>
    </row>
    <row r="259">
      <c r="A259" t="inlineStr">
        <is>
          <t>BUG-256</t>
        </is>
      </c>
      <c r="B259" t="inlineStr">
        <is>
          <t>TC-740</t>
        </is>
      </c>
      <c r="C259" t="inlineStr">
        <is>
          <t>Test fail: TC-740: Multiple Incidents linked to same Case (1-to-many) @P0 @INTEGRATION @High</t>
        </is>
      </c>
      <c r="D259" t="inlineStr">
        <is>
          <t>High</t>
        </is>
      </c>
      <c r="E259" t="inlineStr">
        <is>
          <t>Open</t>
        </is>
      </c>
      <c r="F259" t="inlineStr">
        <is>
          <t>23/05/2026</t>
        </is>
      </c>
    </row>
    <row r="260">
      <c r="A260" t="inlineStr">
        <is>
          <t>BUG-257</t>
        </is>
      </c>
      <c r="B260" t="inlineStr">
        <is>
          <t>TC-741</t>
        </is>
      </c>
      <c r="C260" t="inlineStr">
        <is>
          <t>Test fail: TC-741: Delete Case có linkedIncidents → block 400 @P0 @INTEGRATION @High</t>
        </is>
      </c>
      <c r="D260" t="inlineStr">
        <is>
          <t>High</t>
        </is>
      </c>
      <c r="E260" t="inlineStr">
        <is>
          <t>Open</t>
        </is>
      </c>
      <c r="F260" t="inlineStr">
        <is>
          <t>23/05/2026</t>
        </is>
      </c>
    </row>
    <row r="261">
      <c r="A261" t="inlineStr">
        <is>
          <t>BUG-258</t>
        </is>
      </c>
      <c r="B261" t="inlineStr">
        <is>
          <t>TC-742</t>
        </is>
      </c>
      <c r="C261" t="inlineStr">
        <is>
          <t>Test fail: TC-742: Incident status transitions match BLTTHS @P0 @STATE @Medium</t>
        </is>
      </c>
      <c r="D261" t="inlineStr">
        <is>
          <t>Medium</t>
        </is>
      </c>
      <c r="E261" t="inlineStr">
        <is>
          <t>Open</t>
        </is>
      </c>
      <c r="F261" t="inlineStr">
        <is>
          <t>23/05/2026</t>
        </is>
      </c>
    </row>
    <row r="262">
      <c r="A262" t="inlineStr">
        <is>
          <t>BUG-259</t>
        </is>
      </c>
      <c r="B262" t="inlineStr">
        <is>
          <t>TC-744</t>
        </is>
      </c>
      <c r="C262" t="inlineStr">
        <is>
          <t>Test fail: TC-744: Convert Incident → Case → Subject (E2E) @P0 @INTEGRATION @High</t>
        </is>
      </c>
      <c r="D262" t="inlineStr">
        <is>
          <t>High</t>
        </is>
      </c>
      <c r="E262" t="inlineStr">
        <is>
          <t>Open</t>
        </is>
      </c>
      <c r="F262" t="inlineStr">
        <is>
          <t>23/05/2026</t>
        </is>
      </c>
    </row>
    <row r="263">
      <c r="A263" t="inlineStr">
        <is>
          <t>BUG-260</t>
        </is>
      </c>
      <c r="B263" t="inlineStr">
        <is>
          <t>TC-746</t>
        </is>
      </c>
      <c r="C263" t="inlineStr">
        <is>
          <t>Test fail: TC-746: INCIDENT_STATUS_CHANGED audit có fromStatus/toStatus @P0 @AUDIT @High</t>
        </is>
      </c>
      <c r="D263" t="inlineStr">
        <is>
          <t>High</t>
        </is>
      </c>
      <c r="E263" t="inlineStr">
        <is>
          <t>Open</t>
        </is>
      </c>
      <c r="F263" t="inlineStr">
        <is>
          <t>23/05/2026</t>
        </is>
      </c>
    </row>
    <row r="264">
      <c r="A264" t="inlineStr">
        <is>
          <t>BUG-261</t>
        </is>
      </c>
      <c r="B264" t="inlineStr">
        <is>
          <t>TC-440</t>
        </is>
      </c>
      <c r="C264" t="inlineStr">
        <is>
          <t>Test fail: TC-440: Tạo Lawyer với barNumber unique @P0 @GREEN @High</t>
        </is>
      </c>
      <c r="D264" t="inlineStr">
        <is>
          <t>High</t>
        </is>
      </c>
      <c r="E264" t="inlineStr">
        <is>
          <t>Open</t>
        </is>
      </c>
      <c r="F264" t="inlineStr">
        <is>
          <t>23/05/2026</t>
        </is>
      </c>
    </row>
    <row r="265">
      <c r="A265" t="inlineStr">
        <is>
          <t>BUG-262</t>
        </is>
      </c>
      <c r="B265" t="inlineStr">
        <is>
          <t>TC-441</t>
        </is>
      </c>
      <c r="C265" t="inlineStr">
        <is>
          <t>Test fail: TC-441: Tạo Lawyer gắn subjectId (bào chữa cho subject cụ thể) @P0 @GREEN @High</t>
        </is>
      </c>
      <c r="D265" t="inlineStr">
        <is>
          <t>High</t>
        </is>
      </c>
      <c r="E265" t="inlineStr">
        <is>
          <t>Open</t>
        </is>
      </c>
      <c r="F265" t="inlineStr">
        <is>
          <t>23/05/2026</t>
        </is>
      </c>
    </row>
    <row r="266">
      <c r="A266" t="inlineStr">
        <is>
          <t>BUG-263</t>
        </is>
      </c>
      <c r="B266" t="inlineStr">
        <is>
          <t>TC-442</t>
        </is>
      </c>
      <c r="C266" t="inlineStr">
        <is>
          <t>Test fail: TC-442: Lawyer không gắn subjectId (bào chữa chung) @P1 @GREEN @Medium</t>
        </is>
      </c>
      <c r="D266" t="inlineStr">
        <is>
          <t>Medium</t>
        </is>
      </c>
      <c r="E266" t="inlineStr">
        <is>
          <t>Open</t>
        </is>
      </c>
      <c r="F266" t="inlineStr">
        <is>
          <t>23/05/2026</t>
        </is>
      </c>
    </row>
    <row r="267">
      <c r="A267" t="inlineStr">
        <is>
          <t>BUG-264</t>
        </is>
      </c>
      <c r="B267" t="inlineStr">
        <is>
          <t>TC-443</t>
        </is>
      </c>
      <c r="C267" t="inlineStr">
        <is>
          <t>Test fail: TC-443: fullName rỗng → 400 @P0 @RED @High</t>
        </is>
      </c>
      <c r="D267" t="inlineStr">
        <is>
          <t>High</t>
        </is>
      </c>
      <c r="E267" t="inlineStr">
        <is>
          <t>Open</t>
        </is>
      </c>
      <c r="F267" t="inlineStr">
        <is>
          <t>23/05/2026</t>
        </is>
      </c>
    </row>
    <row r="268">
      <c r="A268" t="inlineStr">
        <is>
          <t>BUG-265</t>
        </is>
      </c>
      <c r="B268" t="inlineStr">
        <is>
          <t>TC-444</t>
        </is>
      </c>
      <c r="C268" t="inlineStr">
        <is>
          <t>Test fail: TC-444: barNumber rỗng → 400 @P0 @RED @High</t>
        </is>
      </c>
      <c r="D268" t="inlineStr">
        <is>
          <t>High</t>
        </is>
      </c>
      <c r="E268" t="inlineStr">
        <is>
          <t>Open</t>
        </is>
      </c>
      <c r="F268" t="inlineStr">
        <is>
          <t>23/05/2026</t>
        </is>
      </c>
    </row>
    <row r="269">
      <c r="A269" t="inlineStr">
        <is>
          <t>BUG-266</t>
        </is>
      </c>
      <c r="B269" t="inlineStr">
        <is>
          <t>TC-445</t>
        </is>
      </c>
      <c r="C269" t="inlineStr">
        <is>
          <t>Test fail: TC-445: barNumber duplicate (đã tồn tại) → 409 unique constraint @P0 @RED @High</t>
        </is>
      </c>
      <c r="D269" t="inlineStr">
        <is>
          <t>High</t>
        </is>
      </c>
      <c r="E269" t="inlineStr">
        <is>
          <t>Open</t>
        </is>
      </c>
      <c r="F269" t="inlineStr">
        <is>
          <t>23/05/2026</t>
        </is>
      </c>
    </row>
    <row r="270">
      <c r="A270" t="inlineStr">
        <is>
          <t>BUG-267</t>
        </is>
      </c>
      <c r="B270" t="inlineStr">
        <is>
          <t>TC-446</t>
        </is>
      </c>
      <c r="C270" t="inlineStr">
        <is>
          <t>Test fail: TC-446: caseId rỗng → 400 @P0 @RED @High</t>
        </is>
      </c>
      <c r="D270" t="inlineStr">
        <is>
          <t>High</t>
        </is>
      </c>
      <c r="E270" t="inlineStr">
        <is>
          <t>Open</t>
        </is>
      </c>
      <c r="F270" t="inlineStr">
        <is>
          <t>23/05/2026</t>
        </is>
      </c>
    </row>
    <row r="271">
      <c r="A271" t="inlineStr">
        <is>
          <t>BUG-268</t>
        </is>
      </c>
      <c r="B271" t="inlineStr">
        <is>
          <t>TC-447</t>
        </is>
      </c>
      <c r="C271" t="inlineStr">
        <is>
          <t>Test fail: TC-447: caseId không tồn tại → 400 FK @P0 @RED @High</t>
        </is>
      </c>
      <c r="D271" t="inlineStr">
        <is>
          <t>High</t>
        </is>
      </c>
      <c r="E271" t="inlineStr">
        <is>
          <t>Open</t>
        </is>
      </c>
      <c r="F271" t="inlineStr">
        <is>
          <t>23/05/2026</t>
        </is>
      </c>
    </row>
    <row r="272">
      <c r="A272" t="inlineStr">
        <is>
          <t>BUG-269</t>
        </is>
      </c>
      <c r="B272" t="inlineStr">
        <is>
          <t>TC-448</t>
        </is>
      </c>
      <c r="C272" t="inlineStr">
        <is>
          <t>Test fail: TC-448: subjectId không tồn tại trong DB → 400 FK @P0 @RED @High</t>
        </is>
      </c>
      <c r="D272" t="inlineStr">
        <is>
          <t>High</t>
        </is>
      </c>
      <c r="E272" t="inlineStr">
        <is>
          <t>Open</t>
        </is>
      </c>
      <c r="F272" t="inlineStr">
        <is>
          <t>23/05/2026</t>
        </is>
      </c>
    </row>
    <row r="273">
      <c r="A273" t="inlineStr">
        <is>
          <t>BUG-270</t>
        </is>
      </c>
      <c r="B273" t="inlineStr">
        <is>
          <t>TC-449</t>
        </is>
      </c>
      <c r="C273" t="inlineStr">
        <is>
          <t>Test fail: TC-449: subjectId không cùng caseId (cross-case) → 400 business rule @P1 @RED @High</t>
        </is>
      </c>
      <c r="D273" t="inlineStr">
        <is>
          <t>High</t>
        </is>
      </c>
      <c r="E273" t="inlineStr">
        <is>
          <t>Open</t>
        </is>
      </c>
      <c r="F273" t="inlineStr">
        <is>
          <t>23/05/2026</t>
        </is>
      </c>
    </row>
    <row r="274">
      <c r="A274" t="inlineStr">
        <is>
          <t>BUG-271</t>
        </is>
      </c>
      <c r="B274" t="inlineStr">
        <is>
          <t>TC-450</t>
        </is>
      </c>
      <c r="C274" t="inlineStr">
        <is>
          <t>Test fail: TC-450: GET /lawyers?caseId=C001 trả lawyers của Case @P0 @GREEN @High</t>
        </is>
      </c>
      <c r="D274" t="inlineStr">
        <is>
          <t>High</t>
        </is>
      </c>
      <c r="E274" t="inlineStr">
        <is>
          <t>Open</t>
        </is>
      </c>
      <c r="F274" t="inlineStr">
        <is>
          <t>23/05/2026</t>
        </is>
      </c>
    </row>
    <row r="275">
      <c r="A275" t="inlineStr">
        <is>
          <t>BUG-272</t>
        </is>
      </c>
      <c r="B275" t="inlineStr">
        <is>
          <t>TC-451</t>
        </is>
      </c>
      <c r="C275" t="inlineStr">
        <is>
          <t>Test fail: TC-451: GET /lawyers?subjectId=S001 trả lawyers của subject @P0 @GREEN @Medium</t>
        </is>
      </c>
      <c r="D275" t="inlineStr">
        <is>
          <t>Medium</t>
        </is>
      </c>
      <c r="E275" t="inlineStr">
        <is>
          <t>Open</t>
        </is>
      </c>
      <c r="F275" t="inlineStr">
        <is>
          <t>23/05/2026</t>
        </is>
      </c>
    </row>
    <row r="276">
      <c r="A276" t="inlineStr">
        <is>
          <t>BUG-273</t>
        </is>
      </c>
      <c r="B276" t="inlineStr">
        <is>
          <t>TC-452</t>
        </is>
      </c>
      <c r="C276" t="inlineStr">
        <is>
          <t>Test fail: TC-452: GET /lawyers/:id detail include subject info @P0 @GREEN @High</t>
        </is>
      </c>
      <c r="D276" t="inlineStr">
        <is>
          <t>High</t>
        </is>
      </c>
      <c r="E276" t="inlineStr">
        <is>
          <t>Open</t>
        </is>
      </c>
      <c r="F276" t="inlineStr">
        <is>
          <t>23/05/2026</t>
        </is>
      </c>
    </row>
    <row r="277">
      <c r="A277" t="inlineStr">
        <is>
          <t>BUG-274</t>
        </is>
      </c>
      <c r="B277" t="inlineStr">
        <is>
          <t>TC-453</t>
        </is>
      </c>
      <c r="C277" t="inlineStr">
        <is>
          <t>Test fail: TC-453: GET /lawyers/NOT_EXIST → 404 @P0 @RED @High</t>
        </is>
      </c>
      <c r="D277" t="inlineStr">
        <is>
          <t>High</t>
        </is>
      </c>
      <c r="E277" t="inlineStr">
        <is>
          <t>Open</t>
        </is>
      </c>
      <c r="F277" t="inlineStr">
        <is>
          <t>23/05/2026</t>
        </is>
      </c>
    </row>
    <row r="278">
      <c r="A278" t="inlineStr">
        <is>
          <t>BUG-275</t>
        </is>
      </c>
      <c r="B278" t="inlineStr">
        <is>
          <t>TC-454</t>
        </is>
      </c>
      <c r="C278" t="inlineStr">
        <is>
          <t>Test fail: TC-454: GET Lawyer ngoài scope (Case không thuộc team mình) → 403 @P0 @RED @Critical</t>
        </is>
      </c>
      <c r="D278" t="inlineStr">
        <is>
          <t>Critical</t>
        </is>
      </c>
      <c r="E278" t="inlineStr">
        <is>
          <t>Open</t>
        </is>
      </c>
      <c r="F278" t="inlineStr">
        <is>
          <t>23/05/2026</t>
        </is>
      </c>
    </row>
    <row r="279">
      <c r="A279" t="inlineStr">
        <is>
          <t>BUG-276</t>
        </is>
      </c>
      <c r="B279" t="inlineStr">
        <is>
          <t>TC-455</t>
        </is>
      </c>
      <c r="C279" t="inlineStr">
        <is>
          <t>Test fail: TC-455: PUT update lawFirm + phone @P0 @GREEN @High</t>
        </is>
      </c>
      <c r="D279" t="inlineStr">
        <is>
          <t>High</t>
        </is>
      </c>
      <c r="E279" t="inlineStr">
        <is>
          <t>Open</t>
        </is>
      </c>
      <c r="F279" t="inlineStr">
        <is>
          <t>23/05/2026</t>
        </is>
      </c>
    </row>
    <row r="280">
      <c r="A280" t="inlineStr">
        <is>
          <t>BUG-277</t>
        </is>
      </c>
      <c r="B280" t="inlineStr">
        <is>
          <t>TC-456</t>
        </is>
      </c>
      <c r="C280" t="inlineStr">
        <is>
          <t>Test fail: TC-456: PUT barNumber duplicate → 409 @P0 @RED @High</t>
        </is>
      </c>
      <c r="D280" t="inlineStr">
        <is>
          <t>High</t>
        </is>
      </c>
      <c r="E280" t="inlineStr">
        <is>
          <t>Open</t>
        </is>
      </c>
      <c r="F280" t="inlineStr">
        <is>
          <t>23/05/2026</t>
        </is>
      </c>
    </row>
    <row r="281">
      <c r="A281" t="inlineStr">
        <is>
          <t>BUG-278</t>
        </is>
      </c>
      <c r="B281" t="inlineStr">
        <is>
          <t>TC-457</t>
        </is>
      </c>
      <c r="C281" t="inlineStr">
        <is>
          <t>Test fail: TC-457: PUT Lawyer ngoài write scope → 403 @P0 @RED @Critical</t>
        </is>
      </c>
      <c r="D281" t="inlineStr">
        <is>
          <t>Critical</t>
        </is>
      </c>
      <c r="E281" t="inlineStr">
        <is>
          <t>Open</t>
        </is>
      </c>
      <c r="F281" t="inlineStr">
        <is>
          <t>23/05/2026</t>
        </is>
      </c>
    </row>
    <row r="282">
      <c r="A282" t="inlineStr">
        <is>
          <t>BUG-279</t>
        </is>
      </c>
      <c r="B282" t="inlineStr">
        <is>
          <t>TC-458</t>
        </is>
      </c>
      <c r="C282" t="inlineStr">
        <is>
          <t>Test fail: TC-458: DELETE Lawyer soft delete @P0 @GREEN @High</t>
        </is>
      </c>
      <c r="D282" t="inlineStr">
        <is>
          <t>High</t>
        </is>
      </c>
      <c r="E282" t="inlineStr">
        <is>
          <t>Open</t>
        </is>
      </c>
      <c r="F282" t="inlineStr">
        <is>
          <t>23/05/2026</t>
        </is>
      </c>
    </row>
    <row r="283">
      <c r="A283" t="inlineStr">
        <is>
          <t>BUG-280</t>
        </is>
      </c>
      <c r="B283" t="inlineStr">
        <is>
          <t>TC-459</t>
        </is>
      </c>
      <c r="C283" t="inlineStr">
        <is>
          <t>Test fail: TC-459: DELETE Lawyer không tồn tại → 404 @P0 @RED @High</t>
        </is>
      </c>
      <c r="D283" t="inlineStr">
        <is>
          <t>High</t>
        </is>
      </c>
      <c r="E283" t="inlineStr">
        <is>
          <t>Open</t>
        </is>
      </c>
      <c r="F283" t="inlineStr">
        <is>
          <t>23/05/2026</t>
        </is>
      </c>
    </row>
    <row r="284">
      <c r="A284" t="inlineStr">
        <is>
          <t>BUG-281</t>
        </is>
      </c>
      <c r="B284" t="inlineStr">
        <is>
          <t>TC-460</t>
        </is>
      </c>
      <c r="C284" t="inlineStr">
        <is>
          <t>Test fail: TC-460: DELETE Lawyer ngoài scope → 403 @P0 @RED @Critical</t>
        </is>
      </c>
      <c r="D284" t="inlineStr">
        <is>
          <t>Critical</t>
        </is>
      </c>
      <c r="E284" t="inlineStr">
        <is>
          <t>Open</t>
        </is>
      </c>
      <c r="F284" t="inlineStr">
        <is>
          <t>23/05/2026</t>
        </is>
      </c>
    </row>
    <row r="285">
      <c r="A285" t="inlineStr">
        <is>
          <t>BUG-282</t>
        </is>
      </c>
      <c r="B285" t="inlineStr">
        <is>
          <t>TC-461</t>
        </is>
      </c>
      <c r="C285" t="inlineStr">
        <is>
          <t>Test fail: TC-461: IDOR: POST Lawyer với caseId ngoài team → 403 @P0 @SECURITY @Critical</t>
        </is>
      </c>
      <c r="D285" t="inlineStr">
        <is>
          <t>Critical</t>
        </is>
      </c>
      <c r="E285" t="inlineStr">
        <is>
          <t>Open</t>
        </is>
      </c>
      <c r="F285" t="inlineStr">
        <is>
          <t>23/05/2026</t>
        </is>
      </c>
    </row>
    <row r="286">
      <c r="A286" t="inlineStr">
        <is>
          <t>BUG-283</t>
        </is>
      </c>
      <c r="B286" t="inlineStr">
        <is>
          <t>TC-462</t>
        </is>
      </c>
      <c r="C286" t="inlineStr">
        <is>
          <t>Test fail: TC-462: XSS qua fullName='&lt;svg onload=alert(1)&gt;' @P0 @SECURITY @Critical</t>
        </is>
      </c>
      <c r="D286" t="inlineStr">
        <is>
          <t>Critical</t>
        </is>
      </c>
      <c r="E286" t="inlineStr">
        <is>
          <t>Open</t>
        </is>
      </c>
      <c r="F286" t="inlineStr">
        <is>
          <t>23/05/2026</t>
        </is>
      </c>
    </row>
    <row r="287">
      <c r="A287" t="inlineStr">
        <is>
          <t>BUG-284</t>
        </is>
      </c>
      <c r="B287" t="inlineStr">
        <is>
          <t>TC-463</t>
        </is>
      </c>
      <c r="C287" t="inlineStr">
        <is>
          <t>Test fail: TC-463: SQL injection qua barNumber @P0 @SECURITY @High</t>
        </is>
      </c>
      <c r="D287" t="inlineStr">
        <is>
          <t>High</t>
        </is>
      </c>
      <c r="E287" t="inlineStr">
        <is>
          <t>Open</t>
        </is>
      </c>
      <c r="F287" t="inlineStr">
        <is>
          <t>23/05/2026</t>
        </is>
      </c>
    </row>
    <row r="288">
      <c r="A288" t="inlineStr">
        <is>
          <t>BUG-285</t>
        </is>
      </c>
      <c r="B288" t="inlineStr">
        <is>
          <t>TC-464</t>
        </is>
      </c>
      <c r="C288" t="inlineStr">
        <is>
          <t>Test fail: TC-464: fullName tiếng Việt 'Luật sư Đỗ Thị Thanh Mai' @P1 @DATA @Medium</t>
        </is>
      </c>
      <c r="D288" t="inlineStr">
        <is>
          <t>Medium</t>
        </is>
      </c>
      <c r="E288" t="inlineStr">
        <is>
          <t>Open</t>
        </is>
      </c>
      <c r="F288" t="inlineStr">
        <is>
          <t>23/05/2026</t>
        </is>
      </c>
    </row>
    <row r="289">
      <c r="A289" t="inlineStr">
        <is>
          <t>BUG-286</t>
        </is>
      </c>
      <c r="B289" t="inlineStr">
        <is>
          <t>TC-465</t>
        </is>
      </c>
      <c r="C289" t="inlineStr">
        <is>
          <t>Test fail: TC-465: lawFirm Unicode 'Văn phòng Luật sư Hà Nội &amp; Cộng sự' @P1 @DATA @Low</t>
        </is>
      </c>
      <c r="D289" t="inlineStr">
        <is>
          <t>Low</t>
        </is>
      </c>
      <c r="E289" t="inlineStr">
        <is>
          <t>Open</t>
        </is>
      </c>
      <c r="F289" t="inlineStr">
        <is>
          <t>23/05/2026</t>
        </is>
      </c>
    </row>
    <row r="290">
      <c r="A290" t="inlineStr">
        <is>
          <t>BUG-287</t>
        </is>
      </c>
      <c r="B290" t="inlineStr">
        <is>
          <t>TC-466</t>
        </is>
      </c>
      <c r="C290" t="inlineStr">
        <is>
          <t>Test fail: TC-466: phone số Quốc tế '+84 901 234 567' @P1 @DATA @Low</t>
        </is>
      </c>
      <c r="D290" t="inlineStr">
        <is>
          <t>Low</t>
        </is>
      </c>
      <c r="E290" t="inlineStr">
        <is>
          <t>Open</t>
        </is>
      </c>
      <c r="F290" t="inlineStr">
        <is>
          <t>23/05/2026</t>
        </is>
      </c>
    </row>
    <row r="291">
      <c r="A291" t="inlineStr">
        <is>
          <t>BUG-288</t>
        </is>
      </c>
      <c r="B291" t="inlineStr">
        <is>
          <t>TC-467</t>
        </is>
      </c>
      <c r="C291" t="inlineStr">
        <is>
          <t>Test fail: TC-467: barNumber chứa whitespace 'LS 2026 12345' → save raw (gap) @P1 @RED @Low</t>
        </is>
      </c>
      <c r="D291" t="inlineStr">
        <is>
          <t>Low</t>
        </is>
      </c>
      <c r="E291" t="inlineStr">
        <is>
          <t>Open</t>
        </is>
      </c>
      <c r="F291" t="inlineStr">
        <is>
          <t>23/05/2026</t>
        </is>
      </c>
    </row>
    <row r="292">
      <c r="A292" t="inlineStr">
        <is>
          <t>BUG-289</t>
        </is>
      </c>
      <c r="B292" t="inlineStr">
        <is>
          <t>TC-468</t>
        </is>
      </c>
      <c r="C292" t="inlineStr">
        <is>
          <t>Test fail: TC-468: Lawyer được assign sang Subject khác (re-assign) @P1 @STATE @Medium</t>
        </is>
      </c>
      <c r="D292" t="inlineStr">
        <is>
          <t>Medium</t>
        </is>
      </c>
      <c r="E292" t="inlineStr">
        <is>
          <t>Open</t>
        </is>
      </c>
      <c r="F292" t="inlineStr">
        <is>
          <t>23/05/2026</t>
        </is>
      </c>
    </row>
    <row r="293">
      <c r="A293" t="inlineStr">
        <is>
          <t>BUG-290</t>
        </is>
      </c>
      <c r="B293" t="inlineStr">
        <is>
          <t>TC-469</t>
        </is>
      </c>
      <c r="C293" t="inlineStr">
        <is>
          <t>Test fail: TC-469: Unassign Lawyer khỏi Subject (subjectId=null) @P1 @STATE @Medium</t>
        </is>
      </c>
      <c r="D293" t="inlineStr">
        <is>
          <t>Medium</t>
        </is>
      </c>
      <c r="E293" t="inlineStr">
        <is>
          <t>Open</t>
        </is>
      </c>
      <c r="F293" t="inlineStr">
        <is>
          <t>23/05/2026</t>
        </is>
      </c>
    </row>
    <row r="294">
      <c r="A294" t="inlineStr">
        <is>
          <t>BUG-291</t>
        </is>
      </c>
      <c r="B294" t="inlineStr">
        <is>
          <t>TC-470</t>
        </is>
      </c>
      <c r="C294" t="inlineStr">
        <is>
          <t>Test fail: TC-470: Soft-delete Subject → Lawyer.subjectId auto null (onDelete SetNull) @P1 @INTEGRATION @High</t>
        </is>
      </c>
      <c r="D294" t="inlineStr">
        <is>
          <t>High</t>
        </is>
      </c>
      <c r="E294" t="inlineStr">
        <is>
          <t>Open</t>
        </is>
      </c>
      <c r="F294" t="inlineStr">
        <is>
          <t>23/05/2026</t>
        </is>
      </c>
    </row>
    <row r="295">
      <c r="A295" t="inlineStr">
        <is>
          <t>BUG-292</t>
        </is>
      </c>
      <c r="B295" t="inlineStr">
        <is>
          <t>TC-471</t>
        </is>
      </c>
      <c r="C295" t="inlineStr">
        <is>
          <t>Test fail: TC-471: Form barNumber có pattern hint @P1 @A11Y @Low</t>
        </is>
      </c>
      <c r="D295" t="inlineStr">
        <is>
          <t>Low</t>
        </is>
      </c>
      <c r="E295" t="inlineStr">
        <is>
          <t>Open</t>
        </is>
      </c>
      <c r="F295" t="inlineStr">
        <is>
          <t>23/05/2026</t>
        </is>
      </c>
    </row>
    <row r="296">
      <c r="A296" t="inlineStr">
        <is>
          <t>BUG-293</t>
        </is>
      </c>
      <c r="B296" t="inlineStr">
        <is>
          <t>TC-472</t>
        </is>
      </c>
      <c r="C296" t="inlineStr">
        <is>
          <t>Test fail: TC-472: GET /lawyers với 100 lawyer DB &lt; 500ms @P1 @PERFORMANCE @Medium</t>
        </is>
      </c>
      <c r="D296" t="inlineStr">
        <is>
          <t>Medium</t>
        </is>
      </c>
      <c r="E296" t="inlineStr">
        <is>
          <t>Open</t>
        </is>
      </c>
      <c r="F296" t="inlineStr">
        <is>
          <t>23/05/2026</t>
        </is>
      </c>
    </row>
    <row r="297">
      <c r="A297" t="inlineStr">
        <is>
          <t>BUG-294</t>
        </is>
      </c>
      <c r="B297" t="inlineStr">
        <is>
          <t>TC-475</t>
        </is>
      </c>
      <c r="C297" t="inlineStr">
        <is>
          <t>Test fail: TC-475: LAWYER_CREATED log có barNumber + caseId @P0 @AUDIT @High</t>
        </is>
      </c>
      <c r="D297" t="inlineStr">
        <is>
          <t>High</t>
        </is>
      </c>
      <c r="E297" t="inlineStr">
        <is>
          <t>Open</t>
        </is>
      </c>
      <c r="F297" t="inlineStr">
        <is>
          <t>23/05/2026</t>
        </is>
      </c>
    </row>
    <row r="298">
      <c r="A298" t="inlineStr">
        <is>
          <t>BUG-295</t>
        </is>
      </c>
      <c r="B298" t="inlineStr">
        <is>
          <t>TC-476</t>
        </is>
      </c>
      <c r="C298" t="inlineStr">
        <is>
          <t>Test fail: TC-476: fullName 1 ký tự @P1 @BOUNDARY @Low</t>
        </is>
      </c>
      <c r="D298" t="inlineStr">
        <is>
          <t>Low</t>
        </is>
      </c>
      <c r="E298" t="inlineStr">
        <is>
          <t>Open</t>
        </is>
      </c>
      <c r="F298" t="inlineStr">
        <is>
          <t>23/05/2026</t>
        </is>
      </c>
    </row>
    <row r="299">
      <c r="A299" t="inlineStr">
        <is>
          <t>BUG-296</t>
        </is>
      </c>
      <c r="B299" t="inlineStr">
        <is>
          <t>TC-477</t>
        </is>
      </c>
      <c r="C299" t="inlineStr">
        <is>
          <t>Test fail: TC-477: barNumber 1 ký tự @P1 @BOUNDARY @Low</t>
        </is>
      </c>
      <c r="D299" t="inlineStr">
        <is>
          <t>Low</t>
        </is>
      </c>
      <c r="E299" t="inlineStr">
        <is>
          <t>Open</t>
        </is>
      </c>
      <c r="F299" t="inlineStr">
        <is>
          <t>23/05/2026</t>
        </is>
      </c>
    </row>
    <row r="300">
      <c r="A300" t="inlineStr">
        <is>
          <t>BUG-297</t>
        </is>
      </c>
      <c r="B300" t="inlineStr">
        <is>
          <t>TC-478</t>
        </is>
      </c>
      <c r="C300" t="inlineStr">
        <is>
          <t>Test fail: TC-478: fullName 500 ký tự @P1 @BOUNDARY @Low</t>
        </is>
      </c>
      <c r="D300" t="inlineStr">
        <is>
          <t>Low</t>
        </is>
      </c>
      <c r="E300" t="inlineStr">
        <is>
          <t>Open</t>
        </is>
      </c>
      <c r="F300" t="inlineStr">
        <is>
          <t>23/05/2026</t>
        </is>
      </c>
    </row>
    <row r="301">
      <c r="A301" t="inlineStr">
        <is>
          <t>BUG-298</t>
        </is>
      </c>
      <c r="B301" t="inlineStr">
        <is>
          <t>TC-479</t>
        </is>
      </c>
      <c r="C301" t="inlineStr">
        <is>
          <t>Test fail: TC-479: POST với forbidNonWhitelisted field 'evil':'x' → 400 @P1 @RED @Medium</t>
        </is>
      </c>
      <c r="D301" t="inlineStr">
        <is>
          <t>Medium</t>
        </is>
      </c>
      <c r="E301" t="inlineStr">
        <is>
          <t>Open</t>
        </is>
      </c>
      <c r="F301" t="inlineStr">
        <is>
          <t>23/05/2026</t>
        </is>
      </c>
    </row>
    <row r="302">
      <c r="A302" t="inlineStr">
        <is>
          <t>BUG-299</t>
        </is>
      </c>
      <c r="B302" t="inlineStr">
        <is>
          <t>TC-480</t>
        </is>
      </c>
      <c r="C302" t="inlineStr">
        <is>
          <t>Test fail: TC-480: phone format không validate (gap) @P1 @RED @Low</t>
        </is>
      </c>
      <c r="D302" t="inlineStr">
        <is>
          <t>Low</t>
        </is>
      </c>
      <c r="E302" t="inlineStr">
        <is>
          <t>Open</t>
        </is>
      </c>
      <c r="F302" t="inlineStr">
        <is>
          <t>23/05/2026</t>
        </is>
      </c>
    </row>
    <row r="303">
      <c r="A303" t="inlineStr">
        <is>
          <t>BUG-300</t>
        </is>
      </c>
      <c r="B303" t="inlineStr">
        <is>
          <t>TC-481</t>
        </is>
      </c>
      <c r="C303" t="inlineStr">
        <is>
          <t>Test fail: TC-481: Filter search by fullName @P1 @GREEN @Medium</t>
        </is>
      </c>
      <c r="D303" t="inlineStr">
        <is>
          <t>Medium</t>
        </is>
      </c>
      <c r="E303" t="inlineStr">
        <is>
          <t>Open</t>
        </is>
      </c>
      <c r="F303" t="inlineStr">
        <is>
          <t>23/05/2026</t>
        </is>
      </c>
    </row>
    <row r="304">
      <c r="A304" t="inlineStr">
        <is>
          <t>BUG-301</t>
        </is>
      </c>
      <c r="B304" t="inlineStr">
        <is>
          <t>TC-482</t>
        </is>
      </c>
      <c r="C304" t="inlineStr">
        <is>
          <t>Test fail: TC-482: Pagination limit/offset @P1 @GREEN @Medium</t>
        </is>
      </c>
      <c r="D304" t="inlineStr">
        <is>
          <t>Medium</t>
        </is>
      </c>
      <c r="E304" t="inlineStr">
        <is>
          <t>Open</t>
        </is>
      </c>
      <c r="F304" t="inlineStr">
        <is>
          <t>23/05/2026</t>
        </is>
      </c>
    </row>
    <row r="305">
      <c r="A305" t="inlineStr">
        <is>
          <t>BUG-302</t>
        </is>
      </c>
      <c r="B305" t="inlineStr">
        <is>
          <t>TC-483</t>
        </is>
      </c>
      <c r="C305" t="inlineStr">
        <is>
          <t>Test fail: TC-483: limit=200 → ? (max validation cần check) @P1 @RED @Low</t>
        </is>
      </c>
      <c r="D305" t="inlineStr">
        <is>
          <t>Low</t>
        </is>
      </c>
      <c r="E305" t="inlineStr">
        <is>
          <t>Open</t>
        </is>
      </c>
      <c r="F305" t="inlineStr">
        <is>
          <t>23/05/2026</t>
        </is>
      </c>
    </row>
    <row r="306">
      <c r="A306" t="inlineStr">
        <is>
          <t>BUG-303</t>
        </is>
      </c>
      <c r="B306" t="inlineStr">
        <is>
          <t>TC-316</t>
        </is>
      </c>
      <c r="C306" t="inlineStr">
        <is>
          <t>Test fail: TC-316: limit=1 (min) → pass @P1 @BOUNDARY @Low</t>
        </is>
      </c>
      <c r="D306" t="inlineStr">
        <is>
          <t>Low</t>
        </is>
      </c>
      <c r="E306" t="inlineStr">
        <is>
          <t>Open</t>
        </is>
      </c>
      <c r="F306" t="inlineStr">
        <is>
          <t>23/05/2026</t>
        </is>
      </c>
    </row>
    <row r="307">
      <c r="A307" t="inlineStr">
        <is>
          <t>BUG-304</t>
        </is>
      </c>
      <c r="B307" t="inlineStr">
        <is>
          <t>TC-317</t>
        </is>
      </c>
      <c r="C307" t="inlineStr">
        <is>
          <t>Test fail: TC-317: limit=100 (max) → pass @P1 @BOUNDARY @Medium</t>
        </is>
      </c>
      <c r="D307" t="inlineStr">
        <is>
          <t>Medium</t>
        </is>
      </c>
      <c r="E307" t="inlineStr">
        <is>
          <t>Open</t>
        </is>
      </c>
      <c r="F307" t="inlineStr">
        <is>
          <t>23/05/2026</t>
        </is>
      </c>
    </row>
    <row r="308">
      <c r="A308" t="inlineStr">
        <is>
          <t>BUG-305</t>
        </is>
      </c>
      <c r="B308" t="inlineStr">
        <is>
          <t>TC-318</t>
        </is>
      </c>
      <c r="C308" t="inlineStr">
        <is>
          <t>Test fail: TC-318: limit=101 → 400 @P1 @BOUNDARY @Medium</t>
        </is>
      </c>
      <c r="D308" t="inlineStr">
        <is>
          <t>Medium</t>
        </is>
      </c>
      <c r="E308" t="inlineStr">
        <is>
          <t>Open</t>
        </is>
      </c>
      <c r="F308" t="inlineStr">
        <is>
          <t>23/05/2026</t>
        </is>
      </c>
    </row>
    <row r="309">
      <c r="A309" t="inlineStr">
        <is>
          <t>BUG-306</t>
        </is>
      </c>
      <c r="B309" t="inlineStr">
        <is>
          <t>TC-067</t>
        </is>
      </c>
      <c r="C309" t="inlineStr">
        <is>
          <t>Test fail: TC-067: GET /cases trả paginated 20 items default sorted createdAt desc @P0 @GREEN @High</t>
        </is>
      </c>
      <c r="D309" t="inlineStr">
        <is>
          <t>High</t>
        </is>
      </c>
      <c r="E309" t="inlineStr">
        <is>
          <t>Open</t>
        </is>
      </c>
      <c r="F309" t="inlineStr">
        <is>
          <t>23/05/2026</t>
        </is>
      </c>
    </row>
    <row r="310">
      <c r="A310" t="inlineStr">
        <is>
          <t>BUG-307</t>
        </is>
      </c>
      <c r="B310" t="inlineStr">
        <is>
          <t>TC-068</t>
        </is>
      </c>
      <c r="C310" t="inlineStr">
        <is>
          <t>Test fail: TC-068: GET /cases?limit=50 trả tối đa 50 @P0 @GREEN @Medium</t>
        </is>
      </c>
      <c r="D310" t="inlineStr">
        <is>
          <t>Medium</t>
        </is>
      </c>
      <c r="E310" t="inlineStr">
        <is>
          <t>Open</t>
        </is>
      </c>
      <c r="F310" t="inlineStr">
        <is>
          <t>23/05/2026</t>
        </is>
      </c>
    </row>
    <row r="311">
      <c r="A311" t="inlineStr">
        <is>
          <t>BUG-308</t>
        </is>
      </c>
      <c r="B311" t="inlineStr">
        <is>
          <t>TC-069</t>
        </is>
      </c>
      <c r="C311" t="inlineStr">
        <is>
          <t>Test fail: TC-069: GET /cases?limit=101 → 400 @Max(100) @P0 @RED @Medium</t>
        </is>
      </c>
      <c r="D311" t="inlineStr">
        <is>
          <t>Medium</t>
        </is>
      </c>
      <c r="E311" t="inlineStr">
        <is>
          <t>Open</t>
        </is>
      </c>
      <c r="F311" t="inlineStr">
        <is>
          <t>23/05/2026</t>
        </is>
      </c>
    </row>
    <row r="312">
      <c r="A312" t="inlineStr">
        <is>
          <t>BUG-309</t>
        </is>
      </c>
      <c r="B312" t="inlineStr">
        <is>
          <t>TC-070</t>
        </is>
      </c>
      <c r="C312" t="inlineStr">
        <is>
          <t>Test fail: TC-070: GET /cases?limit=0 → 400 @Min(1) @P1 @RED @Medium</t>
        </is>
      </c>
      <c r="D312" t="inlineStr">
        <is>
          <t>Medium</t>
        </is>
      </c>
      <c r="E312" t="inlineStr">
        <is>
          <t>Open</t>
        </is>
      </c>
      <c r="F312" t="inlineStr">
        <is>
          <t>23/05/2026</t>
        </is>
      </c>
    </row>
    <row r="313">
      <c r="A313" t="inlineStr">
        <is>
          <t>BUG-310</t>
        </is>
      </c>
      <c r="B313" t="inlineStr">
        <is>
          <t>TC-071</t>
        </is>
      </c>
      <c r="C313" t="inlineStr">
        <is>
          <t>Test fail: TC-071: GET /cases?limit=-5 → 400 @P1 @RED @Medium</t>
        </is>
      </c>
      <c r="D313" t="inlineStr">
        <is>
          <t>Medium</t>
        </is>
      </c>
      <c r="E313" t="inlineStr">
        <is>
          <t>Open</t>
        </is>
      </c>
      <c r="F313" t="inlineStr">
        <is>
          <t>23/05/2026</t>
        </is>
      </c>
    </row>
    <row r="314">
      <c r="A314" t="inlineStr">
        <is>
          <t>BUG-311</t>
        </is>
      </c>
      <c r="B314" t="inlineStr">
        <is>
          <t>TC-072</t>
        </is>
      </c>
      <c r="C314" t="inlineStr">
        <is>
          <t>Test fail: TC-072: GET /cases?limit=abc (NaN) → 400 @IsInt @P1 @RED @Medium</t>
        </is>
      </c>
      <c r="D314" t="inlineStr">
        <is>
          <t>Medium</t>
        </is>
      </c>
      <c r="E314" t="inlineStr">
        <is>
          <t>Open</t>
        </is>
      </c>
      <c r="F314" t="inlineStr">
        <is>
          <t>23/05/2026</t>
        </is>
      </c>
    </row>
    <row r="315">
      <c r="A315" t="inlineStr">
        <is>
          <t>BUG-312</t>
        </is>
      </c>
      <c r="B315" t="inlineStr">
        <is>
          <t>TC-073</t>
        </is>
      </c>
      <c r="C315" t="inlineStr">
        <is>
          <t>Test fail: TC-073: Filter status=DANG_DIEU_TRA chỉ trả Case status đó @P0 @GREEN @High</t>
        </is>
      </c>
      <c r="D315" t="inlineStr">
        <is>
          <t>High</t>
        </is>
      </c>
      <c r="E315" t="inlineStr">
        <is>
          <t>Open</t>
        </is>
      </c>
      <c r="F315" t="inlineStr">
        <is>
          <t>23/05/2026</t>
        </is>
      </c>
    </row>
    <row r="316">
      <c r="A316" t="inlineStr">
        <is>
          <t>BUG-313</t>
        </is>
      </c>
      <c r="B316" t="inlineStr">
        <is>
          <t>TC-074</t>
        </is>
      </c>
      <c r="C316" t="inlineStr">
        <is>
          <t>Test fail: TC-074: Filter status=INVALID → 400 IsEnum @P1 @RED @Medium</t>
        </is>
      </c>
      <c r="D316" t="inlineStr">
        <is>
          <t>Medium</t>
        </is>
      </c>
      <c r="E316" t="inlineStr">
        <is>
          <t>Open</t>
        </is>
      </c>
      <c r="F316" t="inlineStr">
        <is>
          <t>23/05/2026</t>
        </is>
      </c>
    </row>
    <row r="317">
      <c r="A317" t="inlineStr">
        <is>
          <t>BUG-314</t>
        </is>
      </c>
      <c r="B317" t="inlineStr">
        <is>
          <t>TC-075</t>
        </is>
      </c>
      <c r="C317" t="inlineStr">
        <is>
          <t>Test fail: TC-075: Filter overdue=true trả case quá hạn @P0 @GREEN @High</t>
        </is>
      </c>
      <c r="D317" t="inlineStr">
        <is>
          <t>High</t>
        </is>
      </c>
      <c r="E317" t="inlineStr">
        <is>
          <t>Open</t>
        </is>
      </c>
      <c r="F317" t="inlineStr">
        <is>
          <t>23/05/2026</t>
        </is>
      </c>
    </row>
    <row r="318">
      <c r="A318" t="inlineStr">
        <is>
          <t>BUG-315</t>
        </is>
      </c>
      <c r="B318" t="inlineStr">
        <is>
          <t>TC-076</t>
        </is>
      </c>
      <c r="C318" t="inlineStr">
        <is>
          <t>Test fail: TC-076: Filter overdue=true KHÔNG include Case DA_KET_LUAN dù deadline đã qua @P0 @GREEN @High</t>
        </is>
      </c>
      <c r="D318" t="inlineStr">
        <is>
          <t>High</t>
        </is>
      </c>
      <c r="E318" t="inlineStr">
        <is>
          <t>Open</t>
        </is>
      </c>
      <c r="F318" t="inlineStr">
        <is>
          <t>23/05/2026</t>
        </is>
      </c>
    </row>
    <row r="319">
      <c r="A319" t="inlineStr">
        <is>
          <t>BUG-316</t>
        </is>
      </c>
      <c r="B319" t="inlineStr">
        <is>
          <t>TC-077</t>
        </is>
      </c>
      <c r="C319" t="inlineStr">
        <is>
          <t>Test fail: TC-077: Search 'Trộm cắp' tìm case có name/crime/unit chứa từ này (case-insensitive) @P0 @GREEN @High</t>
        </is>
      </c>
      <c r="D319" t="inlineStr">
        <is>
          <t>High</t>
        </is>
      </c>
      <c r="E319" t="inlineStr">
        <is>
          <t>Open</t>
        </is>
      </c>
      <c r="F319" t="inlineStr">
        <is>
          <t>23/05/2026</t>
        </is>
      </c>
    </row>
    <row r="320">
      <c r="A320" t="inlineStr">
        <is>
          <t>BUG-317</t>
        </is>
      </c>
      <c r="B320" t="inlineStr">
        <is>
          <t>TC-078</t>
        </is>
      </c>
      <c r="C320" t="inlineStr">
        <is>
          <t>Test fail: TC-078: Search với chữ có dấu vs không dấu (Unicode Vietnamese) @P0 @GREEN @Medium</t>
        </is>
      </c>
      <c r="D320" t="inlineStr">
        <is>
          <t>Medium</t>
        </is>
      </c>
      <c r="E320" t="inlineStr">
        <is>
          <t>Open</t>
        </is>
      </c>
      <c r="F320" t="inlineStr">
        <is>
          <t>23/05/2026</t>
        </is>
      </c>
    </row>
    <row r="321">
      <c r="A321" t="inlineStr">
        <is>
          <t>BUG-318</t>
        </is>
      </c>
      <c r="B321" t="inlineStr">
        <is>
          <t>TC-079</t>
        </is>
      </c>
      <c r="C321" t="inlineStr">
        <is>
          <t>Test fail: TC-079: Filter fromDate='2026-05-01' &amp; toDate='2026-05-23' khoảng ngày @P1 @GREEN @Medium</t>
        </is>
      </c>
      <c r="D321" t="inlineStr">
        <is>
          <t>Medium</t>
        </is>
      </c>
      <c r="E321" t="inlineStr">
        <is>
          <t>Open</t>
        </is>
      </c>
      <c r="F321" t="inlineStr">
        <is>
          <t>23/05/2026</t>
        </is>
      </c>
    </row>
    <row r="322">
      <c r="A322" t="inlineStr">
        <is>
          <t>BUG-319</t>
        </is>
      </c>
      <c r="B322" t="inlineStr">
        <is>
          <t>TC-080</t>
        </is>
      </c>
      <c r="C322" t="inlineStr">
        <is>
          <t>Test fail: TC-080: toDate &lt; fromDate → vẫn trả empty (không 400) @P1 @RED @Low</t>
        </is>
      </c>
      <c r="D322" t="inlineStr">
        <is>
          <t>Low</t>
        </is>
      </c>
      <c r="E322" t="inlineStr">
        <is>
          <t>Open</t>
        </is>
      </c>
      <c r="F322" t="inlineStr">
        <is>
          <t>23/05/2026</t>
        </is>
      </c>
    </row>
    <row r="323">
      <c r="A323" t="inlineStr">
        <is>
          <t>BUG-320</t>
        </is>
      </c>
      <c r="B323" t="inlineStr">
        <is>
          <t>TC-081</t>
        </is>
      </c>
      <c r="C323" t="inlineStr">
        <is>
          <t>Test fail: TC-081: Filter capDoToiPham=RAT_NGHIEM_TRONG @P1 @GREEN @Medium</t>
        </is>
      </c>
      <c r="D323" t="inlineStr">
        <is>
          <t>Medium</t>
        </is>
      </c>
      <c r="E323" t="inlineStr">
        <is>
          <t>Open</t>
        </is>
      </c>
      <c r="F323" t="inlineStr">
        <is>
          <t>23/05/2026</t>
        </is>
      </c>
    </row>
    <row r="324">
      <c r="A324" t="inlineStr">
        <is>
          <t>BUG-321</t>
        </is>
      </c>
      <c r="B324" t="inlineStr">
        <is>
          <t>TC-168</t>
        </is>
      </c>
      <c r="C324" t="inlineStr">
        <is>
          <t>Test fail: TC-168: Non-ADMIN gọi /cases/admin/deleted → 403 @P0 @RED @Critical</t>
        </is>
      </c>
      <c r="D324" t="inlineStr">
        <is>
          <t>Critical</t>
        </is>
      </c>
      <c r="E324" t="inlineStr">
        <is>
          <t>Open</t>
        </is>
      </c>
      <c r="F324" t="inlineStr">
        <is>
          <t>23/05/2026</t>
        </is>
      </c>
    </row>
    <row r="325">
      <c r="A325" t="inlineStr">
        <is>
          <t>BUG-322</t>
        </is>
      </c>
      <c r="B325" t="inlineStr">
        <is>
          <t>TC-682</t>
        </is>
      </c>
      <c r="C325" t="inlineStr">
        <is>
          <t>Test fail: TC-682: Petition convertToCase (POST /petitions/:id/convert) @P0 @GREEN @Critical</t>
        </is>
      </c>
      <c r="D325" t="inlineStr">
        <is>
          <t>Critical</t>
        </is>
      </c>
      <c r="E325" t="inlineStr">
        <is>
          <t>Open</t>
        </is>
      </c>
      <c r="F325" t="inlineStr">
        <is>
          <t>23/05/2026</t>
        </is>
      </c>
    </row>
    <row r="326">
      <c r="A326" t="inlineStr">
        <is>
          <t>BUG-323</t>
        </is>
      </c>
      <c r="B326" t="inlineStr">
        <is>
          <t>TC-683</t>
        </is>
      </c>
      <c r="C326" t="inlineStr">
        <is>
          <t>Test fail: TC-683: convertToCase Petition đã linked → 400 'Đã khởi tố rồi' @P0 @RED @High</t>
        </is>
      </c>
      <c r="D326" t="inlineStr">
        <is>
          <t>High</t>
        </is>
      </c>
      <c r="E326" t="inlineStr">
        <is>
          <t>Open</t>
        </is>
      </c>
      <c r="F326" t="inlineStr">
        <is>
          <t>23/05/2026</t>
        </is>
      </c>
    </row>
    <row r="327">
      <c r="A327" t="inlineStr">
        <is>
          <t>BUG-324</t>
        </is>
      </c>
      <c r="B327" t="inlineStr">
        <is>
          <t>TC-684</t>
        </is>
      </c>
      <c r="C327" t="inlineStr">
        <is>
          <t>Test fail: TC-684: convertToCase ngoài scope → 403 @P0 @RED @Critical</t>
        </is>
      </c>
      <c r="D327" t="inlineStr">
        <is>
          <t>Critical</t>
        </is>
      </c>
      <c r="E327" t="inlineStr">
        <is>
          <t>Open</t>
        </is>
      </c>
      <c r="F327" t="inlineStr">
        <is>
          <t>23/05/2026</t>
        </is>
      </c>
    </row>
    <row r="328">
      <c r="A328" t="inlineStr">
        <is>
          <t>BUG-325</t>
        </is>
      </c>
      <c r="B328" t="inlineStr">
        <is>
          <t>TC-685</t>
        </is>
      </c>
      <c r="C328" t="inlineStr">
        <is>
          <t>Test fail: TC-685: convertToCase Petition soft-deleted → 404 @P0 @RED @High</t>
        </is>
      </c>
      <c r="D328" t="inlineStr">
        <is>
          <t>High</t>
        </is>
      </c>
      <c r="E328" t="inlineStr">
        <is>
          <t>Open</t>
        </is>
      </c>
      <c r="F328" t="inlineStr">
        <is>
          <t>23/05/2026</t>
        </is>
      </c>
    </row>
    <row r="329">
      <c r="A329" t="inlineStr">
        <is>
          <t>BUG-326</t>
        </is>
      </c>
      <c r="B329" t="inlineStr">
        <is>
          <t>TC-686</t>
        </is>
      </c>
      <c r="C329" t="inlineStr">
        <is>
          <t>Test fail: TC-686: Petition.status transition MOI_TIEP_NHAN → DA_CHUYEN_VU_AN (convert) @P0 @STATE @High</t>
        </is>
      </c>
      <c r="D329" t="inlineStr">
        <is>
          <t>High</t>
        </is>
      </c>
      <c r="E329" t="inlineStr">
        <is>
          <t>Open</t>
        </is>
      </c>
      <c r="F329" t="inlineStr">
        <is>
          <t>23/05/2026</t>
        </is>
      </c>
    </row>
    <row r="330">
      <c r="A330" t="inlineStr">
        <is>
          <t>BUG-327</t>
        </is>
      </c>
      <c r="B330" t="inlineStr">
        <is>
          <t>TC-687</t>
        </is>
      </c>
      <c r="C330" t="inlineStr">
        <is>
          <t>Test fail: TC-687: Petition.status MOI_TIEP_NHAN → DANG_XU_LY (manual) @P0 @STATE @High</t>
        </is>
      </c>
      <c r="D330" t="inlineStr">
        <is>
          <t>High</t>
        </is>
      </c>
      <c r="E330" t="inlineStr">
        <is>
          <t>Open</t>
        </is>
      </c>
      <c r="F330" t="inlineStr">
        <is>
          <t>23/05/2026</t>
        </is>
      </c>
    </row>
    <row r="331">
      <c r="A331" t="inlineStr">
        <is>
          <t>BUG-328</t>
        </is>
      </c>
      <c r="B331" t="inlineStr">
        <is>
          <t>TC-688</t>
        </is>
      </c>
      <c r="C331" t="inlineStr">
        <is>
          <t>Test fail: TC-688: Petition.status DANG_XU_LY → CHO_PHE_DUYET @P0 @STATE @High</t>
        </is>
      </c>
      <c r="D331" t="inlineStr">
        <is>
          <t>High</t>
        </is>
      </c>
      <c r="E331" t="inlineStr">
        <is>
          <t>Open</t>
        </is>
      </c>
      <c r="F331" t="inlineStr">
        <is>
          <t>23/05/2026</t>
        </is>
      </c>
    </row>
    <row r="332">
      <c r="A332" t="inlineStr">
        <is>
          <t>BUG-329</t>
        </is>
      </c>
      <c r="B332" t="inlineStr">
        <is>
          <t>TC-689</t>
        </is>
      </c>
      <c r="C332" t="inlineStr">
        <is>
          <t>Test fail: TC-689: Petition.status CHO_PHE_DUYET → DA_GIAI_QUYET @P0 @STATE @High</t>
        </is>
      </c>
      <c r="D332" t="inlineStr">
        <is>
          <t>High</t>
        </is>
      </c>
      <c r="E332" t="inlineStr">
        <is>
          <t>Open</t>
        </is>
      </c>
      <c r="F332" t="inlineStr">
        <is>
          <t>23/05/2026</t>
        </is>
      </c>
    </row>
    <row r="333">
      <c r="A333" t="inlineStr">
        <is>
          <t>BUG-330</t>
        </is>
      </c>
      <c r="B333" t="inlineStr">
        <is>
          <t>TC-690</t>
        </is>
      </c>
      <c r="C333" t="inlineStr">
        <is>
          <t>Test fail: TC-690: Petition.status any → DA_LUU_DON (lưu đơn) @P0 @STATE @Medium</t>
        </is>
      </c>
      <c r="D333" t="inlineStr">
        <is>
          <t>Medium</t>
        </is>
      </c>
      <c r="E333" t="inlineStr">
        <is>
          <t>Open</t>
        </is>
      </c>
      <c r="F333" t="inlineStr">
        <is>
          <t>23/05/2026</t>
        </is>
      </c>
    </row>
    <row r="334">
      <c r="A334" t="inlineStr">
        <is>
          <t>BUG-331</t>
        </is>
      </c>
      <c r="B334" t="inlineStr">
        <is>
          <t>TC-691</t>
        </is>
      </c>
      <c r="C334" t="inlineStr">
        <is>
          <t>Test fail: TC-691: Petition.status → DA_CHUYEN_VU_VIEC (chuyển vụ việc) @P0 @STATE @High</t>
        </is>
      </c>
      <c r="D334" t="inlineStr">
        <is>
          <t>High</t>
        </is>
      </c>
      <c r="E334" t="inlineStr">
        <is>
          <t>Open</t>
        </is>
      </c>
      <c r="F334" t="inlineStr">
        <is>
          <t>23/05/2026</t>
        </is>
      </c>
    </row>
    <row r="335">
      <c r="A335" t="inlineStr">
        <is>
          <t>BUG-332</t>
        </is>
      </c>
      <c r="B335" t="inlineStr">
        <is>
          <t>TC-692</t>
        </is>
      </c>
      <c r="C335" t="inlineStr">
        <is>
          <t>Test fail: TC-692: Petition DA_CHUYEN_VU_AN không sửa được @P0 @RED @High</t>
        </is>
      </c>
      <c r="D335" t="inlineStr">
        <is>
          <t>High</t>
        </is>
      </c>
      <c r="E335" t="inlineStr">
        <is>
          <t>Open</t>
        </is>
      </c>
      <c r="F335" t="inlineStr">
        <is>
          <t>23/05/2026</t>
        </is>
      </c>
    </row>
    <row r="336">
      <c r="A336" t="inlineStr">
        <is>
          <t>BUG-333</t>
        </is>
      </c>
      <c r="B336" t="inlineStr">
        <is>
          <t>TC-693</t>
        </is>
      </c>
      <c r="C336" t="inlineStr">
        <is>
          <t>Test fail: TC-693: Cascade: Update Case.metadata.petitionType → sync Petition.petitionType @P0 @INTEGRATION @High</t>
        </is>
      </c>
      <c r="D336" t="inlineStr">
        <is>
          <t>High</t>
        </is>
      </c>
      <c r="E336" t="inlineStr">
        <is>
          <t>Open</t>
        </is>
      </c>
      <c r="F336" t="inlineStr">
        <is>
          <t>23/05/2026</t>
        </is>
      </c>
    </row>
    <row r="337">
      <c r="A337" t="inlineStr">
        <is>
          <t>BUG-334</t>
        </is>
      </c>
      <c r="B337" t="inlineStr">
        <is>
          <t>TC-694</t>
        </is>
      </c>
      <c r="C337" t="inlineStr">
        <is>
          <t>Test fail: TC-694: Update Case không có Petition link KHÔNG tạo phantom Petition @P0 @INTEGRATION @Critical</t>
        </is>
      </c>
      <c r="D337" t="inlineStr">
        <is>
          <t>Critical</t>
        </is>
      </c>
      <c r="E337" t="inlineStr">
        <is>
          <t>Open</t>
        </is>
      </c>
      <c r="F337" t="inlineStr">
        <is>
          <t>23/05/2026</t>
        </is>
      </c>
    </row>
    <row r="338">
      <c r="A338" t="inlineStr">
        <is>
          <t>BUG-335</t>
        </is>
      </c>
      <c r="B338" t="inlineStr">
        <is>
          <t>TC-695</t>
        </is>
      </c>
      <c r="C338" t="inlineStr">
        <is>
          <t>Test fail: TC-695: STT auto-generate format DT-YYYY-NNNNN @P0 @GREEN @High</t>
        </is>
      </c>
      <c r="D338" t="inlineStr">
        <is>
          <t>High</t>
        </is>
      </c>
      <c r="E338" t="inlineStr">
        <is>
          <t>Open</t>
        </is>
      </c>
      <c r="F338" t="inlineStr">
        <is>
          <t>23/05/2026</t>
        </is>
      </c>
    </row>
    <row r="339">
      <c r="A339" t="inlineStr">
        <is>
          <t>BUG-336</t>
        </is>
      </c>
      <c r="B339" t="inlineStr">
        <is>
          <t>TC-696</t>
        </is>
      </c>
      <c r="C339" t="inlineStr">
        <is>
          <t>Test fail: TC-696: STT race condition: 2 concurrent create không tạo duplicate STT @P0 @RED @Critical</t>
        </is>
      </c>
      <c r="D339" t="inlineStr">
        <is>
          <t>Critical</t>
        </is>
      </c>
      <c r="E339" t="inlineStr">
        <is>
          <t>Open</t>
        </is>
      </c>
      <c r="F339" t="inlineStr">
        <is>
          <t>23/05/2026</t>
        </is>
      </c>
    </row>
    <row r="340">
      <c r="A340" t="inlineStr">
        <is>
          <t>BUG-337</t>
        </is>
      </c>
      <c r="B340" t="inlineStr">
        <is>
          <t>TC-697</t>
        </is>
      </c>
      <c r="C340" t="inlineStr">
        <is>
          <t>Test fail: TC-697: convertToCase Petition status không phải MOI_TIEP_NHAN/DANG_XU_LY → 400 @P0 @RED @High</t>
        </is>
      </c>
      <c r="D340" t="inlineStr">
        <is>
          <t>High</t>
        </is>
      </c>
      <c r="E340" t="inlineStr">
        <is>
          <t>Open</t>
        </is>
      </c>
      <c r="F340" t="inlineStr">
        <is>
          <t>23/05/2026</t>
        </is>
      </c>
    </row>
    <row r="341">
      <c r="A341" t="inlineStr">
        <is>
          <t>BUG-338</t>
        </is>
      </c>
      <c r="B341" t="inlineStr">
        <is>
          <t>TC-698</t>
        </is>
      </c>
      <c r="C341" t="inlineStr">
        <is>
          <t>Test fail: TC-698: PETITION_CONVERTED log với linkedCaseId @P0 @AUDIT @High</t>
        </is>
      </c>
      <c r="D341" t="inlineStr">
        <is>
          <t>High</t>
        </is>
      </c>
      <c r="E341" t="inlineStr">
        <is>
          <t>Open</t>
        </is>
      </c>
      <c r="F341" t="inlineStr">
        <is>
          <t>23/05/2026</t>
        </is>
      </c>
    </row>
    <row r="342">
      <c r="A342" t="inlineStr">
        <is>
          <t>BUG-339</t>
        </is>
      </c>
      <c r="B342" t="inlineStr">
        <is>
          <t>TC-699</t>
        </is>
      </c>
      <c r="C342" t="inlineStr">
        <is>
          <t>Test fail: TC-699: convertToCase atomic — race 2 user → 1 conflict @P0 @SECURITY @Critical</t>
        </is>
      </c>
      <c r="D342" t="inlineStr">
        <is>
          <t>Critical</t>
        </is>
      </c>
      <c r="E342" t="inlineStr">
        <is>
          <t>Open</t>
        </is>
      </c>
      <c r="F342" t="inlineStr">
        <is>
          <t>23/05/2026</t>
        </is>
      </c>
    </row>
    <row r="343">
      <c r="A343" t="inlineStr">
        <is>
          <t>BUG-340</t>
        </is>
      </c>
      <c r="B343" t="inlineStr">
        <is>
          <t>TC-700</t>
        </is>
      </c>
      <c r="C343" t="inlineStr">
        <is>
          <t>Test fail: TC-700: Petition senderName tiếng Việt có dấu @P1 @DATA @Low</t>
        </is>
      </c>
      <c r="D343" t="inlineStr">
        <is>
          <t>Low</t>
        </is>
      </c>
      <c r="E343" t="inlineStr">
        <is>
          <t>Open</t>
        </is>
      </c>
      <c r="F343" t="inlineStr">
        <is>
          <t>23/05/2026</t>
        </is>
      </c>
    </row>
    <row r="344">
      <c r="A344" t="inlineStr">
        <is>
          <t>BUG-341</t>
        </is>
      </c>
      <c r="B344" t="inlineStr">
        <is>
          <t>TC-701</t>
        </is>
      </c>
      <c r="C344" t="inlineStr">
        <is>
          <t>Test fail: TC-701: stt cuối cùng năm 99999 → tràn? @P1 @BOUNDARY @Low</t>
        </is>
      </c>
      <c r="D344" t="inlineStr">
        <is>
          <t>Low</t>
        </is>
      </c>
      <c r="E344" t="inlineStr">
        <is>
          <t>Open</t>
        </is>
      </c>
      <c r="F344" t="inlineStr">
        <is>
          <t>23/05/2026</t>
        </is>
      </c>
    </row>
    <row r="345">
      <c r="A345" t="inlineStr">
        <is>
          <t>BUG-342</t>
        </is>
      </c>
      <c r="B345" t="inlineStr">
        <is>
          <t>TC-702</t>
        </is>
      </c>
      <c r="C345" t="inlineStr">
        <is>
          <t>Test fail: TC-702: Delete Petition KHÔNG delete linked Case (Restrict) @P0 @INTEGRATION @High</t>
        </is>
      </c>
      <c r="D345" t="inlineStr">
        <is>
          <t>High</t>
        </is>
      </c>
      <c r="E345" t="inlineStr">
        <is>
          <t>Open</t>
        </is>
      </c>
      <c r="F345" t="inlineStr">
        <is>
          <t>23/05/2026</t>
        </is>
      </c>
    </row>
    <row r="346">
      <c r="A346" t="inlineStr">
        <is>
          <t>BUG-343</t>
        </is>
      </c>
      <c r="B346" t="inlineStr">
        <is>
          <t>TC-703</t>
        </is>
      </c>
      <c r="C346" t="inlineStr">
        <is>
          <t>Test fail: TC-703: Delete Case → Petition.linkedCaseId vẫn giữ (Restrict) @P0 @INTEGRATION @High</t>
        </is>
      </c>
      <c r="D346" t="inlineStr">
        <is>
          <t>High</t>
        </is>
      </c>
      <c r="E346" t="inlineStr">
        <is>
          <t>Open</t>
        </is>
      </c>
      <c r="F346" t="inlineStr">
        <is>
          <t>23/05/2026</t>
        </is>
      </c>
    </row>
    <row r="347">
      <c r="A347" t="inlineStr">
        <is>
          <t>BUG-344</t>
        </is>
      </c>
      <c r="B347" t="inlineStr">
        <is>
          <t>TC-704</t>
        </is>
      </c>
      <c r="C347" t="inlineStr">
        <is>
          <t>Test fail: TC-704: convertToCase &lt; 1s @P1 @PERFORMANCE @Medium</t>
        </is>
      </c>
      <c r="D347" t="inlineStr">
        <is>
          <t>Medium</t>
        </is>
      </c>
      <c r="E347" t="inlineStr">
        <is>
          <t>Open</t>
        </is>
      </c>
      <c r="F347" t="inlineStr">
        <is>
          <t>23/05/2026</t>
        </is>
      </c>
    </row>
    <row r="348">
      <c r="A348" t="inlineStr">
        <is>
          <t>BUG-345</t>
        </is>
      </c>
      <c r="B348" t="inlineStr">
        <is>
          <t>TC-705</t>
        </is>
      </c>
      <c r="C348" t="inlineStr">
        <is>
          <t>Test fail: TC-705: convertToCase VIEWER → 403 @P0 @RED @High</t>
        </is>
      </c>
      <c r="D348" t="inlineStr">
        <is>
          <t>High</t>
        </is>
      </c>
      <c r="E348" t="inlineStr">
        <is>
          <t>Open</t>
        </is>
      </c>
      <c r="F348" t="inlineStr">
        <is>
          <t>23/05/2026</t>
        </is>
      </c>
    </row>
    <row r="349">
      <c r="A349" t="inlineStr">
        <is>
          <t>BUG-346</t>
        </is>
      </c>
      <c r="B349" t="inlineStr">
        <is>
          <t>TC-706</t>
        </is>
      </c>
      <c r="C349" t="inlineStr">
        <is>
          <t>Test fail: TC-706: convertToCase JWT thiếu → 401 @P0 @RED @High</t>
        </is>
      </c>
      <c r="D349" t="inlineStr">
        <is>
          <t>High</t>
        </is>
      </c>
      <c r="E349" t="inlineStr">
        <is>
          <t>Open</t>
        </is>
      </c>
      <c r="F349" t="inlineStr">
        <is>
          <t>23/05/2026</t>
        </is>
      </c>
    </row>
    <row r="350">
      <c r="A350" t="inlineStr">
        <is>
          <t>BUG-347</t>
        </is>
      </c>
      <c r="B350" t="inlineStr">
        <is>
          <t>TC-707</t>
        </is>
      </c>
      <c r="C350" t="inlineStr">
        <is>
          <t>Test fail: TC-707: Petition tab trong Case detail show linked petitions[] @P1 @GREEN @High</t>
        </is>
      </c>
      <c r="D350" t="inlineStr">
        <is>
          <t>High</t>
        </is>
      </c>
      <c r="E350" t="inlineStr">
        <is>
          <t>Open</t>
        </is>
      </c>
      <c r="F350" t="inlineStr">
        <is>
          <t>23/05/2026</t>
        </is>
      </c>
    </row>
    <row r="351">
      <c r="A351" t="inlineStr">
        <is>
          <t>BUG-348</t>
        </is>
      </c>
      <c r="B351" t="inlineStr">
        <is>
          <t>TC-708</t>
        </is>
      </c>
      <c r="C351" t="inlineStr">
        <is>
          <t>Test fail: TC-708: Multiple petitions linked to same Case (1-to-many) @P1 @GREEN @Medium</t>
        </is>
      </c>
      <c r="D351" t="inlineStr">
        <is>
          <t>Medium</t>
        </is>
      </c>
      <c r="E351" t="inlineStr">
        <is>
          <t>Open</t>
        </is>
      </c>
      <c r="F351" t="inlineStr">
        <is>
          <t>23/05/2026</t>
        </is>
      </c>
    </row>
    <row r="352">
      <c r="A352" t="inlineStr">
        <is>
          <t>BUG-349</t>
        </is>
      </c>
      <c r="B352" t="inlineStr">
        <is>
          <t>TC-709</t>
        </is>
      </c>
      <c r="C352" t="inlineStr">
        <is>
          <t>Test fail: TC-709: CaseProvenance=FROM_PETITION → Case có linkedPetitionId set @P0 @STATE @Critical</t>
        </is>
      </c>
      <c r="D352" t="inlineStr">
        <is>
          <t>Critical</t>
        </is>
      </c>
      <c r="E352" t="inlineStr">
        <is>
          <t>Open</t>
        </is>
      </c>
      <c r="F352" t="inlineStr">
        <is>
          <t>23/05/2026</t>
        </is>
      </c>
    </row>
    <row r="353">
      <c r="A353" t="inlineStr">
        <is>
          <t>BUG-350</t>
        </is>
      </c>
      <c r="B353" t="inlineStr">
        <is>
          <t>TC-710</t>
        </is>
      </c>
      <c r="C353" t="inlineStr">
        <is>
          <t>Test fail: TC-710: CaseProvenance ≠ FROM_PETITION → linkedPetitionId=null @P0 @STATE @Critical</t>
        </is>
      </c>
      <c r="D353" t="inlineStr">
        <is>
          <t>Critical</t>
        </is>
      </c>
      <c r="E353" t="inlineStr">
        <is>
          <t>Open</t>
        </is>
      </c>
      <c r="F353" t="inlineStr">
        <is>
          <t>23/05/2026</t>
        </is>
      </c>
    </row>
    <row r="354">
      <c r="A354" t="inlineStr">
        <is>
          <t>BUG-351</t>
        </is>
      </c>
      <c r="B354" t="inlineStr">
        <is>
          <t>TC-711</t>
        </is>
      </c>
      <c r="C354" t="inlineStr">
        <is>
          <t>Test fail: TC-711: petitionType enum: TO_GIAC, KHIEU_NAI, TIN_BAO, ... @P1 @DATA @Medium</t>
        </is>
      </c>
      <c r="D354" t="inlineStr">
        <is>
          <t>Medium</t>
        </is>
      </c>
      <c r="E354" t="inlineStr">
        <is>
          <t>Open</t>
        </is>
      </c>
      <c r="F354" t="inlineStr">
        <is>
          <t>23/05/2026</t>
        </is>
      </c>
    </row>
    <row r="355">
      <c r="A355" t="inlineStr">
        <is>
          <t>BUG-352</t>
        </is>
      </c>
      <c r="B355" t="inlineStr">
        <is>
          <t>TC-712</t>
        </is>
      </c>
      <c r="C355" t="inlineStr">
        <is>
          <t>Test fail: TC-712: petitionType='Vietnamese label' → 400 (v0.37.2.4 BUG) @P1 @RED @High</t>
        </is>
      </c>
      <c r="D355" t="inlineStr">
        <is>
          <t>High</t>
        </is>
      </c>
      <c r="E355" t="inlineStr">
        <is>
          <t>Open</t>
        </is>
      </c>
      <c r="F355" t="inlineStr">
        <is>
          <t>23/05/2026</t>
        </is>
      </c>
    </row>
    <row r="356">
      <c r="A356" t="inlineStr">
        <is>
          <t>BUG-353</t>
        </is>
      </c>
      <c r="B356" t="inlineStr">
        <is>
          <t>TC-713</t>
        </is>
      </c>
      <c r="C356" t="inlineStr">
        <is>
          <t>Test fail: TC-713: petitionType='TO_GIAC' enum value pass @P1 @GREEN @High</t>
        </is>
      </c>
      <c r="D356" t="inlineStr">
        <is>
          <t>High</t>
        </is>
      </c>
      <c r="E356" t="inlineStr">
        <is>
          <t>Open</t>
        </is>
      </c>
      <c r="F356" t="inlineStr">
        <is>
          <t>23/05/2026</t>
        </is>
      </c>
    </row>
    <row r="357">
      <c r="A357" t="inlineStr">
        <is>
          <t>BUG-354</t>
        </is>
      </c>
      <c r="B357" t="inlineStr">
        <is>
          <t>TC-714</t>
        </is>
      </c>
      <c r="C357" t="inlineStr">
        <is>
          <t>Test fail: TC-714: Petition convertToCase preserve provenance traceability @P0 @INTEGRATION @High</t>
        </is>
      </c>
      <c r="D357" t="inlineStr">
        <is>
          <t>High</t>
        </is>
      </c>
      <c r="E357" t="inlineStr">
        <is>
          <t>Open</t>
        </is>
      </c>
      <c r="F357" t="inlineStr">
        <is>
          <t>23/05/2026</t>
        </is>
      </c>
    </row>
    <row r="358">
      <c r="A358" t="inlineStr">
        <is>
          <t>BUG-355</t>
        </is>
      </c>
      <c r="B358" t="inlineStr">
        <is>
          <t>TC-715</t>
        </is>
      </c>
      <c r="C358" t="inlineStr">
        <is>
          <t>Test fail: TC-715: E2E: Tạo Petition → review → convert Case → assign team @P0 @INTEGRATION @Critical</t>
        </is>
      </c>
      <c r="D358" t="inlineStr">
        <is>
          <t>Critical</t>
        </is>
      </c>
      <c r="E358" t="inlineStr">
        <is>
          <t>Open</t>
        </is>
      </c>
      <c r="F358" t="inlineStr">
        <is>
          <t>23/05/2026</t>
        </is>
      </c>
    </row>
    <row r="359">
      <c r="A359" t="inlineStr">
        <is>
          <t>BUG-356</t>
        </is>
      </c>
      <c r="B359" t="inlineStr">
        <is>
          <t>TC-716</t>
        </is>
      </c>
      <c r="C359" t="inlineStr">
        <is>
          <t>Test fail: TC-716: convertToCase fail giữa tx → Petition vẫn nguyên @P1 @RECOVERY @Critical</t>
        </is>
      </c>
      <c r="D359" t="inlineStr">
        <is>
          <t>Critical</t>
        </is>
      </c>
      <c r="E359" t="inlineStr">
        <is>
          <t>Open</t>
        </is>
      </c>
      <c r="F359" t="inlineStr">
        <is>
          <t>23/05/2026</t>
        </is>
      </c>
    </row>
    <row r="360">
      <c r="A360" t="inlineStr">
        <is>
          <t>BUG-357</t>
        </is>
      </c>
      <c r="B360" t="inlineStr">
        <is>
          <t>TC-582</t>
        </is>
      </c>
      <c r="C360" t="inlineStr">
        <is>
          <t>Test fail: TC-582: proposalNumber rỗng → 400 @P0 @RED @High</t>
        </is>
      </c>
      <c r="D360" t="inlineStr">
        <is>
          <t>High</t>
        </is>
      </c>
      <c r="E360" t="inlineStr">
        <is>
          <t>Open</t>
        </is>
      </c>
      <c r="F360" t="inlineStr">
        <is>
          <t>23/05/2026</t>
        </is>
      </c>
    </row>
    <row r="361">
      <c r="A361" t="inlineStr">
        <is>
          <t>BUG-358</t>
        </is>
      </c>
      <c r="B361" t="inlineStr">
        <is>
          <t>TC-583</t>
        </is>
      </c>
      <c r="C361" t="inlineStr">
        <is>
          <t>Test fail: TC-583: content rỗng → 400 @P0 @RED @High</t>
        </is>
      </c>
      <c r="D361" t="inlineStr">
        <is>
          <t>High</t>
        </is>
      </c>
      <c r="E361" t="inlineStr">
        <is>
          <t>Open</t>
        </is>
      </c>
      <c r="F361" t="inlineStr">
        <is>
          <t>23/05/2026</t>
        </is>
      </c>
    </row>
    <row r="362">
      <c r="A362" t="inlineStr">
        <is>
          <t>BUG-359</t>
        </is>
      </c>
      <c r="B362" t="inlineStr">
        <is>
          <t>TC-584</t>
        </is>
      </c>
      <c r="C362" t="inlineStr">
        <is>
          <t>Test fail: TC-584: proposalNumber duplicate → 409 unique @P0 @RED @High</t>
        </is>
      </c>
      <c r="D362" t="inlineStr">
        <is>
          <t>High</t>
        </is>
      </c>
      <c r="E362" t="inlineStr">
        <is>
          <t>Open</t>
        </is>
      </c>
      <c r="F362" t="inlineStr">
        <is>
          <t>23/05/2026</t>
        </is>
      </c>
    </row>
    <row r="363">
      <c r="A363" t="inlineStr">
        <is>
          <t>BUG-360</t>
        </is>
      </c>
      <c r="B363" t="inlineStr">
        <is>
          <t>TC-585</t>
        </is>
      </c>
      <c r="C363" t="inlineStr">
        <is>
          <t>Test fail: TC-585: relatedCaseId optional bỏ trống (general proposal) @P1 @GREEN @Medium</t>
        </is>
      </c>
      <c r="D363" t="inlineStr">
        <is>
          <t>Medium</t>
        </is>
      </c>
      <c r="E363" t="inlineStr">
        <is>
          <t>Open</t>
        </is>
      </c>
      <c r="F363" t="inlineStr">
        <is>
          <t>23/05/2026</t>
        </is>
      </c>
    </row>
    <row r="364">
      <c r="A364" t="inlineStr">
        <is>
          <t>BUG-361</t>
        </is>
      </c>
      <c r="B364" t="inlineStr">
        <is>
          <t>TC-586</t>
        </is>
      </c>
      <c r="C364" t="inlineStr">
        <is>
          <t>Test fail: TC-586: relatedCaseId không tồn tại → 400 FK @P0 @RED @High</t>
        </is>
      </c>
      <c r="D364" t="inlineStr">
        <is>
          <t>High</t>
        </is>
      </c>
      <c r="E364" t="inlineStr">
        <is>
          <t>Open</t>
        </is>
      </c>
      <c r="F364" t="inlineStr">
        <is>
          <t>23/05/2026</t>
        </is>
      </c>
    </row>
    <row r="365">
      <c r="A365" t="inlineStr">
        <is>
          <t>BUG-362</t>
        </is>
      </c>
      <c r="B365" t="inlineStr">
        <is>
          <t>TC-587</t>
        </is>
      </c>
      <c r="C365" t="inlineStr">
        <is>
          <t>Test fail: TC-587: Tạo Proposal với sentDate @P0 @GREEN @Medium</t>
        </is>
      </c>
      <c r="D365" t="inlineStr">
        <is>
          <t>Medium</t>
        </is>
      </c>
      <c r="E365" t="inlineStr">
        <is>
          <t>Open</t>
        </is>
      </c>
      <c r="F365" t="inlineStr">
        <is>
          <t>23/05/2026</t>
        </is>
      </c>
    </row>
    <row r="366">
      <c r="A366" t="inlineStr">
        <is>
          <t>BUG-363</t>
        </is>
      </c>
      <c r="B366" t="inlineStr">
        <is>
          <t>TC-588</t>
        </is>
      </c>
      <c r="C366" t="inlineStr">
        <is>
          <t>Test fail: TC-588: sentDate format invalid → 400 @P1 @RED @Medium</t>
        </is>
      </c>
      <c r="D366" t="inlineStr">
        <is>
          <t>Medium</t>
        </is>
      </c>
      <c r="E366" t="inlineStr">
        <is>
          <t>Open</t>
        </is>
      </c>
      <c r="F366" t="inlineStr">
        <is>
          <t>23/05/2026</t>
        </is>
      </c>
    </row>
    <row r="367">
      <c r="A367" t="inlineStr">
        <is>
          <t>BUG-364</t>
        </is>
      </c>
      <c r="B367" t="inlineStr">
        <is>
          <t>TC-589</t>
        </is>
      </c>
      <c r="C367" t="inlineStr">
        <is>
          <t>Test fail: TC-589: GET /proposals list paginated @P0 @GREEN @High</t>
        </is>
      </c>
      <c r="D367" t="inlineStr">
        <is>
          <t>High</t>
        </is>
      </c>
      <c r="E367" t="inlineStr">
        <is>
          <t>Open</t>
        </is>
      </c>
      <c r="F367" t="inlineStr">
        <is>
          <t>23/05/2026</t>
        </is>
      </c>
    </row>
    <row r="368">
      <c r="A368" t="inlineStr">
        <is>
          <t>BUG-365</t>
        </is>
      </c>
      <c r="B368" t="inlineStr">
        <is>
          <t>TC-590</t>
        </is>
      </c>
      <c r="C368" t="inlineStr">
        <is>
          <t>Test fail: TC-590: GET /proposals/:id detail @P0 @GREEN @High</t>
        </is>
      </c>
      <c r="D368" t="inlineStr">
        <is>
          <t>High</t>
        </is>
      </c>
      <c r="E368" t="inlineStr">
        <is>
          <t>Open</t>
        </is>
      </c>
      <c r="F368" t="inlineStr">
        <is>
          <t>23/05/2026</t>
        </is>
      </c>
    </row>
    <row r="369">
      <c r="A369" t="inlineStr">
        <is>
          <t>BUG-366</t>
        </is>
      </c>
      <c r="B369" t="inlineStr">
        <is>
          <t>TC-591</t>
        </is>
      </c>
      <c r="C369" t="inlineStr">
        <is>
          <t>Test fail: TC-591: GET proposal ngoài scope → 403 @P0 @RED @Critical</t>
        </is>
      </c>
      <c r="D369" t="inlineStr">
        <is>
          <t>Critical</t>
        </is>
      </c>
      <c r="E369" t="inlineStr">
        <is>
          <t>Open</t>
        </is>
      </c>
      <c r="F369" t="inlineStr">
        <is>
          <t>23/05/2026</t>
        </is>
      </c>
    </row>
    <row r="370">
      <c r="A370" t="inlineStr">
        <is>
          <t>BUG-367</t>
        </is>
      </c>
      <c r="B370" t="inlineStr">
        <is>
          <t>TC-592</t>
        </is>
      </c>
      <c r="C370" t="inlineStr">
        <is>
          <t>Test fail: TC-592: GET /proposals/NOT_EXIST → 404 @P0 @RED @High</t>
        </is>
      </c>
      <c r="D370" t="inlineStr">
        <is>
          <t>High</t>
        </is>
      </c>
      <c r="E370" t="inlineStr">
        <is>
          <t>Open</t>
        </is>
      </c>
      <c r="F370" t="inlineStr">
        <is>
          <t>23/05/2026</t>
        </is>
      </c>
    </row>
    <row r="371">
      <c r="A371" t="inlineStr">
        <is>
          <t>BUG-368</t>
        </is>
      </c>
      <c r="B371" t="inlineStr">
        <is>
          <t>TC-593</t>
        </is>
      </c>
      <c r="C371" t="inlineStr">
        <is>
          <t>Test fail: TC-593: PUT update response + responseDate @P0 @GREEN @High</t>
        </is>
      </c>
      <c r="D371" t="inlineStr">
        <is>
          <t>High</t>
        </is>
      </c>
      <c r="E371" t="inlineStr">
        <is>
          <t>Open</t>
        </is>
      </c>
      <c r="F371" t="inlineStr">
        <is>
          <t>23/05/2026</t>
        </is>
      </c>
    </row>
    <row r="372">
      <c r="A372" t="inlineStr">
        <is>
          <t>BUG-369</t>
        </is>
      </c>
      <c r="B372" t="inlineStr">
        <is>
          <t>TC-594</t>
        </is>
      </c>
      <c r="C372" t="inlineStr">
        <is>
          <t>Test fail: TC-594: DELETE soft delete @P0 @GREEN @High</t>
        </is>
      </c>
      <c r="D372" t="inlineStr">
        <is>
          <t>High</t>
        </is>
      </c>
      <c r="E372" t="inlineStr">
        <is>
          <t>Open</t>
        </is>
      </c>
      <c r="F372" t="inlineStr">
        <is>
          <t>23/05/2026</t>
        </is>
      </c>
    </row>
    <row r="373">
      <c r="A373" t="inlineStr">
        <is>
          <t>BUG-370</t>
        </is>
      </c>
      <c r="B373" t="inlineStr">
        <is>
          <t>TC-595</t>
        </is>
      </c>
      <c r="C373" t="inlineStr">
        <is>
          <t>Test fail: TC-595: Transition PENDING → SENT → RESPONDED @P0 @STATE @High</t>
        </is>
      </c>
      <c r="D373" t="inlineStr">
        <is>
          <t>High</t>
        </is>
      </c>
      <c r="E373" t="inlineStr">
        <is>
          <t>Open</t>
        </is>
      </c>
      <c r="F373" t="inlineStr">
        <is>
          <t>23/05/2026</t>
        </is>
      </c>
    </row>
    <row r="374">
      <c r="A374" t="inlineStr">
        <is>
          <t>BUG-371</t>
        </is>
      </c>
      <c r="B374" t="inlineStr">
        <is>
          <t>TC-596</t>
        </is>
      </c>
      <c r="C374" t="inlineStr">
        <is>
          <t>Test fail: TC-596: Transition SENT → CANCELLED @P0 @STATE @Medium</t>
        </is>
      </c>
      <c r="D374" t="inlineStr">
        <is>
          <t>Medium</t>
        </is>
      </c>
      <c r="E374" t="inlineStr">
        <is>
          <t>Open</t>
        </is>
      </c>
      <c r="F374" t="inlineStr">
        <is>
          <t>23/05/2026</t>
        </is>
      </c>
    </row>
    <row r="375">
      <c r="A375" t="inlineStr">
        <is>
          <t>BUG-372</t>
        </is>
      </c>
      <c r="B375" t="inlineStr">
        <is>
          <t>TC-597</t>
        </is>
      </c>
      <c r="C375" t="inlineStr">
        <is>
          <t>Test fail: TC-597: status='INVALID' → 400 IsEnum @P1 @RED @Medium</t>
        </is>
      </c>
      <c r="D375" t="inlineStr">
        <is>
          <t>Medium</t>
        </is>
      </c>
      <c r="E375" t="inlineStr">
        <is>
          <t>Open</t>
        </is>
      </c>
      <c r="F375" t="inlineStr">
        <is>
          <t>23/05/2026</t>
        </is>
      </c>
    </row>
    <row r="376">
      <c r="A376" t="inlineStr">
        <is>
          <t>BUG-373</t>
        </is>
      </c>
      <c r="B376" t="inlineStr">
        <is>
          <t>TC-598</t>
        </is>
      </c>
      <c r="C376" t="inlineStr">
        <is>
          <t>Test fail: TC-598: IDOR: POST relatedCaseId của team khác → 403 @P0 @SECURITY @Critical</t>
        </is>
      </c>
      <c r="D376" t="inlineStr">
        <is>
          <t>Critical</t>
        </is>
      </c>
      <c r="E376" t="inlineStr">
        <is>
          <t>Open</t>
        </is>
      </c>
      <c r="F376" t="inlineStr">
        <is>
          <t>23/05/2026</t>
        </is>
      </c>
    </row>
    <row r="377">
      <c r="A377" t="inlineStr">
        <is>
          <t>BUG-374</t>
        </is>
      </c>
      <c r="B377" t="inlineStr">
        <is>
          <t>TC-599</t>
        </is>
      </c>
      <c r="C377" t="inlineStr">
        <is>
          <t>Test fail: TC-599: XSS qua content @P0 @SECURITY @High</t>
        </is>
      </c>
      <c r="D377" t="inlineStr">
        <is>
          <t>High</t>
        </is>
      </c>
      <c r="E377" t="inlineStr">
        <is>
          <t>Open</t>
        </is>
      </c>
      <c r="F377" t="inlineStr">
        <is>
          <t>23/05/2026</t>
        </is>
      </c>
    </row>
    <row r="378">
      <c r="A378" t="inlineStr">
        <is>
          <t>BUG-375</t>
        </is>
      </c>
      <c r="B378" t="inlineStr">
        <is>
          <t>TC-600</t>
        </is>
      </c>
      <c r="C378" t="inlineStr">
        <is>
          <t>Test fail: TC-600: content rất dài (50K chars) @P1 @DATA @Low</t>
        </is>
      </c>
      <c r="D378" t="inlineStr">
        <is>
          <t>Low</t>
        </is>
      </c>
      <c r="E378" t="inlineStr">
        <is>
          <t>Open</t>
        </is>
      </c>
      <c r="F378" t="inlineStr">
        <is>
          <t>23/05/2026</t>
        </is>
      </c>
    </row>
    <row r="379">
      <c r="A379" t="inlineStr">
        <is>
          <t>BUG-376</t>
        </is>
      </c>
      <c r="B379" t="inlineStr">
        <is>
          <t>TC-601</t>
        </is>
      </c>
      <c r="C379" t="inlineStr">
        <is>
          <t>Test fail: TC-601: content tiếng Việt có dấu @P1 @DATA @Low</t>
        </is>
      </c>
      <c r="D379" t="inlineStr">
        <is>
          <t>Low</t>
        </is>
      </c>
      <c r="E379" t="inlineStr">
        <is>
          <t>Open</t>
        </is>
      </c>
      <c r="F379" t="inlineStr">
        <is>
          <t>23/05/2026</t>
        </is>
      </c>
    </row>
    <row r="380">
      <c r="A380" t="inlineStr">
        <is>
          <t>BUG-377</t>
        </is>
      </c>
      <c r="B380" t="inlineStr">
        <is>
          <t>TC-602</t>
        </is>
      </c>
      <c r="C380" t="inlineStr">
        <is>
          <t>Test fail: TC-602: PROPOSAL_CREATED audit log @P0 @AUDIT @High</t>
        </is>
      </c>
      <c r="D380" t="inlineStr">
        <is>
          <t>High</t>
        </is>
      </c>
      <c r="E380" t="inlineStr">
        <is>
          <t>Open</t>
        </is>
      </c>
      <c r="F380" t="inlineStr">
        <is>
          <t>23/05/2026</t>
        </is>
      </c>
    </row>
    <row r="381">
      <c r="A381" t="inlineStr">
        <is>
          <t>BUG-378</t>
        </is>
      </c>
      <c r="B381" t="inlineStr">
        <is>
          <t>TC-603</t>
        </is>
      </c>
      <c r="C381" t="inlineStr">
        <is>
          <t>Test fail: TC-603: PROPOSAL_RESPONDED log với response timestamp @P0 @AUDIT @High</t>
        </is>
      </c>
      <c r="D381" t="inlineStr">
        <is>
          <t>High</t>
        </is>
      </c>
      <c r="E381" t="inlineStr">
        <is>
          <t>Open</t>
        </is>
      </c>
      <c r="F381" t="inlineStr">
        <is>
          <t>23/05/2026</t>
        </is>
      </c>
    </row>
    <row r="382">
      <c r="A382" t="inlineStr">
        <is>
          <t>BUG-379</t>
        </is>
      </c>
      <c r="B382" t="inlineStr">
        <is>
          <t>TC-612</t>
        </is>
      </c>
      <c r="C382" t="inlineStr">
        <is>
          <t>Test fail: TC-612: Atomic rollback nếu audit fail @P1 @RECOVERY @High</t>
        </is>
      </c>
      <c r="D382" t="inlineStr">
        <is>
          <t>High</t>
        </is>
      </c>
      <c r="E382" t="inlineStr">
        <is>
          <t>Open</t>
        </is>
      </c>
      <c r="F382" t="inlineStr">
        <is>
          <t>23/05/2026</t>
        </is>
      </c>
    </row>
    <row r="383">
      <c r="A383" t="inlineStr">
        <is>
          <t>BUG-380</t>
        </is>
      </c>
      <c r="B383" t="inlineStr">
        <is>
          <t>TC-325</t>
        </is>
      </c>
      <c r="C383" t="inlineStr">
        <is>
          <t>Test fail: TC-325: Provenance class valid enum (DIRECT_DISCOVERY) @P1 @EP @Low</t>
        </is>
      </c>
      <c r="D383" t="inlineStr">
        <is>
          <t>Low</t>
        </is>
      </c>
      <c r="E383" t="inlineStr">
        <is>
          <t>Open</t>
        </is>
      </c>
      <c r="F383" t="inlineStr">
        <is>
          <t>23/05/2026</t>
        </is>
      </c>
    </row>
    <row r="384">
      <c r="A384" t="inlineStr">
        <is>
          <t>BUG-381</t>
        </is>
      </c>
      <c r="B384" t="inlineStr">
        <is>
          <t>TC-326</t>
        </is>
      </c>
      <c r="C384" t="inlineStr">
        <is>
          <t>Test fail: TC-326: Provenance class invalid (string ngẫu nhiên) @P1 @EP @Medium</t>
        </is>
      </c>
      <c r="D384" t="inlineStr">
        <is>
          <t>Medium</t>
        </is>
      </c>
      <c r="E384" t="inlineStr">
        <is>
          <t>Open</t>
        </is>
      </c>
      <c r="F384" t="inlineStr">
        <is>
          <t>23/05/2026</t>
        </is>
      </c>
    </row>
    <row r="385">
      <c r="A385" t="inlineStr">
        <is>
          <t>BUG-382</t>
        </is>
      </c>
      <c r="B385" t="inlineStr">
        <is>
          <t>TC-238</t>
        </is>
      </c>
      <c r="C385" t="inlineStr">
        <is>
          <t>Test fail: TC-238: POST /cases brute force 100 req/s → throttle global @P0 @SECURITY @High</t>
        </is>
      </c>
      <c r="D385" t="inlineStr">
        <is>
          <t>High</t>
        </is>
      </c>
      <c r="E385" t="inlineStr">
        <is>
          <t>Open</t>
        </is>
      </c>
      <c r="F385" t="inlineStr">
        <is>
          <t>23/05/2026</t>
        </is>
      </c>
    </row>
    <row r="386">
      <c r="A386" t="inlineStr">
        <is>
          <t>BUG-383</t>
        </is>
      </c>
      <c r="B386" t="inlineStr">
        <is>
          <t>TC-309</t>
        </is>
      </c>
      <c r="C386" t="inlineStr">
        <is>
          <t>Test fail: TC-309: Delete reason 10 ký tự (min) → pass @P1 @BOUNDARY @Medium</t>
        </is>
      </c>
      <c r="D386" t="inlineStr">
        <is>
          <t>Medium</t>
        </is>
      </c>
      <c r="E386" t="inlineStr">
        <is>
          <t>Open</t>
        </is>
      </c>
      <c r="F386" t="inlineStr">
        <is>
          <t>23/05/2026</t>
        </is>
      </c>
    </row>
    <row r="387">
      <c r="A387" t="inlineStr">
        <is>
          <t>BUG-384</t>
        </is>
      </c>
      <c r="B387" t="inlineStr">
        <is>
          <t>TC-310</t>
        </is>
      </c>
      <c r="C387" t="inlineStr">
        <is>
          <t>Test fail: TC-310: Delete reason 9 ký tự → 400 @P1 @BOUNDARY @Medium</t>
        </is>
      </c>
      <c r="D387" t="inlineStr">
        <is>
          <t>Medium</t>
        </is>
      </c>
      <c r="E387" t="inlineStr">
        <is>
          <t>Open</t>
        </is>
      </c>
      <c r="F387" t="inlineStr">
        <is>
          <t>23/05/2026</t>
        </is>
      </c>
    </row>
    <row r="388">
      <c r="A388" t="inlineStr">
        <is>
          <t>BUG-385</t>
        </is>
      </c>
      <c r="B388" t="inlineStr">
        <is>
          <t>TC-311</t>
        </is>
      </c>
      <c r="C388" t="inlineStr">
        <is>
          <t>Test fail: TC-311: Delete reason 500 ký tự (max) → pass @P1 @BOUNDARY @Medium</t>
        </is>
      </c>
      <c r="D388" t="inlineStr">
        <is>
          <t>Medium</t>
        </is>
      </c>
      <c r="E388" t="inlineStr">
        <is>
          <t>Open</t>
        </is>
      </c>
      <c r="F388" t="inlineStr">
        <is>
          <t>23/05/2026</t>
        </is>
      </c>
    </row>
    <row r="389">
      <c r="A389" t="inlineStr">
        <is>
          <t>BUG-386</t>
        </is>
      </c>
      <c r="B389" t="inlineStr">
        <is>
          <t>TC-312</t>
        </is>
      </c>
      <c r="C389" t="inlineStr">
        <is>
          <t>Test fail: TC-312: Delete reason 501 ký tự → 400 @P1 @BOUNDARY @Medium</t>
        </is>
      </c>
      <c r="D389" t="inlineStr">
        <is>
          <t>Medium</t>
        </is>
      </c>
      <c r="E389" t="inlineStr">
        <is>
          <t>Open</t>
        </is>
      </c>
      <c r="F389" t="inlineStr">
        <is>
          <t>23/05/2026</t>
        </is>
      </c>
    </row>
    <row r="390">
      <c r="A390" t="inlineStr">
        <is>
          <t>BUG-387</t>
        </is>
      </c>
      <c r="B390" t="inlineStr">
        <is>
          <t>TC-269</t>
        </is>
      </c>
      <c r="C390" t="inlineStr">
        <is>
          <t>Test fail: TC-269: 1920x1080 desktop — layout standard @P1 @COMPAT @Medium</t>
        </is>
      </c>
      <c r="D390" t="inlineStr">
        <is>
          <t>Medium</t>
        </is>
      </c>
      <c r="E390" t="inlineStr">
        <is>
          <t>Open</t>
        </is>
      </c>
      <c r="F390" t="inlineStr">
        <is>
          <t>23/05/2026</t>
        </is>
      </c>
    </row>
    <row r="391">
      <c r="A391" t="inlineStr">
        <is>
          <t>BUG-388</t>
        </is>
      </c>
      <c r="B391" t="inlineStr">
        <is>
          <t>TC-270</t>
        </is>
      </c>
      <c r="C391" t="inlineStr">
        <is>
          <t>Test fail: TC-270: 1366x768 laptop common — không scroll horizontal @P1 @COMPAT @Medium</t>
        </is>
      </c>
      <c r="D391" t="inlineStr">
        <is>
          <t>Medium</t>
        </is>
      </c>
      <c r="E391" t="inlineStr">
        <is>
          <t>Open</t>
        </is>
      </c>
      <c r="F391" t="inlineStr">
        <is>
          <t>23/05/2026</t>
        </is>
      </c>
    </row>
    <row r="392">
      <c r="A392" t="inlineStr">
        <is>
          <t>BUG-389</t>
        </is>
      </c>
      <c r="B392" t="inlineStr">
        <is>
          <t>TC-271</t>
        </is>
      </c>
      <c r="C392" t="inlineStr">
        <is>
          <t>Test fail: TC-271: 768x1024 tablet portrait @P1 @COMPAT @Medium</t>
        </is>
      </c>
      <c r="D392" t="inlineStr">
        <is>
          <t>Medium</t>
        </is>
      </c>
      <c r="E392" t="inlineStr">
        <is>
          <t>Open</t>
        </is>
      </c>
      <c r="F392" t="inlineStr">
        <is>
          <t>23/05/2026</t>
        </is>
      </c>
    </row>
    <row r="393">
      <c r="A393" t="inlineStr">
        <is>
          <t>BUG-390</t>
        </is>
      </c>
      <c r="B393" t="inlineStr">
        <is>
          <t>TC-272</t>
        </is>
      </c>
      <c r="C393" t="inlineStr">
        <is>
          <t>Test fail: TC-272: 375x667 iPhone SE @P1 @COMPAT @Medium</t>
        </is>
      </c>
      <c r="D393" t="inlineStr">
        <is>
          <t>Medium</t>
        </is>
      </c>
      <c r="E393" t="inlineStr">
        <is>
          <t>Open</t>
        </is>
      </c>
      <c r="F393" t="inlineStr">
        <is>
          <t>23/05/2026</t>
        </is>
      </c>
    </row>
    <row r="394">
      <c r="A394" t="inlineStr">
        <is>
          <t>BUG-391</t>
        </is>
      </c>
      <c r="B394" t="inlineStr">
        <is>
          <t>TC-162</t>
        </is>
      </c>
      <c r="C394" t="inlineStr">
        <is>
          <t>Test fail: TC-162: ADMIN khôi phục Case đã soft-deleted @P0 @GREEN @Critical</t>
        </is>
      </c>
      <c r="D394" t="inlineStr">
        <is>
          <t>Critical</t>
        </is>
      </c>
      <c r="E394" t="inlineStr">
        <is>
          <t>Open</t>
        </is>
      </c>
      <c r="F394" t="inlineStr">
        <is>
          <t>23/05/2026</t>
        </is>
      </c>
    </row>
    <row r="395">
      <c r="A395" t="inlineStr">
        <is>
          <t>BUG-392</t>
        </is>
      </c>
      <c r="B395" t="inlineStr">
        <is>
          <t>TC-163</t>
        </is>
      </c>
      <c r="C395" t="inlineStr">
        <is>
          <t>Test fail: TC-163: Non-ADMIN gọi restore → 403 PermissionsGuard (action=restore) @P0 @RED @Critical</t>
        </is>
      </c>
      <c r="D395" t="inlineStr">
        <is>
          <t>Critical</t>
        </is>
      </c>
      <c r="E395" t="inlineStr">
        <is>
          <t>Open</t>
        </is>
      </c>
      <c r="F395" t="inlineStr">
        <is>
          <t>23/05/2026</t>
        </is>
      </c>
    </row>
    <row r="396">
      <c r="A396" t="inlineStr">
        <is>
          <t>BUG-393</t>
        </is>
      </c>
      <c r="B396" t="inlineStr">
        <is>
          <t>TC-165</t>
        </is>
      </c>
      <c r="C396" t="inlineStr">
        <is>
          <t>Test fail: TC-165: Race: 2 ADMIN restore cùng case → 1 ConflictException friendly @P0 @RED @High</t>
        </is>
      </c>
      <c r="D396" t="inlineStr">
        <is>
          <t>High</t>
        </is>
      </c>
      <c r="E396" t="inlineStr">
        <is>
          <t>Open</t>
        </is>
      </c>
      <c r="F396" t="inlineStr">
        <is>
          <t>23/05/2026</t>
        </is>
      </c>
    </row>
    <row r="397">
      <c r="A397" t="inlineStr">
        <is>
          <t>BUG-394</t>
        </is>
      </c>
      <c r="B397" t="inlineStr">
        <is>
          <t>TC-166</t>
        </is>
      </c>
      <c r="C397" t="inlineStr">
        <is>
          <t>Test fail: TC-166: Reason rỗng → 400 DTO validation @P1 @RED @Medium</t>
        </is>
      </c>
      <c r="D397" t="inlineStr">
        <is>
          <t>Medium</t>
        </is>
      </c>
      <c r="E397" t="inlineStr">
        <is>
          <t>Open</t>
        </is>
      </c>
      <c r="F397" t="inlineStr">
        <is>
          <t>23/05/2026</t>
        </is>
      </c>
    </row>
    <row r="398">
      <c r="A398" t="inlineStr">
        <is>
          <t>BUG-395</t>
        </is>
      </c>
      <c r="B398" t="inlineStr">
        <is>
          <t>TC-246</t>
        </is>
      </c>
      <c r="C398" t="inlineStr">
        <is>
          <t>Test fail: TC-246: Input có aria-label hoặc label[for] gắn id @P1 @A11Y @High</t>
        </is>
      </c>
      <c r="D398" t="inlineStr">
        <is>
          <t>High</t>
        </is>
      </c>
      <c r="E398" t="inlineStr">
        <is>
          <t>Open</t>
        </is>
      </c>
      <c r="F398" t="inlineStr">
        <is>
          <t>23/05/2026</t>
        </is>
      </c>
    </row>
    <row r="399">
      <c r="A399" t="inlineStr">
        <is>
          <t>BUG-396</t>
        </is>
      </c>
      <c r="B399" t="inlineStr">
        <is>
          <t>TC-247</t>
        </is>
      </c>
      <c r="C399" t="inlineStr">
        <is>
          <t>Test fail: TC-247: Status badge có aria-label='Trạng thái Đang điều tra' @P1 @A11Y @Medium</t>
        </is>
      </c>
      <c r="D399" t="inlineStr">
        <is>
          <t>Medium</t>
        </is>
      </c>
      <c r="E399" t="inlineStr">
        <is>
          <t>Open</t>
        </is>
      </c>
      <c r="F399" t="inlineStr">
        <is>
          <t>23/05/2026</t>
        </is>
      </c>
    </row>
    <row r="400">
      <c r="A400" t="inlineStr">
        <is>
          <t>BUG-397</t>
        </is>
      </c>
      <c r="B400" t="inlineStr">
        <is>
          <t>TC-368</t>
        </is>
      </c>
      <c r="C400" t="inlineStr">
        <is>
          <t>Test fail: TC-368: Tạo Subject với CCCD 12 chữ số hợp lệ @P0 @GREEN @Critical</t>
        </is>
      </c>
      <c r="D400" t="inlineStr">
        <is>
          <t>Critical</t>
        </is>
      </c>
      <c r="E400" t="inlineStr">
        <is>
          <t>Open</t>
        </is>
      </c>
      <c r="F400" t="inlineStr">
        <is>
          <t>23/05/2026</t>
        </is>
      </c>
    </row>
    <row r="401">
      <c r="A401" t="inlineStr">
        <is>
          <t>BUG-398</t>
        </is>
      </c>
      <c r="B401" t="inlineStr">
        <is>
          <t>TC-369</t>
        </is>
      </c>
      <c r="C401" t="inlineStr">
        <is>
          <t>Test fail: TC-369: Tạo Subject với CCCD 9 chữ số (CMND cũ) @P0 @GREEN @High</t>
        </is>
      </c>
      <c r="D401" t="inlineStr">
        <is>
          <t>High</t>
        </is>
      </c>
      <c r="E401" t="inlineStr">
        <is>
          <t>Open</t>
        </is>
      </c>
      <c r="F401" t="inlineStr">
        <is>
          <t>23/05/2026</t>
        </is>
      </c>
    </row>
    <row r="402">
      <c r="A402" t="inlineStr">
        <is>
          <t>BUG-399</t>
        </is>
      </c>
      <c r="B402" t="inlineStr">
        <is>
          <t>TC-377</t>
        </is>
      </c>
      <c r="C402" t="inlineStr">
        <is>
          <t>Test fail: TC-377: dateOfBirth='2030-01-01' tương lai → ? (gap) @P0 @RED @Medium</t>
        </is>
      </c>
      <c r="D402" t="inlineStr">
        <is>
          <t>Medium</t>
        </is>
      </c>
      <c r="E402" t="inlineStr">
        <is>
          <t>Open</t>
        </is>
      </c>
      <c r="F402" t="inlineStr">
        <is>
          <t>23/05/2026</t>
        </is>
      </c>
    </row>
    <row r="403">
      <c r="A403" t="inlineStr">
        <is>
          <t>BUG-400</t>
        </is>
      </c>
      <c r="B403" t="inlineStr">
        <is>
          <t>TC-385</t>
        </is>
      </c>
      <c r="C403" t="inlineStr">
        <is>
          <t>Test fail: TC-385: gender bỏ trống → default MALE @P1 @GREEN @Medium</t>
        </is>
      </c>
      <c r="D403" t="inlineStr">
        <is>
          <t>Medium</t>
        </is>
      </c>
      <c r="E403" t="inlineStr">
        <is>
          <t>Open</t>
        </is>
      </c>
      <c r="F403" t="inlineStr">
        <is>
          <t>23/05/2026</t>
        </is>
      </c>
    </row>
    <row r="404">
      <c r="A404" t="inlineStr">
        <is>
          <t>BUG-401</t>
        </is>
      </c>
      <c r="B404" t="inlineStr">
        <is>
          <t>TC-386</t>
        </is>
      </c>
      <c r="C404" t="inlineStr">
        <is>
          <t>Test fail: TC-386: type=VICTIM (Bị hại) — không phải SUSPECT default @P1 @GREEN @High</t>
        </is>
      </c>
      <c r="D404" t="inlineStr">
        <is>
          <t>High</t>
        </is>
      </c>
      <c r="E404" t="inlineStr">
        <is>
          <t>Open</t>
        </is>
      </c>
      <c r="F404" t="inlineStr">
        <is>
          <t>23/05/2026</t>
        </is>
      </c>
    </row>
    <row r="405">
      <c r="A405" t="inlineStr">
        <is>
          <t>BUG-402</t>
        </is>
      </c>
      <c r="B405" t="inlineStr">
        <is>
          <t>TC-387</t>
        </is>
      </c>
      <c r="C405" t="inlineStr">
        <is>
          <t>Test fail: TC-387: type=WITNESS (Nhân chứng) @P1 @GREEN @Medium</t>
        </is>
      </c>
      <c r="D405" t="inlineStr">
        <is>
          <t>Medium</t>
        </is>
      </c>
      <c r="E405" t="inlineStr">
        <is>
          <t>Open</t>
        </is>
      </c>
      <c r="F405" t="inlineStr">
        <is>
          <t>23/05/2026</t>
        </is>
      </c>
    </row>
    <row r="406">
      <c r="A406" t="inlineStr">
        <is>
          <t>BUG-403</t>
        </is>
      </c>
      <c r="B406" t="inlineStr">
        <is>
          <t>TC-388</t>
        </is>
      </c>
      <c r="C406" t="inlineStr">
        <is>
          <t>Test fail: TC-388: type='INVALID' → 400 @P1 @RED @Medium</t>
        </is>
      </c>
      <c r="D406" t="inlineStr">
        <is>
          <t>Medium</t>
        </is>
      </c>
      <c r="E406" t="inlineStr">
        <is>
          <t>Open</t>
        </is>
      </c>
      <c r="F406" t="inlineStr">
        <is>
          <t>23/05/2026</t>
        </is>
      </c>
    </row>
    <row r="407">
      <c r="A407" t="inlineStr">
        <is>
          <t>BUG-404</t>
        </is>
      </c>
      <c r="B407" t="inlineStr">
        <is>
          <t>TC-389</t>
        </is>
      </c>
      <c r="C407" t="inlineStr">
        <is>
          <t>Test fail: TC-389: status=DETAINED (Đang tạm giam) @P1 @GREEN @High</t>
        </is>
      </c>
      <c r="D407" t="inlineStr">
        <is>
          <t>High</t>
        </is>
      </c>
      <c r="E407" t="inlineStr">
        <is>
          <t>Open</t>
        </is>
      </c>
      <c r="F407" t="inlineStr">
        <is>
          <t>23/05/2026</t>
        </is>
      </c>
    </row>
    <row r="408">
      <c r="A408" t="inlineStr">
        <is>
          <t>BUG-405</t>
        </is>
      </c>
      <c r="B408" t="inlineStr">
        <is>
          <t>TC-390</t>
        </is>
      </c>
      <c r="C408" t="inlineStr">
        <is>
          <t>Test fail: TC-390: status=RELEASED khi đã thả @P1 @GREEN @Medium</t>
        </is>
      </c>
      <c r="D408" t="inlineStr">
        <is>
          <t>Medium</t>
        </is>
      </c>
      <c r="E408" t="inlineStr">
        <is>
          <t>Open</t>
        </is>
      </c>
      <c r="F408" t="inlineStr">
        <is>
          <t>23/05/2026</t>
        </is>
      </c>
    </row>
    <row r="409">
      <c r="A409" t="inlineStr">
        <is>
          <t>BUG-406</t>
        </is>
      </c>
      <c r="B409" t="inlineStr">
        <is>
          <t>TC-391</t>
        </is>
      </c>
      <c r="C409" t="inlineStr">
        <is>
          <t>Test fail: TC-391: status=WANTED (Truy nã) @P1 @GREEN @High</t>
        </is>
      </c>
      <c r="D409" t="inlineStr">
        <is>
          <t>High</t>
        </is>
      </c>
      <c r="E409" t="inlineStr">
        <is>
          <t>Open</t>
        </is>
      </c>
      <c r="F409" t="inlineStr">
        <is>
          <t>23/05/2026</t>
        </is>
      </c>
    </row>
    <row r="410">
      <c r="A410" t="inlineStr">
        <is>
          <t>BUG-407</t>
        </is>
      </c>
      <c r="B410" t="inlineStr">
        <is>
          <t>TC-392</t>
        </is>
      </c>
      <c r="C410" t="inlineStr">
        <is>
          <t>Test fail: TC-392: GET /subjects?caseId=C001 trả subjects của Case @P0 @GREEN @High</t>
        </is>
      </c>
      <c r="D410" t="inlineStr">
        <is>
          <t>High</t>
        </is>
      </c>
      <c r="E410" t="inlineStr">
        <is>
          <t>Open</t>
        </is>
      </c>
      <c r="F410" t="inlineStr">
        <is>
          <t>23/05/2026</t>
        </is>
      </c>
    </row>
    <row r="411">
      <c r="A411" t="inlineStr">
        <is>
          <t>BUG-408</t>
        </is>
      </c>
      <c r="B411" t="inlineStr">
        <is>
          <t>TC-393</t>
        </is>
      </c>
      <c r="C411" t="inlineStr">
        <is>
          <t>Test fail: TC-393: GET /subjects/:id detail include lawyers liên kết @P0 @GREEN @High</t>
        </is>
      </c>
      <c r="D411" t="inlineStr">
        <is>
          <t>High</t>
        </is>
      </c>
      <c r="E411" t="inlineStr">
        <is>
          <t>Open</t>
        </is>
      </c>
      <c r="F411" t="inlineStr">
        <is>
          <t>23/05/2026</t>
        </is>
      </c>
    </row>
    <row r="412">
      <c r="A412" t="inlineStr">
        <is>
          <t>BUG-409</t>
        </is>
      </c>
      <c r="B412" t="inlineStr">
        <is>
          <t>TC-394</t>
        </is>
      </c>
      <c r="C412" t="inlineStr">
        <is>
          <t>Test fail: TC-394: GET /subjects/:id Subject ngoài scope → 403 @P0 @RED @Critical</t>
        </is>
      </c>
      <c r="D412" t="inlineStr">
        <is>
          <t>Critical</t>
        </is>
      </c>
      <c r="E412" t="inlineStr">
        <is>
          <t>Open</t>
        </is>
      </c>
      <c r="F412" t="inlineStr">
        <is>
          <t>23/05/2026</t>
        </is>
      </c>
    </row>
    <row r="413">
      <c r="A413" t="inlineStr">
        <is>
          <t>BUG-410</t>
        </is>
      </c>
      <c r="B413" t="inlineStr">
        <is>
          <t>TC-395</t>
        </is>
      </c>
      <c r="C413" t="inlineStr">
        <is>
          <t>Test fail: TC-395: GET /subjects/NOT_EXIST → 404 @P0 @RED @High</t>
        </is>
      </c>
      <c r="D413" t="inlineStr">
        <is>
          <t>High</t>
        </is>
      </c>
      <c r="E413" t="inlineStr">
        <is>
          <t>Open</t>
        </is>
      </c>
      <c r="F413" t="inlineStr">
        <is>
          <t>23/05/2026</t>
        </is>
      </c>
    </row>
    <row r="414">
      <c r="A414" t="inlineStr">
        <is>
          <t>BUG-411</t>
        </is>
      </c>
      <c r="B414" t="inlineStr">
        <is>
          <t>TC-396</t>
        </is>
      </c>
      <c r="C414" t="inlineStr">
        <is>
          <t>Test fail: TC-396: PUT update fullName của Subject @P0 @GREEN @High</t>
        </is>
      </c>
      <c r="D414" t="inlineStr">
        <is>
          <t>High</t>
        </is>
      </c>
      <c r="E414" t="inlineStr">
        <is>
          <t>Open</t>
        </is>
      </c>
      <c r="F414" t="inlineStr">
        <is>
          <t>23/05/2026</t>
        </is>
      </c>
    </row>
    <row r="415">
      <c r="A415" t="inlineStr">
        <is>
          <t>BUG-412</t>
        </is>
      </c>
      <c r="B415" t="inlineStr">
        <is>
          <t>TC-397</t>
        </is>
      </c>
      <c r="C415" t="inlineStr">
        <is>
          <t>Test fail: TC-397: PUT Subject ngoài write scope → 403 @P0 @RED @Critical</t>
        </is>
      </c>
      <c r="D415" t="inlineStr">
        <is>
          <t>Critical</t>
        </is>
      </c>
      <c r="E415" t="inlineStr">
        <is>
          <t>Open</t>
        </is>
      </c>
      <c r="F415" t="inlineStr">
        <is>
          <t>23/05/2026</t>
        </is>
      </c>
    </row>
    <row r="416">
      <c r="A416" t="inlineStr">
        <is>
          <t>BUG-413</t>
        </is>
      </c>
      <c r="B416" t="inlineStr">
        <is>
          <t>TC-398</t>
        </is>
      </c>
      <c r="C416" t="inlineStr">
        <is>
          <t>Test fail: TC-398: PUT Subject soft-deleted → 404 @P0 @RED @High</t>
        </is>
      </c>
      <c r="D416" t="inlineStr">
        <is>
          <t>High</t>
        </is>
      </c>
      <c r="E416" t="inlineStr">
        <is>
          <t>Open</t>
        </is>
      </c>
      <c r="F416" t="inlineStr">
        <is>
          <t>23/05/2026</t>
        </is>
      </c>
    </row>
    <row r="417">
      <c r="A417" t="inlineStr">
        <is>
          <t>BUG-414</t>
        </is>
      </c>
      <c r="B417" t="inlineStr">
        <is>
          <t>TC-399</t>
        </is>
      </c>
      <c r="C417" t="inlineStr">
        <is>
          <t>Test fail: TC-399: DELETE Subject soft delete + Case.subjectsCount giảm @P0 @GREEN @Critical</t>
        </is>
      </c>
      <c r="D417" t="inlineStr">
        <is>
          <t>Critical</t>
        </is>
      </c>
      <c r="E417" t="inlineStr">
        <is>
          <t>Open</t>
        </is>
      </c>
      <c r="F417" t="inlineStr">
        <is>
          <t>23/05/2026</t>
        </is>
      </c>
    </row>
    <row r="418">
      <c r="A418" t="inlineStr">
        <is>
          <t>BUG-415</t>
        </is>
      </c>
      <c r="B418" t="inlineStr">
        <is>
          <t>TC-400</t>
        </is>
      </c>
      <c r="C418" t="inlineStr">
        <is>
          <t>Test fail: TC-400: DELETE Subject ngoài scope → 403 @P0 @RED @Critical</t>
        </is>
      </c>
      <c r="D418" t="inlineStr">
        <is>
          <t>Critical</t>
        </is>
      </c>
      <c r="E418" t="inlineStr">
        <is>
          <t>Open</t>
        </is>
      </c>
      <c r="F418" t="inlineStr">
        <is>
          <t>23/05/2026</t>
        </is>
      </c>
    </row>
    <row r="419">
      <c r="A419" t="inlineStr">
        <is>
          <t>BUG-416</t>
        </is>
      </c>
      <c r="B419" t="inlineStr">
        <is>
          <t>TC-401</t>
        </is>
      </c>
      <c r="C419" t="inlineStr">
        <is>
          <t>Test fail: TC-401: DELETE Subject không tồn tại → 404 @P0 @RED @High</t>
        </is>
      </c>
      <c r="D419" t="inlineStr">
        <is>
          <t>High</t>
        </is>
      </c>
      <c r="E419" t="inlineStr">
        <is>
          <t>Open</t>
        </is>
      </c>
      <c r="F419" t="inlineStr">
        <is>
          <t>23/05/2026</t>
        </is>
      </c>
    </row>
    <row r="420">
      <c r="A420" t="inlineStr">
        <is>
          <t>BUG-417</t>
        </is>
      </c>
      <c r="B420" t="inlineStr">
        <is>
          <t>TC-402</t>
        </is>
      </c>
      <c r="C420" t="inlineStr">
        <is>
          <t>Test fail: TC-402: DELETE Subject đã soft-deleted (idempotent) → 404 hoặc 200 @P0 @RED @Medium</t>
        </is>
      </c>
      <c r="D420" t="inlineStr">
        <is>
          <t>Medium</t>
        </is>
      </c>
      <c r="E420" t="inlineStr">
        <is>
          <t>Open</t>
        </is>
      </c>
      <c r="F420" t="inlineStr">
        <is>
          <t>23/05/2026</t>
        </is>
      </c>
    </row>
    <row r="421">
      <c r="A421" t="inlineStr">
        <is>
          <t>BUG-418</t>
        </is>
      </c>
      <c r="B421" t="inlineStr">
        <is>
          <t>TC-403</t>
        </is>
      </c>
      <c r="C421" t="inlineStr">
        <is>
          <t>Test fail: TC-403: IDOR: POST subject với caseId của Case khác user → 403/400 @P0 @SECURITY @Critical</t>
        </is>
      </c>
      <c r="D421" t="inlineStr">
        <is>
          <t>Critical</t>
        </is>
      </c>
      <c r="E421" t="inlineStr">
        <is>
          <t>Open</t>
        </is>
      </c>
      <c r="F421" t="inlineStr">
        <is>
          <t>23/05/2026</t>
        </is>
      </c>
    </row>
    <row r="422">
      <c r="A422" t="inlineStr">
        <is>
          <t>BUG-419</t>
        </is>
      </c>
      <c r="B422" t="inlineStr">
        <is>
          <t>TC-404</t>
        </is>
      </c>
      <c r="C422" t="inlineStr">
        <is>
          <t>Test fail: TC-404: XSS qua fullName='&lt;script&gt;alert(1)&lt;/script&gt;' → React escape @P0 @SECURITY @Critical</t>
        </is>
      </c>
      <c r="D422" t="inlineStr">
        <is>
          <t>Critical</t>
        </is>
      </c>
      <c r="E422" t="inlineStr">
        <is>
          <t>Open</t>
        </is>
      </c>
      <c r="F422" t="inlineStr">
        <is>
          <t>23/05/2026</t>
        </is>
      </c>
    </row>
    <row r="423">
      <c r="A423" t="inlineStr">
        <is>
          <t>BUG-420</t>
        </is>
      </c>
      <c r="B423" t="inlineStr">
        <is>
          <t>TC-405</t>
        </is>
      </c>
      <c r="C423" t="inlineStr">
        <is>
          <t>Test fail: TC-405: SQL injection qua idNumber bypass regex (impossible vì regex strict) @P0 @SECURITY @High</t>
        </is>
      </c>
      <c r="D423" t="inlineStr">
        <is>
          <t>High</t>
        </is>
      </c>
      <c r="E423" t="inlineStr">
        <is>
          <t>Open</t>
        </is>
      </c>
      <c r="F423" t="inlineStr">
        <is>
          <t>23/05/2026</t>
        </is>
      </c>
    </row>
    <row r="424">
      <c r="A424" t="inlineStr">
        <is>
          <t>BUG-421</t>
        </is>
      </c>
      <c r="B424" t="inlineStr">
        <is>
          <t>TC-406</t>
        </is>
      </c>
      <c r="C424" t="inlineStr">
        <is>
          <t>Test fail: TC-406: fullName tiếng Việt có dấu 'Nguyễn Quỳnh Trâm' @P1 @DATA @Medium</t>
        </is>
      </c>
      <c r="D424" t="inlineStr">
        <is>
          <t>Medium</t>
        </is>
      </c>
      <c r="E424" t="inlineStr">
        <is>
          <t>Open</t>
        </is>
      </c>
      <c r="F424" t="inlineStr">
        <is>
          <t>23/05/2026</t>
        </is>
      </c>
    </row>
    <row r="425">
      <c r="A425" t="inlineStr">
        <is>
          <t>BUG-422</t>
        </is>
      </c>
      <c r="B425" t="inlineStr">
        <is>
          <t>TC-407</t>
        </is>
      </c>
      <c r="C425" t="inlineStr">
        <is>
          <t>Test fail: TC-407: fullName 200 ký tự (long name) @P1 @DATA @Low</t>
        </is>
      </c>
      <c r="D425" t="inlineStr">
        <is>
          <t>Low</t>
        </is>
      </c>
      <c r="E425" t="inlineStr">
        <is>
          <t>Open</t>
        </is>
      </c>
      <c r="F425" t="inlineStr">
        <is>
          <t>23/05/2026</t>
        </is>
      </c>
    </row>
    <row r="426">
      <c r="A426" t="inlineStr">
        <is>
          <t>BUG-423</t>
        </is>
      </c>
      <c r="B426" t="inlineStr">
        <is>
          <t>TC-408</t>
        </is>
      </c>
      <c r="C426" t="inlineStr">
        <is>
          <t>Test fail: TC-408: address Unicode + multi-line @P1 @DATA @Low</t>
        </is>
      </c>
      <c r="D426" t="inlineStr">
        <is>
          <t>Low</t>
        </is>
      </c>
      <c r="E426" t="inlineStr">
        <is>
          <t>Open</t>
        </is>
      </c>
      <c r="F426" t="inlineStr">
        <is>
          <t>23/05/2026</t>
        </is>
      </c>
    </row>
    <row r="427">
      <c r="A427" t="inlineStr">
        <is>
          <t>BUG-424</t>
        </is>
      </c>
      <c r="B427" t="inlineStr">
        <is>
          <t>TC-409</t>
        </is>
      </c>
      <c r="C427" t="inlineStr">
        <is>
          <t>Test fail: TC-409: CCCD đúng 9 chữ → pass min @P1 @BOUNDARY @Medium</t>
        </is>
      </c>
      <c r="D427" t="inlineStr">
        <is>
          <t>Medium</t>
        </is>
      </c>
      <c r="E427" t="inlineStr">
        <is>
          <t>Open</t>
        </is>
      </c>
      <c r="F427" t="inlineStr">
        <is>
          <t>23/05/2026</t>
        </is>
      </c>
    </row>
    <row r="428">
      <c r="A428" t="inlineStr">
        <is>
          <t>BUG-425</t>
        </is>
      </c>
      <c r="B428" t="inlineStr">
        <is>
          <t>TC-410</t>
        </is>
      </c>
      <c r="C428" t="inlineStr">
        <is>
          <t>Test fail: TC-410: CCCD đúng 12 chữ → pass max @P1 @BOUNDARY @Medium</t>
        </is>
      </c>
      <c r="D428" t="inlineStr">
        <is>
          <t>Medium</t>
        </is>
      </c>
      <c r="E428" t="inlineStr">
        <is>
          <t>Open</t>
        </is>
      </c>
      <c r="F428" t="inlineStr">
        <is>
          <t>23/05/2026</t>
        </is>
      </c>
    </row>
    <row r="429">
      <c r="A429" t="inlineStr">
        <is>
          <t>BUG-426</t>
        </is>
      </c>
      <c r="B429" t="inlineStr">
        <is>
          <t>TC-413</t>
        </is>
      </c>
      <c r="C429" t="inlineStr">
        <is>
          <t>Test fail: TC-413: Transition INVESTIGATING → DETAINED (bắt tạm giam) @P0 @STATE @High</t>
        </is>
      </c>
      <c r="D429" t="inlineStr">
        <is>
          <t>High</t>
        </is>
      </c>
      <c r="E429" t="inlineStr">
        <is>
          <t>Open</t>
        </is>
      </c>
      <c r="F429" t="inlineStr">
        <is>
          <t>23/05/2026</t>
        </is>
      </c>
    </row>
    <row r="430">
      <c r="A430" t="inlineStr">
        <is>
          <t>BUG-427</t>
        </is>
      </c>
      <c r="B430" t="inlineStr">
        <is>
          <t>TC-414</t>
        </is>
      </c>
      <c r="C430" t="inlineStr">
        <is>
          <t>Test fail: TC-414: Transition DETAINED → RELEASED (thả) @P0 @STATE @High</t>
        </is>
      </c>
      <c r="D430" t="inlineStr">
        <is>
          <t>High</t>
        </is>
      </c>
      <c r="E430" t="inlineStr">
        <is>
          <t>Open</t>
        </is>
      </c>
      <c r="F430" t="inlineStr">
        <is>
          <t>23/05/2026</t>
        </is>
      </c>
    </row>
    <row r="431">
      <c r="A431" t="inlineStr">
        <is>
          <t>BUG-428</t>
        </is>
      </c>
      <c r="B431" t="inlineStr">
        <is>
          <t>TC-415</t>
        </is>
      </c>
      <c r="C431" t="inlineStr">
        <is>
          <t>Test fail: TC-415: Transition INVESTIGATING → WANTED (chuyển truy nã) @P0 @STATE @High</t>
        </is>
      </c>
      <c r="D431" t="inlineStr">
        <is>
          <t>High</t>
        </is>
      </c>
      <c r="E431" t="inlineStr">
        <is>
          <t>Open</t>
        </is>
      </c>
      <c r="F431" t="inlineStr">
        <is>
          <t>23/05/2026</t>
        </is>
      </c>
    </row>
    <row r="432">
      <c r="A432" t="inlineStr">
        <is>
          <t>BUG-429</t>
        </is>
      </c>
      <c r="B432" t="inlineStr">
        <is>
          <t>TC-416</t>
        </is>
      </c>
      <c r="C432" t="inlineStr">
        <is>
          <t>Test fail: TC-416: Transition WANTED → DETAINED (bắt được rồi) @P1 @STATE @Medium</t>
        </is>
      </c>
      <c r="D432" t="inlineStr">
        <is>
          <t>Medium</t>
        </is>
      </c>
      <c r="E432" t="inlineStr">
        <is>
          <t>Open</t>
        </is>
      </c>
      <c r="F432" t="inlineStr">
        <is>
          <t>23/05/2026</t>
        </is>
      </c>
    </row>
    <row r="433">
      <c r="A433" t="inlineStr">
        <is>
          <t>BUG-430</t>
        </is>
      </c>
      <c r="B433" t="inlineStr">
        <is>
          <t>TC-417</t>
        </is>
      </c>
      <c r="C433" t="inlineStr">
        <is>
          <t>Test fail: TC-417: Form Subject input có label gắn id @P1 @A11Y @Medium</t>
        </is>
      </c>
      <c r="D433" t="inlineStr">
        <is>
          <t>Medium</t>
        </is>
      </c>
      <c r="E433" t="inlineStr">
        <is>
          <t>Open</t>
        </is>
      </c>
      <c r="F433" t="inlineStr">
        <is>
          <t>23/05/2026</t>
        </is>
      </c>
    </row>
    <row r="434">
      <c r="A434" t="inlineStr">
        <is>
          <t>BUG-431</t>
        </is>
      </c>
      <c r="B434" t="inlineStr">
        <is>
          <t>TC-418</t>
        </is>
      </c>
      <c r="C434" t="inlineStr">
        <is>
          <t>Test fail: TC-418: Date picker dateOfBirth keyboard accessible @P1 @A11Y @Medium</t>
        </is>
      </c>
      <c r="D434" t="inlineStr">
        <is>
          <t>Medium</t>
        </is>
      </c>
      <c r="E434" t="inlineStr">
        <is>
          <t>Open</t>
        </is>
      </c>
      <c r="F434" t="inlineStr">
        <is>
          <t>23/05/2026</t>
        </is>
      </c>
    </row>
    <row r="435">
      <c r="A435" t="inlineStr">
        <is>
          <t>BUG-432</t>
        </is>
      </c>
      <c r="B435" t="inlineStr">
        <is>
          <t>TC-419</t>
        </is>
      </c>
      <c r="C435" t="inlineStr">
        <is>
          <t>Test fail: TC-419: GET /subjects?caseId=X với Case có 50 subjects &lt; 500ms @P1 @PERFORMANCE @Medium</t>
        </is>
      </c>
      <c r="D435" t="inlineStr">
        <is>
          <t>Medium</t>
        </is>
      </c>
      <c r="E435" t="inlineStr">
        <is>
          <t>Open</t>
        </is>
      </c>
      <c r="F435" t="inlineStr">
        <is>
          <t>23/05/2026</t>
        </is>
      </c>
    </row>
    <row r="436">
      <c r="A436" t="inlineStr">
        <is>
          <t>BUG-433</t>
        </is>
      </c>
      <c r="B436" t="inlineStr">
        <is>
          <t>TC-420</t>
        </is>
      </c>
      <c r="C436" t="inlineStr">
        <is>
          <t>Test fail: TC-420: Duplicate idNumber + caseId + type (constraint unique per type per case) @P0 @RED @High</t>
        </is>
      </c>
      <c r="D436" t="inlineStr">
        <is>
          <t>High</t>
        </is>
      </c>
      <c r="E436" t="inlineStr">
        <is>
          <t>Open</t>
        </is>
      </c>
      <c r="F436" t="inlineStr">
        <is>
          <t>23/05/2026</t>
        </is>
      </c>
    </row>
    <row r="437">
      <c r="A437" t="inlineStr">
        <is>
          <t>BUG-434</t>
        </is>
      </c>
      <c r="B437" t="inlineStr">
        <is>
          <t>TC-421</t>
        </is>
      </c>
      <c r="C437" t="inlineStr">
        <is>
          <t>Test fail: TC-421: Cùng idNumber khác type (SUSPECT vs VICTIM) trong cùng Case OK @P1 @GREEN @Medium</t>
        </is>
      </c>
      <c r="D437" t="inlineStr">
        <is>
          <t>Medium</t>
        </is>
      </c>
      <c r="E437" t="inlineStr">
        <is>
          <t>Open</t>
        </is>
      </c>
      <c r="F437" t="inlineStr">
        <is>
          <t>23/05/2026</t>
        </is>
      </c>
    </row>
    <row r="438">
      <c r="A438" t="inlineStr">
        <is>
          <t>BUG-435</t>
        </is>
      </c>
      <c r="B438" t="inlineStr">
        <is>
          <t>TC-422</t>
        </is>
      </c>
      <c r="C438" t="inlineStr">
        <is>
          <t>Test fail: TC-422: DELETE Subject ghi audit với name + reason @P0 @AUDIT @High</t>
        </is>
      </c>
      <c r="D438" t="inlineStr">
        <is>
          <t>High</t>
        </is>
      </c>
      <c r="E438" t="inlineStr">
        <is>
          <t>Open</t>
        </is>
      </c>
      <c r="F438" t="inlineStr">
        <is>
          <t>23/05/2026</t>
        </is>
      </c>
    </row>
    <row r="439">
      <c r="A439" t="inlineStr">
        <is>
          <t>BUG-436</t>
        </is>
      </c>
      <c r="B439" t="inlineStr">
        <is>
          <t>TC-423</t>
        </is>
      </c>
      <c r="C439" t="inlineStr">
        <is>
          <t>Test fail: TC-423: PUT thay đổi caseId (chuyển vụ án) → có cho phép? @P1 @RED @Medium</t>
        </is>
      </c>
      <c r="D439" t="inlineStr">
        <is>
          <t>Medium</t>
        </is>
      </c>
      <c r="E439" t="inlineStr">
        <is>
          <t>Open</t>
        </is>
      </c>
      <c r="F439" t="inlineStr">
        <is>
          <t>23/05/2026</t>
        </is>
      </c>
    </row>
    <row r="440">
      <c r="A440" t="inlineStr">
        <is>
          <t>BUG-437</t>
        </is>
      </c>
      <c r="B440" t="inlineStr">
        <is>
          <t>TC-424</t>
        </is>
      </c>
      <c r="C440" t="inlineStr">
        <is>
          <t>Test fail: TC-424: occupationId không tồn tại directory → 400 @P1 @RED @Medium</t>
        </is>
      </c>
      <c r="D440" t="inlineStr">
        <is>
          <t>Medium</t>
        </is>
      </c>
      <c r="E440" t="inlineStr">
        <is>
          <t>Open</t>
        </is>
      </c>
      <c r="F440" t="inlineStr">
        <is>
          <t>23/05/2026</t>
        </is>
      </c>
    </row>
    <row r="441">
      <c r="A441" t="inlineStr">
        <is>
          <t>BUG-438</t>
        </is>
      </c>
      <c r="B441" t="inlineStr">
        <is>
          <t>TC-425</t>
        </is>
      </c>
      <c r="C441" t="inlineStr">
        <is>
          <t>Test fail: TC-425: nationalityId không tồn tại → 400 @P1 @RED @Medium</t>
        </is>
      </c>
      <c r="D441" t="inlineStr">
        <is>
          <t>Medium</t>
        </is>
      </c>
      <c r="E441" t="inlineStr">
        <is>
          <t>Open</t>
        </is>
      </c>
      <c r="F441" t="inlineStr">
        <is>
          <t>23/05/2026</t>
        </is>
      </c>
    </row>
    <row r="442">
      <c r="A442" t="inlineStr">
        <is>
          <t>BUG-439</t>
        </is>
      </c>
      <c r="B442" t="inlineStr">
        <is>
          <t>TC-426</t>
        </is>
      </c>
      <c r="C442" t="inlineStr">
        <is>
          <t>Test fail: TC-426: wardId không tồn tại → 400 @P1 @RED @Medium</t>
        </is>
      </c>
      <c r="D442" t="inlineStr">
        <is>
          <t>Medium</t>
        </is>
      </c>
      <c r="E442" t="inlineStr">
        <is>
          <t>Open</t>
        </is>
      </c>
      <c r="F442" t="inlineStr">
        <is>
          <t>23/05/2026</t>
        </is>
      </c>
    </row>
    <row r="443">
      <c r="A443" t="inlineStr">
        <is>
          <t>BUG-440</t>
        </is>
      </c>
      <c r="B443" t="inlineStr">
        <is>
          <t>TC-427</t>
        </is>
      </c>
      <c r="C443" t="inlineStr">
        <is>
          <t>Test fail: TC-427: districtName denormalized preserve sau cải cách hành chính @P1 @GREEN @Medium</t>
        </is>
      </c>
      <c r="D443" t="inlineStr">
        <is>
          <t>Medium</t>
        </is>
      </c>
      <c r="E443" t="inlineStr">
        <is>
          <t>Open</t>
        </is>
      </c>
      <c r="F443" t="inlineStr">
        <is>
          <t>23/05/2026</t>
        </is>
      </c>
    </row>
    <row r="444">
      <c r="A444" t="inlineStr">
        <is>
          <t>BUG-441</t>
        </is>
      </c>
      <c r="B444" t="inlineStr">
        <is>
          <t>TC-428</t>
        </is>
      </c>
      <c r="C444" t="inlineStr">
        <is>
          <t>Test fail: TC-428: Subject Filter by status=DETAINED @P1 @GREEN @Medium</t>
        </is>
      </c>
      <c r="D444" t="inlineStr">
        <is>
          <t>Medium</t>
        </is>
      </c>
      <c r="E444" t="inlineStr">
        <is>
          <t>Open</t>
        </is>
      </c>
      <c r="F444" t="inlineStr">
        <is>
          <t>23/05/2026</t>
        </is>
      </c>
    </row>
    <row r="445">
      <c r="A445" t="inlineStr">
        <is>
          <t>BUG-442</t>
        </is>
      </c>
      <c r="B445" t="inlineStr">
        <is>
          <t>TC-429</t>
        </is>
      </c>
      <c r="C445" t="inlineStr">
        <is>
          <t>Test fail: TC-429: Subject Filter by type=SUSPECT @P1 @GREEN @Medium</t>
        </is>
      </c>
      <c r="D445" t="inlineStr">
        <is>
          <t>Medium</t>
        </is>
      </c>
      <c r="E445" t="inlineStr">
        <is>
          <t>Open</t>
        </is>
      </c>
      <c r="F445" t="inlineStr">
        <is>
          <t>23/05/2026</t>
        </is>
      </c>
    </row>
    <row r="446">
      <c r="A446" t="inlineStr">
        <is>
          <t>BUG-443</t>
        </is>
      </c>
      <c r="B446" t="inlineStr">
        <is>
          <t>TC-432</t>
        </is>
      </c>
      <c r="C446" t="inlineStr">
        <is>
          <t>Test fail: TC-432: fullName 1 ký tự 'A' @P1 @BOUNDARY @Low</t>
        </is>
      </c>
      <c r="D446" t="inlineStr">
        <is>
          <t>Low</t>
        </is>
      </c>
      <c r="E446" t="inlineStr">
        <is>
          <t>Open</t>
        </is>
      </c>
      <c r="F446" t="inlineStr">
        <is>
          <t>23/05/2026</t>
        </is>
      </c>
    </row>
    <row r="447">
      <c r="A447" t="inlineStr">
        <is>
          <t>BUG-444</t>
        </is>
      </c>
      <c r="B447" t="inlineStr">
        <is>
          <t>TC-433</t>
        </is>
      </c>
      <c r="C447" t="inlineStr">
        <is>
          <t>Test fail: TC-433: fullName 1000 ký tự (no max) @P1 @BOUNDARY @Low</t>
        </is>
      </c>
      <c r="D447" t="inlineStr">
        <is>
          <t>Low</t>
        </is>
      </c>
      <c r="E447" t="inlineStr">
        <is>
          <t>Open</t>
        </is>
      </c>
      <c r="F447" t="inlineStr">
        <is>
          <t>23/05/2026</t>
        </is>
      </c>
    </row>
    <row r="448">
      <c r="A448" t="inlineStr">
        <is>
          <t>BUG-445</t>
        </is>
      </c>
      <c r="B448" t="inlineStr">
        <is>
          <t>TC-434</t>
        </is>
      </c>
      <c r="C448" t="inlineStr">
        <is>
          <t>Test fail: TC-434: phone number format VN '0901234567' @P1 @DATA @Medium</t>
        </is>
      </c>
      <c r="D448" t="inlineStr">
        <is>
          <t>Medium</t>
        </is>
      </c>
      <c r="E448" t="inlineStr">
        <is>
          <t>Open</t>
        </is>
      </c>
      <c r="F448" t="inlineStr">
        <is>
          <t>23/05/2026</t>
        </is>
      </c>
    </row>
    <row r="449">
      <c r="A449" t="inlineStr">
        <is>
          <t>BUG-446</t>
        </is>
      </c>
      <c r="B449" t="inlineStr">
        <is>
          <t>TC-435</t>
        </is>
      </c>
      <c r="C449" t="inlineStr">
        <is>
          <t>Test fail: TC-435: phone với ký tự đặc biệt '+84 901 234 567' @P1 @DATA @Low</t>
        </is>
      </c>
      <c r="D449" t="inlineStr">
        <is>
          <t>Low</t>
        </is>
      </c>
      <c r="E449" t="inlineStr">
        <is>
          <t>Open</t>
        </is>
      </c>
      <c r="F449" t="inlineStr">
        <is>
          <t>23/05/2026</t>
        </is>
      </c>
    </row>
    <row r="450">
      <c r="A450" t="inlineStr">
        <is>
          <t>BUG-447</t>
        </is>
      </c>
      <c r="B450" t="inlineStr">
        <is>
          <t>TC-436</t>
        </is>
      </c>
      <c r="C450" t="inlineStr">
        <is>
          <t>Test fail: TC-436: Subject + Lawyer assign: thêm Lawyer cho 1 Subject cụ thể @P1 @INTEGRATION @Medium</t>
        </is>
      </c>
      <c r="D450" t="inlineStr">
        <is>
          <t>Medium</t>
        </is>
      </c>
      <c r="E450" t="inlineStr">
        <is>
          <t>Open</t>
        </is>
      </c>
      <c r="F450" t="inlineStr">
        <is>
          <t>23/05/2026</t>
        </is>
      </c>
    </row>
    <row r="451">
      <c r="A451" t="inlineStr">
        <is>
          <t>BUG-448</t>
        </is>
      </c>
      <c r="B451" t="inlineStr">
        <is>
          <t>TC-437</t>
        </is>
      </c>
      <c r="C451" t="inlineStr">
        <is>
          <t>Test fail: TC-437: Delete Subject có Lawyer link — Lawyer.subjectId=NULL (SetNull) @P1 @INTEGRATION @High</t>
        </is>
      </c>
      <c r="D451" t="inlineStr">
        <is>
          <t>High</t>
        </is>
      </c>
      <c r="E451" t="inlineStr">
        <is>
          <t>Open</t>
        </is>
      </c>
      <c r="F451" t="inlineStr">
        <is>
          <t>23/05/2026</t>
        </is>
      </c>
    </row>
    <row r="452">
      <c r="A452" t="inlineStr">
        <is>
          <t>BUG-449</t>
        </is>
      </c>
      <c r="B452" t="inlineStr">
        <is>
          <t>TC-438</t>
        </is>
      </c>
      <c r="C452" t="inlineStr">
        <is>
          <t>Test fail: TC-438: Atomic Subject create rollback nếu audit fail @P1 @RECOVERY @High</t>
        </is>
      </c>
      <c r="D452" t="inlineStr">
        <is>
          <t>High</t>
        </is>
      </c>
      <c r="E452" t="inlineStr">
        <is>
          <t>Open</t>
        </is>
      </c>
      <c r="F452" t="inlineStr">
        <is>
          <t>23/05/2026</t>
        </is>
      </c>
    </row>
    <row r="453">
      <c r="A453" t="inlineStr">
        <is>
          <t>BUG-450</t>
        </is>
      </c>
      <c r="B453" t="inlineStr">
        <is>
          <t>TC-439</t>
        </is>
      </c>
      <c r="C453" t="inlineStr">
        <is>
          <t>Test fail: TC-439: SUBJECT_CREATED log có caseId trong metadata @P0 @AUDIT @High</t>
        </is>
      </c>
      <c r="D453" t="inlineStr">
        <is>
          <t>High</t>
        </is>
      </c>
      <c r="E453" t="inlineStr">
        <is>
          <t>Open</t>
        </is>
      </c>
      <c r="F453" t="inlineStr">
        <is>
          <t>23/05/2026</t>
        </is>
      </c>
    </row>
    <row r="454">
      <c r="A454" t="inlineStr">
        <is>
          <t>BUG-451</t>
        </is>
      </c>
      <c r="B454" t="inlineStr">
        <is>
          <t>TC-652</t>
        </is>
      </c>
      <c r="C454" t="inlineStr">
        <is>
          <t>Test fail: TC-652: Tạo Supplement caseId + decisionNumber + reason + deadline @P0 @GREEN @High</t>
        </is>
      </c>
      <c r="D454" t="inlineStr">
        <is>
          <t>High</t>
        </is>
      </c>
      <c r="E454" t="inlineStr">
        <is>
          <t>Open</t>
        </is>
      </c>
      <c r="F454" t="inlineStr">
        <is>
          <t>23/05/2026</t>
        </is>
      </c>
    </row>
    <row r="455">
      <c r="A455" t="inlineStr">
        <is>
          <t>BUG-452</t>
        </is>
      </c>
      <c r="B455" t="inlineStr">
        <is>
          <t>TC-653</t>
        </is>
      </c>
      <c r="C455" t="inlineStr">
        <is>
          <t>Test fail: TC-653: caseId rỗng → 400 @P0 @RED @High</t>
        </is>
      </c>
      <c r="D455" t="inlineStr">
        <is>
          <t>High</t>
        </is>
      </c>
      <c r="E455" t="inlineStr">
        <is>
          <t>Open</t>
        </is>
      </c>
      <c r="F455" t="inlineStr">
        <is>
          <t>23/05/2026</t>
        </is>
      </c>
    </row>
    <row r="456">
      <c r="A456" t="inlineStr">
        <is>
          <t>BUG-453</t>
        </is>
      </c>
      <c r="B456" t="inlineStr">
        <is>
          <t>TC-654</t>
        </is>
      </c>
      <c r="C456" t="inlineStr">
        <is>
          <t>Test fail: TC-654: type rỗng → 400 @P0 @RED @High</t>
        </is>
      </c>
      <c r="D456" t="inlineStr">
        <is>
          <t>High</t>
        </is>
      </c>
      <c r="E456" t="inlineStr">
        <is>
          <t>Open</t>
        </is>
      </c>
      <c r="F456" t="inlineStr">
        <is>
          <t>23/05/2026</t>
        </is>
      </c>
    </row>
    <row r="457">
      <c r="A457" t="inlineStr">
        <is>
          <t>BUG-454</t>
        </is>
      </c>
      <c r="B457" t="inlineStr">
        <is>
          <t>TC-655</t>
        </is>
      </c>
      <c r="C457" t="inlineStr">
        <is>
          <t>Test fail: TC-655: decisionNumber rỗng → 400 @P0 @RED @High</t>
        </is>
      </c>
      <c r="D457" t="inlineStr">
        <is>
          <t>High</t>
        </is>
      </c>
      <c r="E457" t="inlineStr">
        <is>
          <t>Open</t>
        </is>
      </c>
      <c r="F457" t="inlineStr">
        <is>
          <t>23/05/2026</t>
        </is>
      </c>
    </row>
    <row r="458">
      <c r="A458" t="inlineStr">
        <is>
          <t>BUG-455</t>
        </is>
      </c>
      <c r="B458" t="inlineStr">
        <is>
          <t>TC-656</t>
        </is>
      </c>
      <c r="C458" t="inlineStr">
        <is>
          <t>Test fail: TC-656: reason rỗng → 400 @P0 @RED @High</t>
        </is>
      </c>
      <c r="D458" t="inlineStr">
        <is>
          <t>High</t>
        </is>
      </c>
      <c r="E458" t="inlineStr">
        <is>
          <t>Open</t>
        </is>
      </c>
      <c r="F458" t="inlineStr">
        <is>
          <t>23/05/2026</t>
        </is>
      </c>
    </row>
    <row r="459">
      <c r="A459" t="inlineStr">
        <is>
          <t>BUG-456</t>
        </is>
      </c>
      <c r="B459" t="inlineStr">
        <is>
          <t>TC-657</t>
        </is>
      </c>
      <c r="C459" t="inlineStr">
        <is>
          <t>Test fail: TC-657: decisionDate sai ISO → 400 @P1 @RED @Medium</t>
        </is>
      </c>
      <c r="D459" t="inlineStr">
        <is>
          <t>Medium</t>
        </is>
      </c>
      <c r="E459" t="inlineStr">
        <is>
          <t>Open</t>
        </is>
      </c>
      <c r="F459" t="inlineStr">
        <is>
          <t>23/05/2026</t>
        </is>
      </c>
    </row>
    <row r="460">
      <c r="A460" t="inlineStr">
        <is>
          <t>BUG-457</t>
        </is>
      </c>
      <c r="B460" t="inlineStr">
        <is>
          <t>TC-658</t>
        </is>
      </c>
      <c r="C460" t="inlineStr">
        <is>
          <t>Test fail: TC-658: deadline sai ISO → 400 @P1 @RED @Medium</t>
        </is>
      </c>
      <c r="D460" t="inlineStr">
        <is>
          <t>Medium</t>
        </is>
      </c>
      <c r="E460" t="inlineStr">
        <is>
          <t>Open</t>
        </is>
      </c>
      <c r="F460" t="inlineStr">
        <is>
          <t>23/05/2026</t>
        </is>
      </c>
    </row>
    <row r="461">
      <c r="A461" t="inlineStr">
        <is>
          <t>BUG-458</t>
        </is>
      </c>
      <c r="B461" t="inlineStr">
        <is>
          <t>TC-659</t>
        </is>
      </c>
      <c r="C461" t="inlineStr">
        <is>
          <t>Test fail: TC-659: deadline &lt; decisionDate (deadline trước quyết định) @P1 @RED @Medium</t>
        </is>
      </c>
      <c r="D461" t="inlineStr">
        <is>
          <t>Medium</t>
        </is>
      </c>
      <c r="E461" t="inlineStr">
        <is>
          <t>Open</t>
        </is>
      </c>
      <c r="F461" t="inlineStr">
        <is>
          <t>23/05/2026</t>
        </is>
      </c>
    </row>
    <row r="462">
      <c r="A462" t="inlineStr">
        <is>
          <t>BUG-459</t>
        </is>
      </c>
      <c r="B462" t="inlineStr">
        <is>
          <t>TC-660</t>
        </is>
      </c>
      <c r="C462" t="inlineStr">
        <is>
          <t>Test fail: TC-660: GET list paginated @P0 @GREEN @High</t>
        </is>
      </c>
      <c r="D462" t="inlineStr">
        <is>
          <t>High</t>
        </is>
      </c>
      <c r="E462" t="inlineStr">
        <is>
          <t>Open</t>
        </is>
      </c>
      <c r="F462" t="inlineStr">
        <is>
          <t>23/05/2026</t>
        </is>
      </c>
    </row>
    <row r="463">
      <c r="A463" t="inlineStr">
        <is>
          <t>BUG-460</t>
        </is>
      </c>
      <c r="B463" t="inlineStr">
        <is>
          <t>TC-661</t>
        </is>
      </c>
      <c r="C463" t="inlineStr">
        <is>
          <t>Test fail: TC-661: GET detail @P0 @GREEN @High</t>
        </is>
      </c>
      <c r="D463" t="inlineStr">
        <is>
          <t>High</t>
        </is>
      </c>
      <c r="E463" t="inlineStr">
        <is>
          <t>Open</t>
        </is>
      </c>
      <c r="F463" t="inlineStr">
        <is>
          <t>23/05/2026</t>
        </is>
      </c>
    </row>
    <row r="464">
      <c r="A464" t="inlineStr">
        <is>
          <t>BUG-461</t>
        </is>
      </c>
      <c r="B464" t="inlineStr">
        <is>
          <t>TC-662</t>
        </is>
      </c>
      <c r="C464" t="inlineStr">
        <is>
          <t>Test fail: TC-662: GET ngoài scope → 403 @P0 @RED @Critical</t>
        </is>
      </c>
      <c r="D464" t="inlineStr">
        <is>
          <t>Critical</t>
        </is>
      </c>
      <c r="E464" t="inlineStr">
        <is>
          <t>Open</t>
        </is>
      </c>
      <c r="F464" t="inlineStr">
        <is>
          <t>23/05/2026</t>
        </is>
      </c>
    </row>
    <row r="465">
      <c r="A465" t="inlineStr">
        <is>
          <t>BUG-462</t>
        </is>
      </c>
      <c r="B465" t="inlineStr">
        <is>
          <t>TC-663</t>
        </is>
      </c>
      <c r="C465" t="inlineStr">
        <is>
          <t>Test fail: TC-663: GET NOT_EXIST → 404 @P0 @RED @High</t>
        </is>
      </c>
      <c r="D465" t="inlineStr">
        <is>
          <t>High</t>
        </is>
      </c>
      <c r="E465" t="inlineStr">
        <is>
          <t>Open</t>
        </is>
      </c>
      <c r="F465" t="inlineStr">
        <is>
          <t>23/05/2026</t>
        </is>
      </c>
    </row>
    <row r="466">
      <c r="A466" t="inlineStr">
        <is>
          <t>BUG-463</t>
        </is>
      </c>
      <c r="B466" t="inlineStr">
        <is>
          <t>TC-664</t>
        </is>
      </c>
      <c r="C466" t="inlineStr">
        <is>
          <t>Test fail: TC-664: PUT update reason @P0 @GREEN @High</t>
        </is>
      </c>
      <c r="D466" t="inlineStr">
        <is>
          <t>High</t>
        </is>
      </c>
      <c r="E466" t="inlineStr">
        <is>
          <t>Open</t>
        </is>
      </c>
      <c r="F466" t="inlineStr">
        <is>
          <t>23/05/2026</t>
        </is>
      </c>
    </row>
    <row r="467">
      <c r="A467" t="inlineStr">
        <is>
          <t>BUG-464</t>
        </is>
      </c>
      <c r="B467" t="inlineStr">
        <is>
          <t>TC-665</t>
        </is>
      </c>
      <c r="C467" t="inlineStr">
        <is>
          <t>Test fail: TC-665: DELETE soft delete @P0 @GREEN @High</t>
        </is>
      </c>
      <c r="D467" t="inlineStr">
        <is>
          <t>High</t>
        </is>
      </c>
      <c r="E467" t="inlineStr">
        <is>
          <t>Open</t>
        </is>
      </c>
      <c r="F467" t="inlineStr">
        <is>
          <t>23/05/2026</t>
        </is>
      </c>
    </row>
    <row r="468">
      <c r="A468" t="inlineStr">
        <is>
          <t>BUG-465</t>
        </is>
      </c>
      <c r="B468" t="inlineStr">
        <is>
          <t>TC-666</t>
        </is>
      </c>
      <c r="C468" t="inlineStr">
        <is>
          <t>Test fail: TC-666: Tạo supplement → Case.soLanGiaHan auto-increment @P0 @INTEGRATION @High</t>
        </is>
      </c>
      <c r="D468" t="inlineStr">
        <is>
          <t>High</t>
        </is>
      </c>
      <c r="E468" t="inlineStr">
        <is>
          <t>Open</t>
        </is>
      </c>
      <c r="F468" t="inlineStr">
        <is>
          <t>23/05/2026</t>
        </is>
      </c>
    </row>
    <row r="469">
      <c r="A469" t="inlineStr">
        <is>
          <t>BUG-466</t>
        </is>
      </c>
      <c r="B469" t="inlineStr">
        <is>
          <t>TC-667</t>
        </is>
      </c>
      <c r="C469" t="inlineStr">
        <is>
          <t>Test fail: TC-667: Tạo supplement với deadline mới → Case.deadline update @P0 @INTEGRATION @High</t>
        </is>
      </c>
      <c r="D469" t="inlineStr">
        <is>
          <t>High</t>
        </is>
      </c>
      <c r="E469" t="inlineStr">
        <is>
          <t>Open</t>
        </is>
      </c>
      <c r="F469" t="inlineStr">
        <is>
          <t>23/05/2026</t>
        </is>
      </c>
    </row>
    <row r="470">
      <c r="A470" t="inlineStr">
        <is>
          <t>BUG-467</t>
        </is>
      </c>
      <c r="B470" t="inlineStr">
        <is>
          <t>TC-668</t>
        </is>
      </c>
      <c r="C470" t="inlineStr">
        <is>
          <t>Test fail: TC-668: IDOR caseId team khác → 403 @P0 @SECURITY @Critical</t>
        </is>
      </c>
      <c r="D470" t="inlineStr">
        <is>
          <t>Critical</t>
        </is>
      </c>
      <c r="E470" t="inlineStr">
        <is>
          <t>Open</t>
        </is>
      </c>
      <c r="F470" t="inlineStr">
        <is>
          <t>23/05/2026</t>
        </is>
      </c>
    </row>
    <row r="471">
      <c r="A471" t="inlineStr">
        <is>
          <t>BUG-468</t>
        </is>
      </c>
      <c r="B471" t="inlineStr">
        <is>
          <t>TC-669</t>
        </is>
      </c>
      <c r="C471" t="inlineStr">
        <is>
          <t>Test fail: TC-669: XSS reason @P0 @SECURITY @High</t>
        </is>
      </c>
      <c r="D471" t="inlineStr">
        <is>
          <t>High</t>
        </is>
      </c>
      <c r="E471" t="inlineStr">
        <is>
          <t>Open</t>
        </is>
      </c>
      <c r="F471" t="inlineStr">
        <is>
          <t>23/05/2026</t>
        </is>
      </c>
    </row>
    <row r="472">
      <c r="A472" t="inlineStr">
        <is>
          <t>BUG-469</t>
        </is>
      </c>
      <c r="B472" t="inlineStr">
        <is>
          <t>TC-670</t>
        </is>
      </c>
      <c r="C472" t="inlineStr">
        <is>
          <t>Test fail: TC-670: reason tiếng Việt long text @P1 @DATA @Low</t>
        </is>
      </c>
      <c r="D472" t="inlineStr">
        <is>
          <t>Low</t>
        </is>
      </c>
      <c r="E472" t="inlineStr">
        <is>
          <t>Open</t>
        </is>
      </c>
      <c r="F472" t="inlineStr">
        <is>
          <t>23/05/2026</t>
        </is>
      </c>
    </row>
    <row r="473">
      <c r="A473" t="inlineStr">
        <is>
          <t>BUG-470</t>
        </is>
      </c>
      <c r="B473" t="inlineStr">
        <is>
          <t>TC-671</t>
        </is>
      </c>
      <c r="C473" t="inlineStr">
        <is>
          <t>Test fail: TC-671: decisionNumber format 'XYZ-2026-001' @P1 @DATA @Low</t>
        </is>
      </c>
      <c r="D473" t="inlineStr">
        <is>
          <t>Low</t>
        </is>
      </c>
      <c r="E473" t="inlineStr">
        <is>
          <t>Open</t>
        </is>
      </c>
      <c r="F473" t="inlineStr">
        <is>
          <t>23/05/2026</t>
        </is>
      </c>
    </row>
    <row r="474">
      <c r="A474" t="inlineStr">
        <is>
          <t>BUG-471</t>
        </is>
      </c>
      <c r="B474" t="inlineStr">
        <is>
          <t>TC-672</t>
        </is>
      </c>
      <c r="C474" t="inlineStr">
        <is>
          <t>Test fail: TC-672: SUPPLEMENT_CREATED log @P0 @AUDIT @High</t>
        </is>
      </c>
      <c r="D474" t="inlineStr">
        <is>
          <t>High</t>
        </is>
      </c>
      <c r="E474" t="inlineStr">
        <is>
          <t>Open</t>
        </is>
      </c>
      <c r="F474" t="inlineStr">
        <is>
          <t>23/05/2026</t>
        </is>
      </c>
    </row>
    <row r="475">
      <c r="A475" t="inlineStr">
        <is>
          <t>BUG-472</t>
        </is>
      </c>
      <c r="B475" t="inlineStr">
        <is>
          <t>TC-673</t>
        </is>
      </c>
      <c r="C475" t="inlineStr">
        <is>
          <t>Test fail: TC-673: decisionNumber 1 ký tự @P1 @BOUNDARY @Low</t>
        </is>
      </c>
      <c r="D475" t="inlineStr">
        <is>
          <t>Low</t>
        </is>
      </c>
      <c r="E475" t="inlineStr">
        <is>
          <t>Open</t>
        </is>
      </c>
      <c r="F475" t="inlineStr">
        <is>
          <t>23/05/2026</t>
        </is>
      </c>
    </row>
    <row r="476">
      <c r="A476" t="inlineStr">
        <is>
          <t>BUG-473</t>
        </is>
      </c>
      <c r="B476" t="inlineStr">
        <is>
          <t>TC-674</t>
        </is>
      </c>
      <c r="C476" t="inlineStr">
        <is>
          <t>Test fail: TC-674: reason 50K ký tự @P1 @BOUNDARY @Low</t>
        </is>
      </c>
      <c r="D476" t="inlineStr">
        <is>
          <t>Low</t>
        </is>
      </c>
      <c r="E476" t="inlineStr">
        <is>
          <t>Open</t>
        </is>
      </c>
      <c r="F476" t="inlineStr">
        <is>
          <t>23/05/2026</t>
        </is>
      </c>
    </row>
    <row r="477">
      <c r="A477" t="inlineStr">
        <is>
          <t>BUG-474</t>
        </is>
      </c>
      <c r="B477" t="inlineStr">
        <is>
          <t>TC-675</t>
        </is>
      </c>
      <c r="C477" t="inlineStr">
        <is>
          <t>Test fail: TC-675: List &lt; 500ms @P1 @PERFORMANCE @Medium</t>
        </is>
      </c>
      <c r="D477" t="inlineStr">
        <is>
          <t>Medium</t>
        </is>
      </c>
      <c r="E477" t="inlineStr">
        <is>
          <t>Open</t>
        </is>
      </c>
      <c r="F477" t="inlineStr">
        <is>
          <t>23/05/2026</t>
        </is>
      </c>
    </row>
    <row r="478">
      <c r="A478" t="inlineStr">
        <is>
          <t>BUG-475</t>
        </is>
      </c>
      <c r="B478" t="inlineStr">
        <is>
          <t>TC-680</t>
        </is>
      </c>
      <c r="C478" t="inlineStr">
        <is>
          <t>Test fail: TC-680: Filter by caseId @P1 @GREEN @Medium</t>
        </is>
      </c>
      <c r="D478" t="inlineStr">
        <is>
          <t>Medium</t>
        </is>
      </c>
      <c r="E478" t="inlineStr">
        <is>
          <t>Open</t>
        </is>
      </c>
      <c r="F478" t="inlineStr">
        <is>
          <t>23/05/2026</t>
        </is>
      </c>
    </row>
    <row r="479">
      <c r="A479" t="inlineStr">
        <is>
          <t>BUG-476</t>
        </is>
      </c>
      <c r="B479" t="inlineStr">
        <is>
          <t>TC-681</t>
        </is>
      </c>
      <c r="C479" t="inlineStr">
        <is>
          <t>Test fail: TC-681: Filter by type @P1 @GREEN @Medium</t>
        </is>
      </c>
      <c r="D479" t="inlineStr">
        <is>
          <t>Medium</t>
        </is>
      </c>
      <c r="E479" t="inlineStr">
        <is>
          <t>Open</t>
        </is>
      </c>
      <c r="F479" t="inlineStr">
        <is>
          <t>23/05/2026</t>
        </is>
      </c>
    </row>
    <row r="480">
      <c r="A480" t="inlineStr">
        <is>
          <t>BUG-477</t>
        </is>
      </c>
      <c r="B480" t="inlineStr">
        <is>
          <t>TC-203</t>
        </is>
      </c>
      <c r="C480" t="inlineStr">
        <is>
          <t>Test fail: TC-203: PATCH /cases/:id/tdc-backfill update lyDoTamDinhChiVuAn @P0 @GREEN @High</t>
        </is>
      </c>
      <c r="D480" t="inlineStr">
        <is>
          <t>High</t>
        </is>
      </c>
      <c r="E480" t="inlineStr">
        <is>
          <t>Open</t>
        </is>
      </c>
      <c r="F480" t="inlineStr">
        <is>
          <t>23/05/2026</t>
        </is>
      </c>
    </row>
    <row r="481">
      <c r="A481" t="inlineStr">
        <is>
          <t>BUG-478</t>
        </is>
      </c>
      <c r="B481" t="inlineStr">
        <is>
          <t>TC-204</t>
        </is>
      </c>
      <c r="C481" t="inlineStr">
        <is>
          <t>Test fail: TC-204: PATCH với Case không tồn tại → 404 'Case not found' @P0 @RED @High</t>
        </is>
      </c>
      <c r="D481" t="inlineStr">
        <is>
          <t>High</t>
        </is>
      </c>
      <c r="E481" t="inlineStr">
        <is>
          <t>Open</t>
        </is>
      </c>
      <c r="F481" t="inlineStr">
        <is>
          <t>23/05/2026</t>
        </is>
      </c>
    </row>
    <row r="482">
      <c r="A482" t="inlineStr">
        <is>
          <t>BUG-479</t>
        </is>
      </c>
      <c r="B482" t="inlineStr">
        <is>
          <t>TC-205</t>
        </is>
      </c>
      <c r="C482" t="inlineStr">
        <is>
          <t>Test fail: TC-205: PATCH lyDoTamDinhChiVuAn='INVALID' → 400/500 (validation cast) @P1 @RED @Medium</t>
        </is>
      </c>
      <c r="D482" t="inlineStr">
        <is>
          <t>Medium</t>
        </is>
      </c>
      <c r="E482" t="inlineStr">
        <is>
          <t>Open</t>
        </is>
      </c>
      <c r="F482" t="inlineStr">
        <is>
          <t>23/05/2026</t>
        </is>
      </c>
    </row>
    <row r="483">
      <c r="A483" t="inlineStr">
        <is>
          <t>BUG-480</t>
        </is>
      </c>
      <c r="B483" t="inlineStr">
        <is>
          <t>TC-207</t>
        </is>
      </c>
      <c r="C483" t="inlineStr">
        <is>
          <t>Test fail: TC-207: Banner TdcBackfillBanner ẩn sau khi backfill thành công @P1 @GREEN @Medium</t>
        </is>
      </c>
      <c r="D483" t="inlineStr">
        <is>
          <t>Medium</t>
        </is>
      </c>
      <c r="E483" t="inlineStr">
        <is>
          <t>Open</t>
        </is>
      </c>
      <c r="F483" t="inlineStr">
        <is>
          <t>23/05/2026</t>
        </is>
      </c>
    </row>
    <row r="484">
      <c r="A484" t="inlineStr">
        <is>
          <t>BUG-481</t>
        </is>
      </c>
      <c r="B484" t="inlineStr">
        <is>
          <t>TC-359</t>
        </is>
      </c>
      <c r="C484" t="inlineStr">
        <is>
          <t>Test fail: TC-359: Request timeout 30s + retry → idempotency? @P1 @RECOVERY @High</t>
        </is>
      </c>
      <c r="D484" t="inlineStr">
        <is>
          <t>High</t>
        </is>
      </c>
      <c r="E484" t="inlineStr">
        <is>
          <t>Open</t>
        </is>
      </c>
      <c r="F484" t="inlineStr">
        <is>
          <t>23/05/2026</t>
        </is>
      </c>
    </row>
    <row r="485">
      <c r="A485" t="inlineStr">
        <is>
          <t>BUG-482</t>
        </is>
      </c>
      <c r="B485" t="inlineStr">
        <is>
          <t>TC-296</t>
        </is>
      </c>
      <c r="C485" t="inlineStr">
        <is>
          <t>Test fail: TC-296: ngayKhoiTo='2026-05-23T00:00:00+07:00' (GMT+7 Vietnam) @P1 @DATA @Medium</t>
        </is>
      </c>
      <c r="D485" t="inlineStr">
        <is>
          <t>Medium</t>
        </is>
      </c>
      <c r="E485" t="inlineStr">
        <is>
          <t>Open</t>
        </is>
      </c>
      <c r="F485" t="inlineStr">
        <is>
          <t>23/05/2026</t>
        </is>
      </c>
    </row>
    <row r="486">
      <c r="A486" t="inlineStr">
        <is>
          <t>BUG-483</t>
        </is>
      </c>
      <c r="B486" t="inlineStr">
        <is>
          <t>TC-288</t>
        </is>
      </c>
      <c r="C486" t="inlineStr">
        <is>
          <t>Test fail: TC-288: name có dấu tiếng Việt 'Vụ án Nguyễn Quỳnh Trâm' @P1 @DATA @High</t>
        </is>
      </c>
      <c r="D486" t="inlineStr">
        <is>
          <t>High</t>
        </is>
      </c>
      <c r="E486" t="inlineStr">
        <is>
          <t>Open</t>
        </is>
      </c>
      <c r="F486" t="inlineStr">
        <is>
          <t>23/05/2026</t>
        </is>
      </c>
    </row>
    <row r="487">
      <c r="A487" t="inlineStr">
        <is>
          <t>BUG-484</t>
        </is>
      </c>
      <c r="B487" t="inlineStr">
        <is>
          <t>TC-289</t>
        </is>
      </c>
      <c r="C487" t="inlineStr">
        <is>
          <t>Test fail: TC-289: name có dấu tổ hợp (Unicode NFC vs NFD) — normalize @P1 @DATA @Medium</t>
        </is>
      </c>
      <c r="D487" t="inlineStr">
        <is>
          <t>Medium</t>
        </is>
      </c>
      <c r="E487" t="inlineStr">
        <is>
          <t>Open</t>
        </is>
      </c>
      <c r="F487" t="inlineStr">
        <is>
          <t>23/05/2026</t>
        </is>
      </c>
    </row>
    <row r="488">
      <c r="A488" t="inlineStr">
        <is>
          <t>BUG-485</t>
        </is>
      </c>
      <c r="B488" t="inlineStr">
        <is>
          <t>TC-307</t>
        </is>
      </c>
      <c r="C488" t="inlineStr">
        <is>
          <t>Test fail: TC-307: unit 255 ký tự → pass @P1 @BOUNDARY @Low</t>
        </is>
      </c>
      <c r="D488" t="inlineStr">
        <is>
          <t>Low</t>
        </is>
      </c>
      <c r="E488" t="inlineStr">
        <is>
          <t>Open</t>
        </is>
      </c>
      <c r="F488" t="inlineStr">
        <is>
          <t>23/05/2026</t>
        </is>
      </c>
    </row>
    <row r="489">
      <c r="A489" t="inlineStr">
        <is>
          <t>BUG-486</t>
        </is>
      </c>
      <c r="B489" t="inlineStr">
        <is>
          <t>TC-308</t>
        </is>
      </c>
      <c r="C489" t="inlineStr">
        <is>
          <t>Test fail: TC-308: unit 256 ký tự → 400 @P1 @BOUNDARY @Low</t>
        </is>
      </c>
      <c r="D489" t="inlineStr">
        <is>
          <t>Low</t>
        </is>
      </c>
      <c r="E489" t="inlineStr">
        <is>
          <t>Open</t>
        </is>
      </c>
      <c r="F489" t="inlineStr">
        <is>
          <t>23/05/2026</t>
        </is>
      </c>
    </row>
    <row r="490">
      <c r="A490" t="inlineStr">
        <is>
          <t>BUG-487</t>
        </is>
      </c>
      <c r="B490" t="inlineStr">
        <is>
          <t>TC-125</t>
        </is>
      </c>
      <c r="C490" t="inlineStr">
        <is>
          <t>Test fail: TC-125: Transition TIEP_NHAN → DANG_XAC_MINH (valid) @P0 @STATE @High</t>
        </is>
      </c>
      <c r="D490" t="inlineStr">
        <is>
          <t>High</t>
        </is>
      </c>
      <c r="E490" t="inlineStr">
        <is>
          <t>Open</t>
        </is>
      </c>
      <c r="F490" t="inlineStr">
        <is>
          <t>23/05/2026</t>
        </is>
      </c>
    </row>
    <row r="491">
      <c r="A491" t="inlineStr">
        <is>
          <t>BUG-488</t>
        </is>
      </c>
      <c r="B491" t="inlineStr">
        <is>
          <t>TC-126</t>
        </is>
      </c>
      <c r="C491" t="inlineStr">
        <is>
          <t>Test fail: TC-126: Transition DANG_XAC_MINH → DA_XAC_MINH (valid) @P0 @STATE @High</t>
        </is>
      </c>
      <c r="D491" t="inlineStr">
        <is>
          <t>High</t>
        </is>
      </c>
      <c r="E491" t="inlineStr">
        <is>
          <t>Open</t>
        </is>
      </c>
      <c r="F491" t="inlineStr">
        <is>
          <t>23/05/2026</t>
        </is>
      </c>
    </row>
    <row r="492">
      <c r="A492" t="inlineStr">
        <is>
          <t>BUG-489</t>
        </is>
      </c>
      <c r="B492" t="inlineStr">
        <is>
          <t>TC-127</t>
        </is>
      </c>
      <c r="C492" t="inlineStr">
        <is>
          <t>Test fail: TC-127: Transition DA_XAC_MINH → DANG_DIEU_TRA (valid) @P0 @STATE @High</t>
        </is>
      </c>
      <c r="D492" t="inlineStr">
        <is>
          <t>High</t>
        </is>
      </c>
      <c r="E492" t="inlineStr">
        <is>
          <t>Open</t>
        </is>
      </c>
      <c r="F492" t="inlineStr">
        <is>
          <t>23/05/2026</t>
        </is>
      </c>
    </row>
    <row r="493">
      <c r="A493" t="inlineStr">
        <is>
          <t>BUG-490</t>
        </is>
      </c>
      <c r="B493" t="inlineStr">
        <is>
          <t>TC-128</t>
        </is>
      </c>
      <c r="C493" t="inlineStr">
        <is>
          <t>Test fail: TC-128: Transition DANG_DIEU_TRA → DA_KET_LUAN (valid) @P0 @STATE @High</t>
        </is>
      </c>
      <c r="D493" t="inlineStr">
        <is>
          <t>High</t>
        </is>
      </c>
      <c r="E493" t="inlineStr">
        <is>
          <t>Open</t>
        </is>
      </c>
      <c r="F493" t="inlineStr">
        <is>
          <t>23/05/2026</t>
        </is>
      </c>
    </row>
    <row r="494">
      <c r="A494" t="inlineStr">
        <is>
          <t>BUG-491</t>
        </is>
      </c>
      <c r="B494" t="inlineStr">
        <is>
          <t>TC-129</t>
        </is>
      </c>
      <c r="C494" t="inlineStr">
        <is>
          <t>Test fail: TC-129: Transition DA_KET_LUAN → DANG_TRUY_TO (valid) @P0 @STATE @High</t>
        </is>
      </c>
      <c r="D494" t="inlineStr">
        <is>
          <t>High</t>
        </is>
      </c>
      <c r="E494" t="inlineStr">
        <is>
          <t>Open</t>
        </is>
      </c>
      <c r="F494" t="inlineStr">
        <is>
          <t>23/05/2026</t>
        </is>
      </c>
    </row>
    <row r="495">
      <c r="A495" t="inlineStr">
        <is>
          <t>BUG-492</t>
        </is>
      </c>
      <c r="B495" t="inlineStr">
        <is>
          <t>TC-130</t>
        </is>
      </c>
      <c r="C495" t="inlineStr">
        <is>
          <t>Test fail: TC-130: Transition DANG_TRUY_TO → DANG_XET_XU (valid) @P0 @STATE @High</t>
        </is>
      </c>
      <c r="D495" t="inlineStr">
        <is>
          <t>High</t>
        </is>
      </c>
      <c r="E495" t="inlineStr">
        <is>
          <t>Open</t>
        </is>
      </c>
      <c r="F495" t="inlineStr">
        <is>
          <t>23/05/2026</t>
        </is>
      </c>
    </row>
    <row r="496">
      <c r="A496" t="inlineStr">
        <is>
          <t>BUG-493</t>
        </is>
      </c>
      <c r="B496" t="inlineStr">
        <is>
          <t>TC-131</t>
        </is>
      </c>
      <c r="C496" t="inlineStr">
        <is>
          <t>Test fail: TC-131: Transition DANG_XET_XU → DA_LUU_TRU (final state) @P0 @STATE @High</t>
        </is>
      </c>
      <c r="D496" t="inlineStr">
        <is>
          <t>High</t>
        </is>
      </c>
      <c r="E496" t="inlineStr">
        <is>
          <t>Open</t>
        </is>
      </c>
      <c r="F496" t="inlineStr">
        <is>
          <t>23/05/2026</t>
        </is>
      </c>
    </row>
    <row r="497">
      <c r="A497" t="inlineStr">
        <is>
          <t>BUG-494</t>
        </is>
      </c>
      <c r="B497" t="inlineStr">
        <is>
          <t>TC-132</t>
        </is>
      </c>
      <c r="C497" t="inlineStr">
        <is>
          <t>Test fail: TC-132: Transition any → DINH_CHI (đình chỉ vĩnh viễn) @P0 @STATE @High</t>
        </is>
      </c>
      <c r="D497" t="inlineStr">
        <is>
          <t>High</t>
        </is>
      </c>
      <c r="E497" t="inlineStr">
        <is>
          <t>Open</t>
        </is>
      </c>
      <c r="F497" t="inlineStr">
        <is>
          <t>23/05/2026</t>
        </is>
      </c>
    </row>
    <row r="498">
      <c r="A498" t="inlineStr">
        <is>
          <t>BUG-495</t>
        </is>
      </c>
      <c r="B498" t="inlineStr">
        <is>
          <t>TC-133</t>
        </is>
      </c>
      <c r="C498" t="inlineStr">
        <is>
          <t>Test fail: TC-133: Transition TAM_DINH_CHI → DA_KET_LUAN (phục hồi và kết luận luôn) @P0 @STATE @High</t>
        </is>
      </c>
      <c r="D498" t="inlineStr">
        <is>
          <t>High</t>
        </is>
      </c>
      <c r="E498" t="inlineStr">
        <is>
          <t>Open</t>
        </is>
      </c>
      <c r="F498" t="inlineStr">
        <is>
          <t>23/05/2026</t>
        </is>
      </c>
    </row>
    <row r="499">
      <c r="A499" t="inlineStr">
        <is>
          <t>BUG-496</t>
        </is>
      </c>
      <c r="B499" t="inlineStr">
        <is>
          <t>TC-134</t>
        </is>
      </c>
      <c r="C499" t="inlineStr">
        <is>
          <t>Test fail: TC-134: Idempotent: PUT cùng status không tạo history @P1 @STATE @Medium</t>
        </is>
      </c>
      <c r="D499" t="inlineStr">
        <is>
          <t>Medium</t>
        </is>
      </c>
      <c r="E499" t="inlineStr">
        <is>
          <t>Open</t>
        </is>
      </c>
      <c r="F499" t="inlineStr">
        <is>
          <t>23/05/2026</t>
        </is>
      </c>
    </row>
    <row r="500">
      <c r="A500" t="inlineStr">
        <is>
          <t>BUG-497</t>
        </is>
      </c>
      <c r="B500" t="inlineStr">
        <is>
          <t>TC-135</t>
        </is>
      </c>
      <c r="C500" t="inlineStr">
        <is>
          <t>Test fail: TC-135: DA_LUU_TRU → DA_KET_LUAN (rollback) — có cho phép? @P1 @STATE @Low</t>
        </is>
      </c>
      <c r="D500" t="inlineStr">
        <is>
          <t>Low</t>
        </is>
      </c>
      <c r="E500" t="inlineStr">
        <is>
          <t>Open</t>
        </is>
      </c>
      <c r="F500" t="inlineStr">
        <is>
          <t>23/05/2026</t>
        </is>
      </c>
    </row>
    <row r="501">
      <c r="A501" t="inlineStr">
        <is>
          <t>BUG-498</t>
        </is>
      </c>
      <c r="B501" t="inlineStr">
        <is>
          <t>TC-136</t>
        </is>
      </c>
      <c r="C501" t="inlineStr">
        <is>
          <t>Test fail: TC-136: DINH_CHI → DANG_DIEU_TRA (sai logic) — cần block ở backend @P0 @STATE @High</t>
        </is>
      </c>
      <c r="D501" t="inlineStr">
        <is>
          <t>High</t>
        </is>
      </c>
      <c r="E501" t="inlineStr">
        <is>
          <t>Open</t>
        </is>
      </c>
      <c r="F501" t="inlineStr">
        <is>
          <t>23/05/2026</t>
        </is>
      </c>
    </row>
    <row r="502">
      <c r="A502" t="inlineStr">
        <is>
          <t>BUG-499</t>
        </is>
      </c>
      <c r="B502" t="inlineStr">
        <is>
          <t>TC-137</t>
        </is>
      </c>
      <c r="C502" t="inlineStr">
        <is>
          <t>Test fail: TC-137: DANG_XET_XU → TIEP_NHAN (rollback xa) — invalid logic @P0 @STATE @High</t>
        </is>
      </c>
      <c r="D502" t="inlineStr">
        <is>
          <t>High</t>
        </is>
      </c>
      <c r="E502" t="inlineStr">
        <is>
          <t>Open</t>
        </is>
      </c>
      <c r="F502" t="inlineStr">
        <is>
          <t>23/05/2026</t>
        </is>
      </c>
    </row>
    <row r="503">
      <c r="A503" t="inlineStr">
        <is>
          <t>BUG-500</t>
        </is>
      </c>
      <c r="B503" t="inlineStr">
        <is>
          <t>TC-097</t>
        </is>
      </c>
      <c r="C503" t="inlineStr">
        <is>
          <t>Test fail: TC-097: Update name + crime case mình owner @P0 @GREEN @Critical</t>
        </is>
      </c>
      <c r="D503" t="inlineStr">
        <is>
          <t>Critical</t>
        </is>
      </c>
      <c r="E503" t="inlineStr">
        <is>
          <t>Open</t>
        </is>
      </c>
      <c r="F503" t="inlineStr">
        <is>
          <t>23/05/2026</t>
        </is>
      </c>
    </row>
    <row r="504">
      <c r="A504" t="inlineStr">
        <is>
          <t>BUG-501</t>
        </is>
      </c>
      <c r="B504" t="inlineStr">
        <is>
          <t>TC-098</t>
        </is>
      </c>
      <c r="C504" t="inlineStr">
        <is>
          <t>Test fail: TC-098: Update với expectedUpdatedAt khớp current → success @P0 @GREEN @High</t>
        </is>
      </c>
      <c r="D504" t="inlineStr">
        <is>
          <t>High</t>
        </is>
      </c>
      <c r="E504" t="inlineStr">
        <is>
          <t>Open</t>
        </is>
      </c>
      <c r="F504" t="inlineStr">
        <is>
          <t>23/05/2026</t>
        </is>
      </c>
    </row>
    <row r="505">
      <c r="A505" t="inlineStr">
        <is>
          <t>BUG-502</t>
        </is>
      </c>
      <c r="B505" t="inlineStr">
        <is>
          <t>TC-099</t>
        </is>
      </c>
      <c r="C505" t="inlineStr">
        <is>
          <t>Test fail: TC-099: Update với expectedUpdatedAt cũ → 409 Conflict @P0 @RED @Critical</t>
        </is>
      </c>
      <c r="D505" t="inlineStr">
        <is>
          <t>Critical</t>
        </is>
      </c>
      <c r="E505" t="inlineStr">
        <is>
          <t>Open</t>
        </is>
      </c>
      <c r="F505" t="inlineStr">
        <is>
          <t>23/05/2026</t>
        </is>
      </c>
    </row>
    <row r="506">
      <c r="A506" t="inlineStr">
        <is>
          <t>BUG-503</t>
        </is>
      </c>
      <c r="B506" t="inlineStr">
        <is>
          <t>TC-100</t>
        </is>
      </c>
      <c r="C506" t="inlineStr">
        <is>
          <t>Test fail: TC-100: Update Case ngoài write-scope → 403 @P0 @RED @Critical</t>
        </is>
      </c>
      <c r="D506" t="inlineStr">
        <is>
          <t>Critical</t>
        </is>
      </c>
      <c r="E506" t="inlineStr">
        <is>
          <t>Open</t>
        </is>
      </c>
      <c r="F506" t="inlineStr">
        <is>
          <t>23/05/2026</t>
        </is>
      </c>
    </row>
    <row r="507">
      <c r="A507" t="inlineStr">
        <is>
          <t>BUG-504</t>
        </is>
      </c>
      <c r="B507" t="inlineStr">
        <is>
          <t>TC-101</t>
        </is>
      </c>
      <c r="C507" t="inlineStr">
        <is>
          <t>Test fail: TC-101: Update Case không tồn tại → 404 @P0 @RED @High</t>
        </is>
      </c>
      <c r="D507" t="inlineStr">
        <is>
          <t>High</t>
        </is>
      </c>
      <c r="E507" t="inlineStr">
        <is>
          <t>Open</t>
        </is>
      </c>
      <c r="F507" t="inlineStr">
        <is>
          <t>23/05/2026</t>
        </is>
      </c>
    </row>
    <row r="508">
      <c r="A508" t="inlineStr">
        <is>
          <t>BUG-505</t>
        </is>
      </c>
      <c r="B508" t="inlineStr">
        <is>
          <t>TC-102</t>
        </is>
      </c>
      <c r="C508" t="inlineStr">
        <is>
          <t>Test fail: TC-102: Update Case đã soft-deleted → 404 @P0 @RED @High</t>
        </is>
      </c>
      <c r="D508" t="inlineStr">
        <is>
          <t>High</t>
        </is>
      </c>
      <c r="E508" t="inlineStr">
        <is>
          <t>Open</t>
        </is>
      </c>
      <c r="F508" t="inlineStr">
        <is>
          <t>23/05/2026</t>
        </is>
      </c>
    </row>
    <row r="509">
      <c r="A509" t="inlineStr">
        <is>
          <t>BUG-506</t>
        </is>
      </c>
      <c r="B509" t="inlineStr">
        <is>
          <t>TC-103</t>
        </is>
      </c>
      <c r="C509" t="inlineStr">
        <is>
          <t>Test fail: TC-103: Update status TIEP_NHAN → DANG_XAC_MINH tạo CaseStatusHistory + audit @P0 @GREEN @Critical</t>
        </is>
      </c>
      <c r="D509" t="inlineStr">
        <is>
          <t>Critical</t>
        </is>
      </c>
      <c r="E509" t="inlineStr">
        <is>
          <t>Open</t>
        </is>
      </c>
      <c r="F509" t="inlineStr">
        <is>
          <t>23/05/2026</t>
        </is>
      </c>
    </row>
    <row r="510">
      <c r="A510" t="inlineStr">
        <is>
          <t>BUG-507</t>
        </is>
      </c>
      <c r="B510" t="inlineStr">
        <is>
          <t>TC-104</t>
        </is>
      </c>
      <c r="C510" t="inlineStr">
        <is>
          <t>Test fail: TC-104: Update status DANG_DIEU_TRA → TAM_DINH_CHI với lyDoTamDinhChiVuAn auto-set ngày + count @P0 @GREEN @Critical</t>
        </is>
      </c>
      <c r="D510" t="inlineStr">
        <is>
          <t>Critical</t>
        </is>
      </c>
      <c r="E510" t="inlineStr">
        <is>
          <t>Open</t>
        </is>
      </c>
      <c r="F510" t="inlineStr">
        <is>
          <t>23/05/2026</t>
        </is>
      </c>
    </row>
    <row r="511">
      <c r="A511" t="inlineStr">
        <is>
          <t>BUG-508</t>
        </is>
      </c>
      <c r="B511" t="inlineStr">
        <is>
          <t>TC-105</t>
        </is>
      </c>
      <c r="C511" t="inlineStr">
        <is>
          <t>Test fail: TC-105: Update → TAM_DINH_CHI thiếu lyDoTamDinhChiVuAn (Case post-migration) → 400 @P0 @RED @Critical</t>
        </is>
      </c>
      <c r="D511" t="inlineStr">
        <is>
          <t>Critical</t>
        </is>
      </c>
      <c r="E511" t="inlineStr">
        <is>
          <t>Open</t>
        </is>
      </c>
      <c r="F511" t="inlineStr">
        <is>
          <t>23/05/2026</t>
        </is>
      </c>
    </row>
    <row r="512">
      <c r="A512" t="inlineStr">
        <is>
          <t>BUG-509</t>
        </is>
      </c>
      <c r="B512" t="inlineStr">
        <is>
          <t>TC-106</t>
        </is>
      </c>
      <c r="C512" t="inlineStr">
        <is>
          <t>Test fail: TC-106: Update → TAM_DINH_CHI thiếu lý do nhưng Case cũ (pre-migration) → SOFT warning @P1 @GREEN @Medium</t>
        </is>
      </c>
      <c r="D512" t="inlineStr">
        <is>
          <t>Medium</t>
        </is>
      </c>
      <c r="E512" t="inlineStr">
        <is>
          <t>Open</t>
        </is>
      </c>
      <c r="F512" t="inlineStr">
        <is>
          <t>23/05/2026</t>
        </is>
      </c>
    </row>
    <row r="513">
      <c r="A513" t="inlineStr">
        <is>
          <t>BUG-510</t>
        </is>
      </c>
      <c r="B513" t="inlineStr">
        <is>
          <t>TC-107</t>
        </is>
      </c>
      <c r="C513" t="inlineStr">
        <is>
          <t>Test fail: TC-107: lyDoTamDinhChiVuAn = invalid enum 'INVALID_REASON' → 400 @P0 @RED @High</t>
        </is>
      </c>
      <c r="D513" t="inlineStr">
        <is>
          <t>High</t>
        </is>
      </c>
      <c r="E513" t="inlineStr">
        <is>
          <t>Open</t>
        </is>
      </c>
      <c r="F513" t="inlineStr">
        <is>
          <t>23/05/2026</t>
        </is>
      </c>
    </row>
    <row r="514">
      <c r="A514" t="inlineStr">
        <is>
          <t>BUG-511</t>
        </is>
      </c>
      <c r="B514" t="inlineStr">
        <is>
          <t>TC-108</t>
        </is>
      </c>
      <c r="C514" t="inlineStr">
        <is>
          <t>Test fail: TC-108: Update status TAM_DINH_CHI → DANG_DIEU_TRA (phục hồi) với daRaSoat + ngayRaSoat @P0 @GREEN @Critical</t>
        </is>
      </c>
      <c r="D514" t="inlineStr">
        <is>
          <t>Critical</t>
        </is>
      </c>
      <c r="E514" t="inlineStr">
        <is>
          <t>Open</t>
        </is>
      </c>
      <c r="F514" t="inlineStr">
        <is>
          <t>23/05/2026</t>
        </is>
      </c>
    </row>
    <row r="515">
      <c r="A515" t="inlineStr">
        <is>
          <t>BUG-512</t>
        </is>
      </c>
      <c r="B515" t="inlineStr">
        <is>
          <t>TC-109</t>
        </is>
      </c>
      <c r="C515" t="inlineStr">
        <is>
          <t>Test fail: TC-109: ketQuaPhucHoiVuAn = invalid → 400 @P1 @RED @Medium</t>
        </is>
      </c>
      <c r="D515" t="inlineStr">
        <is>
          <t>Medium</t>
        </is>
      </c>
      <c r="E515" t="inlineStr">
        <is>
          <t>Open</t>
        </is>
      </c>
      <c r="F515" t="inlineStr">
        <is>
          <t>23/05/2026</t>
        </is>
      </c>
    </row>
    <row r="516">
      <c r="A516" t="inlineStr">
        <is>
          <t>BUG-513</t>
        </is>
      </c>
      <c r="B516" t="inlineStr">
        <is>
          <t>TC-110</t>
        </is>
      </c>
      <c r="C516" t="inlineStr">
        <is>
          <t>Test fail: TC-110: lyDoTamDinhChiText &gt; 500 ký tự → 400 @P1 @RED @Medium</t>
        </is>
      </c>
      <c r="D516" t="inlineStr">
        <is>
          <t>Medium</t>
        </is>
      </c>
      <c r="E516" t="inlineStr">
        <is>
          <t>Open</t>
        </is>
      </c>
      <c r="F516" t="inlineStr">
        <is>
          <t>23/05/2026</t>
        </is>
      </c>
    </row>
    <row r="517">
      <c r="A517" t="inlineStr">
        <is>
          <t>BUG-514</t>
        </is>
      </c>
      <c r="B517" t="inlineStr">
        <is>
          <t>TC-111</t>
        </is>
      </c>
      <c r="C517" t="inlineStr">
        <is>
          <t>Test fail: TC-111: soQuyetDinhTamDinhChi &gt; 100 ký tự → 400 @P1 @RED @Medium</t>
        </is>
      </c>
      <c r="D517" t="inlineStr">
        <is>
          <t>Medium</t>
        </is>
      </c>
      <c r="E517" t="inlineStr">
        <is>
          <t>Open</t>
        </is>
      </c>
      <c r="F517" t="inlineStr">
        <is>
          <t>23/05/2026</t>
        </is>
      </c>
    </row>
    <row r="518">
      <c r="A518" t="inlineStr">
        <is>
          <t>BUG-515</t>
        </is>
      </c>
      <c r="B518" t="inlineStr">
        <is>
          <t>TC-112</t>
        </is>
      </c>
      <c r="C518" t="inlineStr">
        <is>
          <t>Test fail: TC-112: daRaSoat = 'yes' string thay vì boolean → 400 IsBoolean @P1 @RED @Medium</t>
        </is>
      </c>
      <c r="D518" t="inlineStr">
        <is>
          <t>Medium</t>
        </is>
      </c>
      <c r="E518" t="inlineStr">
        <is>
          <t>Open</t>
        </is>
      </c>
      <c r="F518" t="inlineStr">
        <is>
          <t>23/05/2026</t>
        </is>
      </c>
    </row>
    <row r="519">
      <c r="A519" t="inlineStr">
        <is>
          <t>BUG-516</t>
        </is>
      </c>
      <c r="B519" t="inlineStr">
        <is>
          <t>TC-113</t>
        </is>
      </c>
      <c r="C519" t="inlineStr">
        <is>
          <t>Test fail: TC-113: ngayRaSoat sai ISO format → 400 @P1 @RED @Medium</t>
        </is>
      </c>
      <c r="D519" t="inlineStr">
        <is>
          <t>Medium</t>
        </is>
      </c>
      <c r="E519" t="inlineStr">
        <is>
          <t>Open</t>
        </is>
      </c>
      <c r="F519" t="inlineStr">
        <is>
          <t>23/05/2026</t>
        </is>
      </c>
    </row>
    <row r="520">
      <c r="A520" t="inlineStr">
        <is>
          <t>BUG-517</t>
        </is>
      </c>
      <c r="B520" t="inlineStr">
        <is>
          <t>TC-120</t>
        </is>
      </c>
      <c r="C520" t="inlineStr">
        <is>
          <t>Test fail: TC-120: investigatorId không tồn tại → 400 @P1 @RED @Medium</t>
        </is>
      </c>
      <c r="D520" t="inlineStr">
        <is>
          <t>Medium</t>
        </is>
      </c>
      <c r="E520" t="inlineStr">
        <is>
          <t>Open</t>
        </is>
      </c>
      <c r="F520" t="inlineStr">
        <is>
          <t>23/05/2026</t>
        </is>
      </c>
    </row>
    <row r="521">
      <c r="A521" t="inlineStr">
        <is>
          <t>BUG-518</t>
        </is>
      </c>
      <c r="B521" t="inlineStr">
        <is>
          <t>TC-124</t>
        </is>
      </c>
      <c r="C521" t="inlineStr">
        <is>
          <t>Test fail: TC-124: DTO whitelist reject field lạ trong UpdateCaseDto (forbidNonWhitelisted) @P0 @GREEN @Medium</t>
        </is>
      </c>
      <c r="D521" t="inlineStr">
        <is>
          <t>Medium</t>
        </is>
      </c>
      <c r="E521" t="inlineStr">
        <is>
          <t>Open</t>
        </is>
      </c>
      <c r="F521" t="inlineStr">
        <is>
          <t>23/05/2026</t>
        </is>
      </c>
    </row>
  </sheetData>
  <autoFilter ref="A3:I53"/>
  <mergeCells count="2">
    <mergeCell ref="A1:I1"/>
    <mergeCell ref="A2:I2"/>
  </mergeCells>
  <conditionalFormatting sqref="E4:E54">
    <cfRule type="cellIs" priority="1" operator="equal" dxfId="3">
      <formula>"Open"</formula>
    </cfRule>
    <cfRule type="cellIs" priority="2" operator="equal" dxfId="4">
      <formula>"Fixing"</formula>
    </cfRule>
    <cfRule type="cellIs" priority="3" operator="equal" dxfId="7">
      <formula>"Fixed"</formula>
    </cfRule>
    <cfRule type="cellIs" priority="4" operator="equal" dxfId="2">
      <formula>"Verified"</formula>
    </cfRule>
    <cfRule type="cellIs" priority="5" operator="equal" dxfId="5">
      <formula>"Closed"</formula>
    </cfRule>
    <cfRule type="cellIs" priority="6" operator="equal" dxfId="8">
      <formula>"Reopened"</formula>
    </cfRule>
  </conditionalFormatting>
  <conditionalFormatting sqref="D4:D54">
    <cfRule type="cellIs" priority="7" operator="equal" dxfId="0">
      <formula>"Critical"</formula>
    </cfRule>
    <cfRule type="cellIs" priority="8" operator="equal" dxfId="9">
      <formula>"High"</formula>
    </cfRule>
    <cfRule type="cellIs" priority="9" operator="equal" dxfId="10">
      <formula>"Medium"</formula>
    </cfRule>
    <cfRule type="cellIs" priority="10" operator="equal" dxfId="11">
      <formula>"Low"</formula>
    </cfRule>
  </conditionalFormatting>
  <dataValidations count="3">
    <dataValidation sqref="D4:D54" showDropDown="0" showInputMessage="0" showErrorMessage="0" allowBlank="1" type="list">
      <formula1>"Critical,High,Medium,Low"</formula1>
    </dataValidation>
    <dataValidation sqref="E4:E54" showDropDown="0" showInputMessage="0" showErrorMessage="0" allowBlank="1" prompt="Open → Fixing → Fixed → Verified → Closed" type="list">
      <formula1>"Open,Fixing,Fixed,Verified,Closed,Reopened,Cannot Reproduce,Wont Fix"</formula1>
    </dataValidation>
    <dataValidation sqref="H4:H54" showDropDown="0" showInputMessage="0" showErrorMessage="0" allowBlank="1" type="list">
      <formula1>"Pass,Fail,Pending"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22" customWidth="1" min="5" max="5"/>
    <col width="18" customWidth="1" min="6" max="6"/>
    <col width="18" customWidth="1" min="7" max="7"/>
    <col width="14" customWidth="1" min="8" max="8"/>
    <col width="18" customWidth="1" min="9" max="9"/>
    <col width="50" customWidth="1" min="10" max="10"/>
    <col width="12" customWidth="1" min="11" max="11"/>
    <col width="16" customWidth="1" min="12" max="12"/>
    <col width="30" customWidth="1" min="13" max="13"/>
  </cols>
  <sheetData>
    <row r="1" ht="30" customHeight="1">
      <c r="A1" s="61" t="inlineStr">
        <is>
          <t>⚠️ REGRESSION LOG — Theo dõi lỗi level down (TC từng Đạt nay Không đạt)</t>
        </is>
      </c>
    </row>
    <row r="2" ht="35" customHeight="1">
      <c r="A2" s="62" t="inlineStr">
        <is>
          <t>Auto-generated bởi runner khi phát hiện TC từng Đạt giờ Không đạt sau khi fix bug khác. Severity tự động ESCALATE +1 level (High→Critical, Medium→High...). BẤT KỲ regression nào còn open đều BLOCK release.</t>
        </is>
      </c>
    </row>
    <row r="3" ht="35" customHeight="1">
      <c r="A3" s="63" t="inlineStr">
        <is>
          <t>Reg ID</t>
        </is>
      </c>
      <c r="B3" s="63" t="inlineStr">
        <is>
          <t>TC ID</t>
        </is>
      </c>
      <c r="C3" s="63" t="inlineStr">
        <is>
          <t>Module</t>
        </is>
      </c>
      <c r="D3" s="63" t="inlineStr">
        <is>
          <t>Lần phát hiện</t>
        </is>
      </c>
      <c r="E3" s="63" t="inlineStr">
        <is>
          <t>Bug gốc gây regression</t>
        </is>
      </c>
      <c r="F3" s="63" t="inlineStr">
        <is>
          <t>Status trước retest</t>
        </is>
      </c>
      <c r="G3" s="63" t="inlineStr">
        <is>
          <t>Status sau retest</t>
        </is>
      </c>
      <c r="H3" s="63" t="inlineStr">
        <is>
          <t>Severity gốc</t>
        </is>
      </c>
      <c r="I3" s="63" t="inlineStr">
        <is>
          <t>Severity regression</t>
        </is>
      </c>
      <c r="J3" s="63" t="inlineStr">
        <is>
          <t>Mô tả regression</t>
        </is>
      </c>
      <c r="K3" s="63" t="inlineStr">
        <is>
          <t>Đã fix?</t>
        </is>
      </c>
      <c r="L3" s="63" t="inlineStr">
        <is>
          <t>Ngày verify lại</t>
        </is>
      </c>
      <c r="M3" s="63" t="inlineStr">
        <is>
          <t>Ghi chú</t>
        </is>
      </c>
    </row>
    <row r="4" ht="35" customHeight="1">
      <c r="A4" s="40" t="inlineStr"/>
      <c r="B4" s="40" t="inlineStr"/>
      <c r="C4" s="43" t="inlineStr"/>
      <c r="D4" s="40" t="inlineStr"/>
      <c r="E4" s="43" t="inlineStr"/>
      <c r="F4" s="40" t="inlineStr"/>
      <c r="G4" s="40" t="inlineStr"/>
      <c r="H4" s="40" t="inlineStr"/>
      <c r="I4" s="40" t="inlineStr"/>
      <c r="J4" s="43" t="inlineStr"/>
      <c r="K4" s="40" t="inlineStr"/>
      <c r="L4" s="40" t="inlineStr"/>
      <c r="M4" s="43" t="inlineStr"/>
    </row>
    <row r="5" ht="35" customHeight="1">
      <c r="A5" s="40" t="inlineStr"/>
      <c r="B5" s="40" t="inlineStr"/>
      <c r="C5" s="43" t="inlineStr"/>
      <c r="D5" s="40" t="inlineStr"/>
      <c r="E5" s="43" t="inlineStr"/>
      <c r="F5" s="40" t="inlineStr"/>
      <c r="G5" s="40" t="inlineStr"/>
      <c r="H5" s="40" t="inlineStr"/>
      <c r="I5" s="40" t="inlineStr"/>
      <c r="J5" s="43" t="inlineStr"/>
      <c r="K5" s="40" t="inlineStr"/>
      <c r="L5" s="40" t="inlineStr"/>
      <c r="M5" s="43" t="inlineStr"/>
    </row>
    <row r="6" ht="35" customHeight="1">
      <c r="A6" s="40" t="inlineStr"/>
      <c r="B6" s="40" t="inlineStr"/>
      <c r="C6" s="43" t="inlineStr"/>
      <c r="D6" s="40" t="inlineStr"/>
      <c r="E6" s="43" t="inlineStr"/>
      <c r="F6" s="40" t="inlineStr"/>
      <c r="G6" s="40" t="inlineStr"/>
      <c r="H6" s="40" t="inlineStr"/>
      <c r="I6" s="40" t="inlineStr"/>
      <c r="J6" s="43" t="inlineStr"/>
      <c r="K6" s="40" t="inlineStr"/>
      <c r="L6" s="40" t="inlineStr"/>
      <c r="M6" s="43" t="inlineStr"/>
    </row>
    <row r="7" ht="35" customHeight="1">
      <c r="A7" s="40" t="inlineStr"/>
      <c r="B7" s="40" t="inlineStr"/>
      <c r="C7" s="43" t="inlineStr"/>
      <c r="D7" s="40" t="inlineStr"/>
      <c r="E7" s="43" t="inlineStr"/>
      <c r="F7" s="40" t="inlineStr"/>
      <c r="G7" s="40" t="inlineStr"/>
      <c r="H7" s="40" t="inlineStr"/>
      <c r="I7" s="40" t="inlineStr"/>
      <c r="J7" s="43" t="inlineStr"/>
      <c r="K7" s="40" t="inlineStr"/>
      <c r="L7" s="40" t="inlineStr"/>
      <c r="M7" s="43" t="inlineStr"/>
    </row>
    <row r="8" ht="35" customHeight="1">
      <c r="A8" s="40" t="inlineStr"/>
      <c r="B8" s="40" t="inlineStr"/>
      <c r="C8" s="43" t="inlineStr"/>
      <c r="D8" s="40" t="inlineStr"/>
      <c r="E8" s="43" t="inlineStr"/>
      <c r="F8" s="40" t="inlineStr"/>
      <c r="G8" s="40" t="inlineStr"/>
      <c r="H8" s="40" t="inlineStr"/>
      <c r="I8" s="40" t="inlineStr"/>
      <c r="J8" s="43" t="inlineStr"/>
      <c r="K8" s="40" t="inlineStr"/>
      <c r="L8" s="40" t="inlineStr"/>
      <c r="M8" s="43" t="inlineStr"/>
    </row>
    <row r="9" ht="35" customHeight="1">
      <c r="A9" s="40" t="inlineStr"/>
      <c r="B9" s="40" t="inlineStr"/>
      <c r="C9" s="43" t="inlineStr"/>
      <c r="D9" s="40" t="inlineStr"/>
      <c r="E9" s="43" t="inlineStr"/>
      <c r="F9" s="40" t="inlineStr"/>
      <c r="G9" s="40" t="inlineStr"/>
      <c r="H9" s="40" t="inlineStr"/>
      <c r="I9" s="40" t="inlineStr"/>
      <c r="J9" s="43" t="inlineStr"/>
      <c r="K9" s="40" t="inlineStr"/>
      <c r="L9" s="40" t="inlineStr"/>
      <c r="M9" s="43" t="inlineStr"/>
    </row>
    <row r="10" ht="35" customHeight="1">
      <c r="A10" s="40" t="inlineStr"/>
      <c r="B10" s="40" t="inlineStr"/>
      <c r="C10" s="43" t="inlineStr"/>
      <c r="D10" s="40" t="inlineStr"/>
      <c r="E10" s="43" t="inlineStr"/>
      <c r="F10" s="40" t="inlineStr"/>
      <c r="G10" s="40" t="inlineStr"/>
      <c r="H10" s="40" t="inlineStr"/>
      <c r="I10" s="40" t="inlineStr"/>
      <c r="J10" s="43" t="inlineStr"/>
      <c r="K10" s="40" t="inlineStr"/>
      <c r="L10" s="40" t="inlineStr"/>
      <c r="M10" s="43" t="inlineStr"/>
    </row>
    <row r="11" ht="35" customHeight="1">
      <c r="A11" s="40" t="inlineStr"/>
      <c r="B11" s="40" t="inlineStr"/>
      <c r="C11" s="43" t="inlineStr"/>
      <c r="D11" s="40" t="inlineStr"/>
      <c r="E11" s="43" t="inlineStr"/>
      <c r="F11" s="40" t="inlineStr"/>
      <c r="G11" s="40" t="inlineStr"/>
      <c r="H11" s="40" t="inlineStr"/>
      <c r="I11" s="40" t="inlineStr"/>
      <c r="J11" s="43" t="inlineStr"/>
      <c r="K11" s="40" t="inlineStr"/>
      <c r="L11" s="40" t="inlineStr"/>
      <c r="M11" s="43" t="inlineStr"/>
    </row>
    <row r="12" ht="35" customHeight="1">
      <c r="A12" s="40" t="inlineStr"/>
      <c r="B12" s="40" t="inlineStr"/>
      <c r="C12" s="43" t="inlineStr"/>
      <c r="D12" s="40" t="inlineStr"/>
      <c r="E12" s="43" t="inlineStr"/>
      <c r="F12" s="40" t="inlineStr"/>
      <c r="G12" s="40" t="inlineStr"/>
      <c r="H12" s="40" t="inlineStr"/>
      <c r="I12" s="40" t="inlineStr"/>
      <c r="J12" s="43" t="inlineStr"/>
      <c r="K12" s="40" t="inlineStr"/>
      <c r="L12" s="40" t="inlineStr"/>
      <c r="M12" s="43" t="inlineStr"/>
    </row>
    <row r="13" ht="35" customHeight="1">
      <c r="A13" s="40" t="inlineStr"/>
      <c r="B13" s="40" t="inlineStr"/>
      <c r="C13" s="43" t="inlineStr"/>
      <c r="D13" s="40" t="inlineStr"/>
      <c r="E13" s="43" t="inlineStr"/>
      <c r="F13" s="40" t="inlineStr"/>
      <c r="G13" s="40" t="inlineStr"/>
      <c r="H13" s="40" t="inlineStr"/>
      <c r="I13" s="40" t="inlineStr"/>
      <c r="J13" s="43" t="inlineStr"/>
      <c r="K13" s="40" t="inlineStr"/>
      <c r="L13" s="40" t="inlineStr"/>
      <c r="M13" s="43" t="inlineStr"/>
    </row>
    <row r="14" ht="35" customHeight="1">
      <c r="A14" s="40" t="inlineStr"/>
      <c r="B14" s="40" t="inlineStr"/>
      <c r="C14" s="43" t="inlineStr"/>
      <c r="D14" s="40" t="inlineStr"/>
      <c r="E14" s="43" t="inlineStr"/>
      <c r="F14" s="40" t="inlineStr"/>
      <c r="G14" s="40" t="inlineStr"/>
      <c r="H14" s="40" t="inlineStr"/>
      <c r="I14" s="40" t="inlineStr"/>
      <c r="J14" s="43" t="inlineStr"/>
      <c r="K14" s="40" t="inlineStr"/>
      <c r="L14" s="40" t="inlineStr"/>
      <c r="M14" s="43" t="inlineStr"/>
    </row>
    <row r="15" ht="35" customHeight="1">
      <c r="A15" s="40" t="inlineStr"/>
      <c r="B15" s="40" t="inlineStr"/>
      <c r="C15" s="43" t="inlineStr"/>
      <c r="D15" s="40" t="inlineStr"/>
      <c r="E15" s="43" t="inlineStr"/>
      <c r="F15" s="40" t="inlineStr"/>
      <c r="G15" s="40" t="inlineStr"/>
      <c r="H15" s="40" t="inlineStr"/>
      <c r="I15" s="40" t="inlineStr"/>
      <c r="J15" s="43" t="inlineStr"/>
      <c r="K15" s="40" t="inlineStr"/>
      <c r="L15" s="40" t="inlineStr"/>
      <c r="M15" s="43" t="inlineStr"/>
    </row>
    <row r="16" ht="35" customHeight="1">
      <c r="A16" s="40" t="inlineStr"/>
      <c r="B16" s="40" t="inlineStr"/>
      <c r="C16" s="43" t="inlineStr"/>
      <c r="D16" s="40" t="inlineStr"/>
      <c r="E16" s="43" t="inlineStr"/>
      <c r="F16" s="40" t="inlineStr"/>
      <c r="G16" s="40" t="inlineStr"/>
      <c r="H16" s="40" t="inlineStr"/>
      <c r="I16" s="40" t="inlineStr"/>
      <c r="J16" s="43" t="inlineStr"/>
      <c r="K16" s="40" t="inlineStr"/>
      <c r="L16" s="40" t="inlineStr"/>
      <c r="M16" s="43" t="inlineStr"/>
    </row>
    <row r="17" ht="35" customHeight="1">
      <c r="A17" s="40" t="inlineStr"/>
      <c r="B17" s="40" t="inlineStr"/>
      <c r="C17" s="43" t="inlineStr"/>
      <c r="D17" s="40" t="inlineStr"/>
      <c r="E17" s="43" t="inlineStr"/>
      <c r="F17" s="40" t="inlineStr"/>
      <c r="G17" s="40" t="inlineStr"/>
      <c r="H17" s="40" t="inlineStr"/>
      <c r="I17" s="40" t="inlineStr"/>
      <c r="J17" s="43" t="inlineStr"/>
      <c r="K17" s="40" t="inlineStr"/>
      <c r="L17" s="40" t="inlineStr"/>
      <c r="M17" s="43" t="inlineStr"/>
    </row>
    <row r="18" ht="35" customHeight="1">
      <c r="A18" s="40" t="inlineStr"/>
      <c r="B18" s="40" t="inlineStr"/>
      <c r="C18" s="43" t="inlineStr"/>
      <c r="D18" s="40" t="inlineStr"/>
      <c r="E18" s="43" t="inlineStr"/>
      <c r="F18" s="40" t="inlineStr"/>
      <c r="G18" s="40" t="inlineStr"/>
      <c r="H18" s="40" t="inlineStr"/>
      <c r="I18" s="40" t="inlineStr"/>
      <c r="J18" s="43" t="inlineStr"/>
      <c r="K18" s="40" t="inlineStr"/>
      <c r="L18" s="40" t="inlineStr"/>
      <c r="M18" s="43" t="inlineStr"/>
    </row>
    <row r="19" ht="35" customHeight="1">
      <c r="A19" s="40" t="inlineStr"/>
      <c r="B19" s="40" t="inlineStr"/>
      <c r="C19" s="43" t="inlineStr"/>
      <c r="D19" s="40" t="inlineStr"/>
      <c r="E19" s="43" t="inlineStr"/>
      <c r="F19" s="40" t="inlineStr"/>
      <c r="G19" s="40" t="inlineStr"/>
      <c r="H19" s="40" t="inlineStr"/>
      <c r="I19" s="40" t="inlineStr"/>
      <c r="J19" s="43" t="inlineStr"/>
      <c r="K19" s="40" t="inlineStr"/>
      <c r="L19" s="40" t="inlineStr"/>
      <c r="M19" s="43" t="inlineStr"/>
    </row>
    <row r="20" ht="35" customHeight="1">
      <c r="A20" s="40" t="inlineStr"/>
      <c r="B20" s="40" t="inlineStr"/>
      <c r="C20" s="43" t="inlineStr"/>
      <c r="D20" s="40" t="inlineStr"/>
      <c r="E20" s="43" t="inlineStr"/>
      <c r="F20" s="40" t="inlineStr"/>
      <c r="G20" s="40" t="inlineStr"/>
      <c r="H20" s="40" t="inlineStr"/>
      <c r="I20" s="40" t="inlineStr"/>
      <c r="J20" s="43" t="inlineStr"/>
      <c r="K20" s="40" t="inlineStr"/>
      <c r="L20" s="40" t="inlineStr"/>
      <c r="M20" s="43" t="inlineStr"/>
    </row>
    <row r="21" ht="35" customHeight="1">
      <c r="A21" s="40" t="inlineStr"/>
      <c r="B21" s="40" t="inlineStr"/>
      <c r="C21" s="43" t="inlineStr"/>
      <c r="D21" s="40" t="inlineStr"/>
      <c r="E21" s="43" t="inlineStr"/>
      <c r="F21" s="40" t="inlineStr"/>
      <c r="G21" s="40" t="inlineStr"/>
      <c r="H21" s="40" t="inlineStr"/>
      <c r="I21" s="40" t="inlineStr"/>
      <c r="J21" s="43" t="inlineStr"/>
      <c r="K21" s="40" t="inlineStr"/>
      <c r="L21" s="40" t="inlineStr"/>
      <c r="M21" s="43" t="inlineStr"/>
    </row>
    <row r="22" ht="35" customHeight="1">
      <c r="A22" s="40" t="inlineStr"/>
      <c r="B22" s="40" t="inlineStr"/>
      <c r="C22" s="43" t="inlineStr"/>
      <c r="D22" s="40" t="inlineStr"/>
      <c r="E22" s="43" t="inlineStr"/>
      <c r="F22" s="40" t="inlineStr"/>
      <c r="G22" s="40" t="inlineStr"/>
      <c r="H22" s="40" t="inlineStr"/>
      <c r="I22" s="40" t="inlineStr"/>
      <c r="J22" s="43" t="inlineStr"/>
      <c r="K22" s="40" t="inlineStr"/>
      <c r="L22" s="40" t="inlineStr"/>
      <c r="M22" s="43" t="inlineStr"/>
    </row>
    <row r="23" ht="35" customHeight="1">
      <c r="A23" s="40" t="inlineStr"/>
      <c r="B23" s="40" t="inlineStr"/>
      <c r="C23" s="43" t="inlineStr"/>
      <c r="D23" s="40" t="inlineStr"/>
      <c r="E23" s="43" t="inlineStr"/>
      <c r="F23" s="40" t="inlineStr"/>
      <c r="G23" s="40" t="inlineStr"/>
      <c r="H23" s="40" t="inlineStr"/>
      <c r="I23" s="40" t="inlineStr"/>
      <c r="J23" s="43" t="inlineStr"/>
      <c r="K23" s="40" t="inlineStr"/>
      <c r="L23" s="40" t="inlineStr"/>
      <c r="M23" s="43" t="inlineStr"/>
    </row>
    <row r="24" ht="35" customHeight="1">
      <c r="A24" s="40" t="inlineStr"/>
      <c r="B24" s="40" t="inlineStr"/>
      <c r="C24" s="43" t="inlineStr"/>
      <c r="D24" s="40" t="inlineStr"/>
      <c r="E24" s="43" t="inlineStr"/>
      <c r="F24" s="40" t="inlineStr"/>
      <c r="G24" s="40" t="inlineStr"/>
      <c r="H24" s="40" t="inlineStr"/>
      <c r="I24" s="40" t="inlineStr"/>
      <c r="J24" s="43" t="inlineStr"/>
      <c r="K24" s="40" t="inlineStr"/>
      <c r="L24" s="40" t="inlineStr"/>
      <c r="M24" s="43" t="inlineStr"/>
    </row>
    <row r="25" ht="35" customHeight="1">
      <c r="A25" s="40" t="inlineStr"/>
      <c r="B25" s="40" t="inlineStr"/>
      <c r="C25" s="43" t="inlineStr"/>
      <c r="D25" s="40" t="inlineStr"/>
      <c r="E25" s="43" t="inlineStr"/>
      <c r="F25" s="40" t="inlineStr"/>
      <c r="G25" s="40" t="inlineStr"/>
      <c r="H25" s="40" t="inlineStr"/>
      <c r="I25" s="40" t="inlineStr"/>
      <c r="J25" s="43" t="inlineStr"/>
      <c r="K25" s="40" t="inlineStr"/>
      <c r="L25" s="40" t="inlineStr"/>
      <c r="M25" s="43" t="inlineStr"/>
    </row>
    <row r="26" ht="35" customHeight="1">
      <c r="A26" s="40" t="inlineStr"/>
      <c r="B26" s="40" t="inlineStr"/>
      <c r="C26" s="43" t="inlineStr"/>
      <c r="D26" s="40" t="inlineStr"/>
      <c r="E26" s="43" t="inlineStr"/>
      <c r="F26" s="40" t="inlineStr"/>
      <c r="G26" s="40" t="inlineStr"/>
      <c r="H26" s="40" t="inlineStr"/>
      <c r="I26" s="40" t="inlineStr"/>
      <c r="J26" s="43" t="inlineStr"/>
      <c r="K26" s="40" t="inlineStr"/>
      <c r="L26" s="40" t="inlineStr"/>
      <c r="M26" s="43" t="inlineStr"/>
    </row>
    <row r="27" ht="35" customHeight="1">
      <c r="A27" s="40" t="inlineStr"/>
      <c r="B27" s="40" t="inlineStr"/>
      <c r="C27" s="43" t="inlineStr"/>
      <c r="D27" s="40" t="inlineStr"/>
      <c r="E27" s="43" t="inlineStr"/>
      <c r="F27" s="40" t="inlineStr"/>
      <c r="G27" s="40" t="inlineStr"/>
      <c r="H27" s="40" t="inlineStr"/>
      <c r="I27" s="40" t="inlineStr"/>
      <c r="J27" s="43" t="inlineStr"/>
      <c r="K27" s="40" t="inlineStr"/>
      <c r="L27" s="40" t="inlineStr"/>
      <c r="M27" s="43" t="inlineStr"/>
    </row>
    <row r="28" ht="35" customHeight="1">
      <c r="A28" s="40" t="inlineStr"/>
      <c r="B28" s="40" t="inlineStr"/>
      <c r="C28" s="43" t="inlineStr"/>
      <c r="D28" s="40" t="inlineStr"/>
      <c r="E28" s="43" t="inlineStr"/>
      <c r="F28" s="40" t="inlineStr"/>
      <c r="G28" s="40" t="inlineStr"/>
      <c r="H28" s="40" t="inlineStr"/>
      <c r="I28" s="40" t="inlineStr"/>
      <c r="J28" s="43" t="inlineStr"/>
      <c r="K28" s="40" t="inlineStr"/>
      <c r="L28" s="40" t="inlineStr"/>
      <c r="M28" s="43" t="inlineStr"/>
    </row>
    <row r="29" ht="35" customHeight="1">
      <c r="A29" s="40" t="inlineStr"/>
      <c r="B29" s="40" t="inlineStr"/>
      <c r="C29" s="43" t="inlineStr"/>
      <c r="D29" s="40" t="inlineStr"/>
      <c r="E29" s="43" t="inlineStr"/>
      <c r="F29" s="40" t="inlineStr"/>
      <c r="G29" s="40" t="inlineStr"/>
      <c r="H29" s="40" t="inlineStr"/>
      <c r="I29" s="40" t="inlineStr"/>
      <c r="J29" s="43" t="inlineStr"/>
      <c r="K29" s="40" t="inlineStr"/>
      <c r="L29" s="40" t="inlineStr"/>
      <c r="M29" s="43" t="inlineStr"/>
    </row>
    <row r="30" ht="35" customHeight="1">
      <c r="A30" s="40" t="inlineStr"/>
      <c r="B30" s="40" t="inlineStr"/>
      <c r="C30" s="43" t="inlineStr"/>
      <c r="D30" s="40" t="inlineStr"/>
      <c r="E30" s="43" t="inlineStr"/>
      <c r="F30" s="40" t="inlineStr"/>
      <c r="G30" s="40" t="inlineStr"/>
      <c r="H30" s="40" t="inlineStr"/>
      <c r="I30" s="40" t="inlineStr"/>
      <c r="J30" s="43" t="inlineStr"/>
      <c r="K30" s="40" t="inlineStr"/>
      <c r="L30" s="40" t="inlineStr"/>
      <c r="M30" s="43" t="inlineStr"/>
    </row>
    <row r="31" ht="35" customHeight="1">
      <c r="A31" s="40" t="inlineStr"/>
      <c r="B31" s="40" t="inlineStr"/>
      <c r="C31" s="43" t="inlineStr"/>
      <c r="D31" s="40" t="inlineStr"/>
      <c r="E31" s="43" t="inlineStr"/>
      <c r="F31" s="40" t="inlineStr"/>
      <c r="G31" s="40" t="inlineStr"/>
      <c r="H31" s="40" t="inlineStr"/>
      <c r="I31" s="40" t="inlineStr"/>
      <c r="J31" s="43" t="inlineStr"/>
      <c r="K31" s="40" t="inlineStr"/>
      <c r="L31" s="40" t="inlineStr"/>
      <c r="M31" s="43" t="inlineStr"/>
    </row>
    <row r="32" ht="35" customHeight="1">
      <c r="A32" s="40" t="inlineStr"/>
      <c r="B32" s="40" t="inlineStr"/>
      <c r="C32" s="43" t="inlineStr"/>
      <c r="D32" s="40" t="inlineStr"/>
      <c r="E32" s="43" t="inlineStr"/>
      <c r="F32" s="40" t="inlineStr"/>
      <c r="G32" s="40" t="inlineStr"/>
      <c r="H32" s="40" t="inlineStr"/>
      <c r="I32" s="40" t="inlineStr"/>
      <c r="J32" s="43" t="inlineStr"/>
      <c r="K32" s="40" t="inlineStr"/>
      <c r="L32" s="40" t="inlineStr"/>
      <c r="M32" s="43" t="inlineStr"/>
    </row>
    <row r="33" ht="35" customHeight="1">
      <c r="A33" s="40" t="inlineStr"/>
      <c r="B33" s="40" t="inlineStr"/>
      <c r="C33" s="43" t="inlineStr"/>
      <c r="D33" s="40" t="inlineStr"/>
      <c r="E33" s="43" t="inlineStr"/>
      <c r="F33" s="40" t="inlineStr"/>
      <c r="G33" s="40" t="inlineStr"/>
      <c r="H33" s="40" t="inlineStr"/>
      <c r="I33" s="40" t="inlineStr"/>
      <c r="J33" s="43" t="inlineStr"/>
      <c r="K33" s="40" t="inlineStr"/>
      <c r="L33" s="40" t="inlineStr"/>
      <c r="M33" s="43" t="inlineStr"/>
    </row>
  </sheetData>
  <autoFilter ref="A3:M33"/>
  <mergeCells count="2">
    <mergeCell ref="A2:M2"/>
    <mergeCell ref="A1:M1"/>
  </mergeCells>
  <conditionalFormatting sqref="I4:I34">
    <cfRule type="cellIs" priority="1" operator="equal" dxfId="0">
      <formula>"Critical"</formula>
    </cfRule>
    <cfRule type="cellIs" priority="2" operator="equal" dxfId="9">
      <formula>"High"</formula>
    </cfRule>
    <cfRule type="cellIs" priority="3" operator="equal" dxfId="10">
      <formula>"Medium"</formula>
    </cfRule>
  </conditionalFormatting>
  <conditionalFormatting sqref="K4:K34">
    <cfRule type="cellIs" priority="4" operator="equal" dxfId="3">
      <formula>"No"</formula>
    </cfRule>
    <cfRule type="cellIs" priority="5" operator="equal" dxfId="2">
      <formula>"Yes"</formula>
    </cfRule>
    <cfRule type="cellIs" priority="6" operator="equal" dxfId="4">
      <formula>"Verifying"</formula>
    </cfRule>
  </conditionalFormatting>
  <dataValidations count="3">
    <dataValidation sqref="H4:H34" showDropDown="0" showInputMessage="0" showErrorMessage="0" allowBlank="1" type="list">
      <formula1>"Critical,High,Medium,Low"</formula1>
    </dataValidation>
    <dataValidation sqref="I4:I34" showDropDown="0" showInputMessage="0" showErrorMessage="0" allowBlank="1" type="list">
      <formula1>"Critical,High,Medium,Low"</formula1>
    </dataValidation>
    <dataValidation sqref="K4:K34" showDropDown="0" showInputMessage="0" showErrorMessage="0" allowBlank="1" type="list">
      <formula1>"Yes,No,Verifying"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2026-05-23T11:33:15Z</dcterms:created>
  <dcterms:modified xmlns:dcterms="http://purl.org/dc/terms/" xmlns:xsi="http://www.w3.org/2001/XMLSchema-instance" xsi:type="dcterms:W3CDTF">2026-05-23T12:06:34Z</dcterms:modified>
</cp:coreProperties>
</file>