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Data Matrix" sheetId="4" state="visible" r:id="rId4"/>
    <sheet xmlns:r="http://schemas.openxmlformats.org/officeDocument/2006/relationships" name="Bug Tracker" sheetId="5" state="visible" r:id="rId5"/>
    <sheet xmlns:r="http://schemas.openxmlformats.org/officeDocument/2006/relationships" name="Regression Log" sheetId="6" state="visible" r:id="rId6"/>
  </sheets>
  <definedNames>
    <definedName name="_xlnm._FilterDatabase" localSheetId="1" hidden="1">'Test Cases'!$A$3:$X$141</definedName>
    <definedName name="_xlnm._FilterDatabase" localSheetId="4" hidden="1">'Bug Tracker'!$A$3:$I$53</definedName>
    <definedName name="_xlnm._FilterDatabase" localSheetId="5" hidden="1">'Regression Log'!$A$3:$M$33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FFFFFF"/>
      <sz val="12"/>
    </font>
    <font>
      <name val="Arial"/>
      <i val="1"/>
      <color rgb="00C00000"/>
      <sz val="11"/>
    </font>
    <font>
      <name val="Arial"/>
      <b val="1"/>
      <color rgb="00FFFFFF"/>
      <sz val="16"/>
    </font>
    <font>
      <name val="Arial"/>
      <b val="1"/>
      <sz val="12"/>
    </font>
    <font>
      <name val="Arial"/>
      <b val="1"/>
      <color rgb="00FFFFFF"/>
    </font>
    <font>
      <name val="Arial"/>
      <b val="1"/>
      <sz val="11"/>
    </font>
    <font>
      <name val="Arial"/>
      <b val="1"/>
      <color rgb="001F4E78"/>
      <sz val="12"/>
    </font>
    <font>
      <name val="Arial"/>
      <b val="1"/>
      <color rgb="00009900"/>
      <sz val="14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  <font>
      <name val="Arial"/>
      <b val="1"/>
      <color rgb="0070AD47"/>
      <sz val="10"/>
    </font>
    <font>
      <name val="Arial"/>
      <b val="1"/>
      <color rgb="00C00000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B6C1"/>
      </patternFill>
    </fill>
    <fill>
      <patternFill patternType="solid">
        <fgColor rgb="00F4B084"/>
      </patternFill>
    </fill>
    <fill>
      <patternFill patternType="solid">
        <fgColor rgb="00FCE4D6"/>
      </patternFill>
    </fill>
    <fill>
      <patternFill patternType="solid">
        <fgColor rgb="00B4A7D6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9C9C9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 indent="1"/>
    </xf>
    <xf numFmtId="0" fontId="13" fillId="0" borderId="1" pivotButton="0" quotePrefix="0" xfId="0"/>
    <xf numFmtId="0" fontId="14" fillId="0" borderId="1" pivotButton="0" quotePrefix="0" xfId="0"/>
    <xf numFmtId="0" fontId="2" fillId="0" borderId="1" pivotButton="0" quotePrefix="0" xfId="0"/>
    <xf numFmtId="164" fontId="15" fillId="0" borderId="1" pivotButton="0" quotePrefix="0" xfId="0"/>
    <xf numFmtId="0" fontId="16" fillId="0" borderId="1" pivotButton="0" quotePrefix="0" xfId="0"/>
    <xf numFmtId="164" fontId="11" fillId="0" borderId="1" pivotButton="0" quotePrefix="0" xfId="0"/>
    <xf numFmtId="164" fontId="17" fillId="0" borderId="1" pivotButton="0" quotePrefix="0" xfId="0"/>
    <xf numFmtId="0" fontId="8" fillId="16" borderId="0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left"/>
    </xf>
    <xf numFmtId="0" fontId="18" fillId="11" borderId="1" applyAlignment="1" pivotButton="0" quotePrefix="0" xfId="0">
      <alignment horizontal="left"/>
    </xf>
    <xf numFmtId="0" fontId="18" fillId="5" borderId="1" applyAlignment="1" pivotButton="0" quotePrefix="0" xfId="0">
      <alignment horizontal="left"/>
    </xf>
    <xf numFmtId="0" fontId="18" fillId="6" borderId="1" applyAlignment="1" pivotButton="0" quotePrefix="0" xfId="0">
      <alignment horizontal="left"/>
    </xf>
    <xf numFmtId="0" fontId="18" fillId="7" borderId="1" applyAlignment="1" pivotButton="0" quotePrefix="0" xfId="0">
      <alignment horizontal="left"/>
    </xf>
    <xf numFmtId="0" fontId="18" fillId="8" borderId="1" applyAlignment="1" pivotButton="0" quotePrefix="0" xfId="0">
      <alignment horizontal="left"/>
    </xf>
    <xf numFmtId="0" fontId="18" fillId="9" borderId="1" applyAlignment="1" pivotButton="0" quotePrefix="0" xfId="0">
      <alignment horizontal="left"/>
    </xf>
    <xf numFmtId="0" fontId="18" fillId="10" borderId="1" applyAlignment="1" pivotButton="0" quotePrefix="0" xfId="0">
      <alignment horizontal="left"/>
    </xf>
    <xf numFmtId="0" fontId="18" fillId="14" borderId="1" applyAlignment="1" pivotButton="0" quotePrefix="0" xfId="0">
      <alignment horizontal="left"/>
    </xf>
    <xf numFmtId="0" fontId="18" fillId="12" borderId="1" applyAlignment="1" pivotButton="0" quotePrefix="0" xfId="0">
      <alignment horizontal="left"/>
    </xf>
    <xf numFmtId="0" fontId="18" fillId="13" borderId="1" applyAlignment="1" pivotButton="0" quotePrefix="0" xfId="0">
      <alignment horizontal="left"/>
    </xf>
    <xf numFmtId="0" fontId="18" fillId="15" borderId="1" applyAlignment="1" pivotButton="0" quotePrefix="0" xfId="0">
      <alignment horizontal="left"/>
    </xf>
    <xf numFmtId="0" fontId="18" fillId="17" borderId="1" applyAlignment="1" pivotButton="0" quotePrefix="0" xfId="0">
      <alignment horizontal="left"/>
    </xf>
    <xf numFmtId="0" fontId="18" fillId="18" borderId="1" applyAlignment="1" pivotButton="0" quotePrefix="0" xfId="0">
      <alignment horizontal="left"/>
    </xf>
    <xf numFmtId="0" fontId="18" fillId="19" borderId="1" applyAlignment="1" pivotButton="0" quotePrefix="0" xfId="0">
      <alignment horizontal="left"/>
    </xf>
    <xf numFmtId="0" fontId="18" fillId="2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0" fillId="0" borderId="1" applyAlignment="1" pivotButton="0" quotePrefix="0" xfId="0">
      <alignment horizontal="left"/>
    </xf>
    <xf numFmtId="0" fontId="8" fillId="21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wrapText="1"/>
    </xf>
    <xf numFmtId="0" fontId="9" fillId="0" borderId="0" pivotButton="0" quotePrefix="0" xfId="0"/>
    <xf numFmtId="0" fontId="2" fillId="0" borderId="0" applyAlignment="1" pivotButton="0" quotePrefix="0" xfId="0">
      <alignment horizontal="center"/>
    </xf>
    <xf numFmtId="0" fontId="1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FFFFFF"/>
        <sz val="14"/>
      </font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  <dxf>
      <fill>
        <patternFill patternType="solid">
          <fgColor rgb="00B4C7E7"/>
        </patternFill>
      </fill>
    </dxf>
    <dxf>
      <fill>
        <patternFill patternType="solid">
          <fgColor rgb="00FFB6C1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📊 DASHBOARD - UAT EXECUTION SUMMARY</t>
        </is>
      </c>
    </row>
    <row r="3">
      <c r="A3" s="2" t="inlineStr">
        <is>
          <t>TỔNG QUAN</t>
        </is>
      </c>
    </row>
    <row r="4">
      <c r="A4" s="3" t="inlineStr">
        <is>
          <t>Tổng số TC</t>
        </is>
      </c>
      <c r="B4" s="4" t="n">
        <v>138</v>
      </c>
      <c r="C4" s="5" t="inlineStr">
        <is>
          <t>Số test case đã viết</t>
        </is>
      </c>
    </row>
    <row r="5">
      <c r="A5" s="3" t="inlineStr">
        <is>
          <t>✅ Đạt (cả 2 layer)</t>
        </is>
      </c>
      <c r="B5" s="4">
        <f>SUMPRODUCT(('Test Cases'!R4:R141="Đạt")*('Test Cases'!S4:S141="Đạt"))</f>
        <v/>
      </c>
      <c r="C5" s="5" t="inlineStr">
        <is>
          <t>TC pass cả API VÀ E2E</t>
        </is>
      </c>
    </row>
    <row r="6">
      <c r="A6" s="3" t="inlineStr">
        <is>
          <t>❌ Không đạt</t>
        </is>
      </c>
      <c r="B6" s="4">
        <f>SUMPRODUCT((('Test Cases'!R4:R141="Không đạt")+('Test Cases'!S4:S141="Không đạt"))&gt;0)*1</f>
        <v/>
      </c>
      <c r="C6" s="5" t="inlineStr">
        <is>
          <t>TC fail ít nhất 1 layer</t>
        </is>
      </c>
    </row>
    <row r="7">
      <c r="A7" s="3" t="inlineStr">
        <is>
          <t>API Đạt</t>
        </is>
      </c>
      <c r="B7" s="4">
        <f>COUNTIF('Test Cases'!R4:R141,"Đạt")</f>
        <v/>
      </c>
      <c r="C7" s="5" t="inlineStr">
        <is>
          <t>Layer 1 — API smoke</t>
        </is>
      </c>
    </row>
    <row r="8">
      <c r="A8" s="3" t="inlineStr">
        <is>
          <t>API Không đạt</t>
        </is>
      </c>
      <c r="B8" s="4">
        <f>COUNTIF('Test Cases'!R4:R141,"Không đạt")</f>
        <v/>
      </c>
      <c r="C8" s="5" t="inlineStr">
        <is>
          <t>API fail</t>
        </is>
      </c>
    </row>
    <row r="9">
      <c r="A9" s="3" t="inlineStr">
        <is>
          <t>E2E Đạt</t>
        </is>
      </c>
      <c r="B9" s="4">
        <f>COUNTIF('Test Cases'!S4:S141,"Đạt")</f>
        <v/>
      </c>
      <c r="C9" s="5" t="inlineStr">
        <is>
          <t>Layer 2 — UI E2E</t>
        </is>
      </c>
    </row>
    <row r="10">
      <c r="A10" s="3" t="inlineStr">
        <is>
          <t>E2E Không đạt</t>
        </is>
      </c>
      <c r="B10" s="4">
        <f>COUNTIF('Test Cases'!S4:S141,"Không đạt")</f>
        <v/>
      </c>
      <c r="C10" s="5" t="inlineStr">
        <is>
          <t>E2E fail</t>
        </is>
      </c>
    </row>
    <row r="11">
      <c r="A11" s="3" t="inlineStr">
        <is>
          <t>E2E Bỏ qua</t>
        </is>
      </c>
      <c r="B11" s="4">
        <f>COUNTIF('Test Cases'!S4:S141,"Bỏ qua")</f>
        <v/>
      </c>
      <c r="C11" s="5" t="inlineStr">
        <is>
          <t>Skip do API smoke fail</t>
        </is>
      </c>
    </row>
    <row r="12">
      <c r="A12" s="3" t="inlineStr">
        <is>
          <t>Chưa chạy</t>
        </is>
      </c>
      <c r="B12" s="4">
        <f>COUNTBLANK('Test Cases'!R4:R141)+COUNTIF('Test Cases'!R4:R141,"Chưa chạy")</f>
        <v/>
      </c>
      <c r="C12" s="5" t="inlineStr">
        <is>
          <t>Còn lại</t>
        </is>
      </c>
    </row>
    <row r="14">
      <c r="A14" s="3" t="inlineStr">
        <is>
          <t>Tỷ lệ đạt (cả 2 layer)</t>
        </is>
      </c>
      <c r="B14" s="6">
        <f>IFERROR(SUMPRODUCT(('Test Cases'!R4:R141="Đạt")*('Test Cases'!S4:S141="Đạt"))/(SUMPRODUCT(('Test Cases'!R4:R141="Đạt")*('Test Cases'!S4:S141="Đạt"))+SUMPRODUCT((('Test Cases'!R4:R141="Không đạt")+('Test Cases'!S4:S141="Không đạt"))&gt;0)),0)</f>
        <v/>
      </c>
      <c r="C14" s="7" t="inlineStr">
        <is>
          <t>API+E2E đều Đạt / Tổng đã chạy</t>
        </is>
      </c>
    </row>
    <row r="15">
      <c r="A15" s="3" t="inlineStr">
        <is>
          <t>API pass rate</t>
        </is>
      </c>
      <c r="B15" s="8">
        <f>IFERROR(COUNTIF('Test Cases'!R4:R141,"Đạt")/(COUNTIF('Test Cases'!R4:R141,"Đạt")+COUNTIF('Test Cases'!R4:R141,"Không đạt")),0)</f>
        <v/>
      </c>
      <c r="C15" s="7" t="inlineStr">
        <is>
          <t>Layer 1</t>
        </is>
      </c>
    </row>
    <row r="16">
      <c r="A16" s="3" t="inlineStr">
        <is>
          <t>E2E pass rate</t>
        </is>
      </c>
      <c r="B16" s="8">
        <f>IFERROR(COUNTIF('Test Cases'!S4:S141,"Đạt")/(COUNTIF('Test Cases'!S4:S141,"Đạt")+COUNTIF('Test Cases'!S4:S141,"Không đạt")),0)</f>
        <v/>
      </c>
      <c r="C16" s="7" t="inlineStr">
        <is>
          <t>Layer 2 (UI Chromium)</t>
        </is>
      </c>
    </row>
    <row r="17">
      <c r="A17" s="3" t="inlineStr">
        <is>
          <t>Tỷ lệ hoàn thành</t>
        </is>
      </c>
      <c r="B17" s="9">
        <f>IFERROR((COUNTIF('Test Cases'!R4:R141,"Đạt")+COUNTIF('Test Cases'!R4:R141,"Không đạt")+COUNTIF('Test Cases'!R4:R141,"Bị chặn"))/138,0)</f>
        <v/>
      </c>
      <c r="C17" s="7" t="inlineStr">
        <is>
          <t>API đã chạy / Tổng</t>
        </is>
      </c>
    </row>
    <row r="19">
      <c r="A19" s="10" t="inlineStr">
        <is>
          <t>ĐỘ PHỦ THEO LOẠI</t>
        </is>
      </c>
    </row>
    <row r="20">
      <c r="A20" s="11" t="inlineStr">
        <is>
          <t>Loại</t>
        </is>
      </c>
      <c r="B20" s="11" t="inlineStr">
        <is>
          <t>Số TC</t>
        </is>
      </c>
      <c r="C20" s="11" t="inlineStr">
        <is>
          <t>Tỷ lệ</t>
        </is>
      </c>
      <c r="D20" s="11" t="inlineStr">
        <is>
          <t>Pass</t>
        </is>
      </c>
      <c r="E20" s="11" t="inlineStr">
        <is>
          <t>Fail</t>
        </is>
      </c>
      <c r="F20" s="11" t="inlineStr">
        <is>
          <t>Pass rate</t>
        </is>
      </c>
    </row>
    <row r="21">
      <c r="A21" s="12" t="inlineStr">
        <is>
          <t>GREEN</t>
        </is>
      </c>
      <c r="B21" s="13">
        <f>COUNTIF('Test Cases'!B4:B141,"GREEN")</f>
        <v/>
      </c>
      <c r="C21" s="14">
        <f>IFERROR(B21/138,0)</f>
        <v/>
      </c>
      <c r="D21" s="13">
        <f>COUNTIFS('Test Cases'!B4:B141,"GREEN",'Test Cases'!S4:S141,"Đạt")</f>
        <v/>
      </c>
      <c r="E21" s="13">
        <f>COUNTIFS('Test Cases'!B4:B141,"GREEN",'Test Cases'!S4:S141,"Không đạt")</f>
        <v/>
      </c>
      <c r="F21" s="14">
        <f>IFERROR(D21/(D21+E21),0)</f>
        <v/>
      </c>
    </row>
    <row r="22">
      <c r="A22" s="15" t="inlineStr">
        <is>
          <t>RED</t>
        </is>
      </c>
      <c r="B22" s="13">
        <f>COUNTIF('Test Cases'!B4:B141,"RED")</f>
        <v/>
      </c>
      <c r="C22" s="14">
        <f>IFERROR(B22/138,0)</f>
        <v/>
      </c>
      <c r="D22" s="13">
        <f>COUNTIFS('Test Cases'!B4:B141,"RED",'Test Cases'!S4:S141,"Đạt")</f>
        <v/>
      </c>
      <c r="E22" s="13">
        <f>COUNTIFS('Test Cases'!B4:B141,"RED",'Test Cases'!S4:S141,"Không đạt")</f>
        <v/>
      </c>
      <c r="F22" s="14">
        <f>IFERROR(D22/(D22+E22),0)</f>
        <v/>
      </c>
    </row>
    <row r="23">
      <c r="A23" s="16" t="inlineStr">
        <is>
          <t>EDGE</t>
        </is>
      </c>
      <c r="B23" s="13">
        <f>COUNTIF('Test Cases'!B4:B141,"EDGE")</f>
        <v/>
      </c>
      <c r="C23" s="14">
        <f>IFERROR(B23/138,0)</f>
        <v/>
      </c>
      <c r="D23" s="13">
        <f>COUNTIFS('Test Cases'!B4:B141,"EDGE",'Test Cases'!S4:S141,"Đạt")</f>
        <v/>
      </c>
      <c r="E23" s="13">
        <f>COUNTIFS('Test Cases'!B4:B141,"EDGE",'Test Cases'!S4:S141,"Không đạt")</f>
        <v/>
      </c>
      <c r="F23" s="14">
        <f>IFERROR(D23/(D23+E23),0)</f>
        <v/>
      </c>
    </row>
    <row r="24">
      <c r="A24" s="17" t="inlineStr">
        <is>
          <t>BOUNDARY</t>
        </is>
      </c>
      <c r="B24" s="13">
        <f>COUNTIF('Test Cases'!B4:B141,"BOUNDARY")</f>
        <v/>
      </c>
      <c r="C24" s="14">
        <f>IFERROR(B24/138,0)</f>
        <v/>
      </c>
      <c r="D24" s="13">
        <f>COUNTIFS('Test Cases'!B4:B141,"BOUNDARY",'Test Cases'!S4:S141,"Đạt")</f>
        <v/>
      </c>
      <c r="E24" s="13">
        <f>COUNTIFS('Test Cases'!B4:B141,"BOUNDARY",'Test Cases'!S4:S141,"Không đạt")</f>
        <v/>
      </c>
      <c r="F24" s="14">
        <f>IFERROR(D24/(D24+E24),0)</f>
        <v/>
      </c>
    </row>
    <row r="25">
      <c r="A25" s="18" t="inlineStr">
        <is>
          <t>EP</t>
        </is>
      </c>
      <c r="B25" s="13">
        <f>COUNTIF('Test Cases'!B4:B141,"EP")</f>
        <v/>
      </c>
      <c r="C25" s="14">
        <f>IFERROR(B25/138,0)</f>
        <v/>
      </c>
      <c r="D25" s="13">
        <f>COUNTIFS('Test Cases'!B4:B141,"EP",'Test Cases'!S4:S141,"Đạt")</f>
        <v/>
      </c>
      <c r="E25" s="13">
        <f>COUNTIFS('Test Cases'!B4:B141,"EP",'Test Cases'!S4:S141,"Không đạt")</f>
        <v/>
      </c>
      <c r="F25" s="14">
        <f>IFERROR(D25/(D25+E25),0)</f>
        <v/>
      </c>
    </row>
    <row r="26">
      <c r="A26" s="19" t="inlineStr">
        <is>
          <t>STATE</t>
        </is>
      </c>
      <c r="B26" s="13">
        <f>COUNTIF('Test Cases'!B4:B141,"STATE")</f>
        <v/>
      </c>
      <c r="C26" s="14">
        <f>IFERROR(B26/138,0)</f>
        <v/>
      </c>
      <c r="D26" s="13">
        <f>COUNTIFS('Test Cases'!B4:B141,"STATE",'Test Cases'!S4:S141,"Đạt")</f>
        <v/>
      </c>
      <c r="E26" s="13">
        <f>COUNTIFS('Test Cases'!B4:B141,"STATE",'Test Cases'!S4:S141,"Không đạt")</f>
        <v/>
      </c>
      <c r="F26" s="14">
        <f>IFERROR(D26/(D26+E26),0)</f>
        <v/>
      </c>
    </row>
    <row r="27">
      <c r="A27" s="20" t="inlineStr">
        <is>
          <t>DECISION</t>
        </is>
      </c>
      <c r="B27" s="13">
        <f>COUNTIF('Test Cases'!B4:B141,"DECISION")</f>
        <v/>
      </c>
      <c r="C27" s="14">
        <f>IFERROR(B27/138,0)</f>
        <v/>
      </c>
      <c r="D27" s="13">
        <f>COUNTIFS('Test Cases'!B4:B141,"DECISION",'Test Cases'!S4:S141,"Đạt")</f>
        <v/>
      </c>
      <c r="E27" s="13">
        <f>COUNTIFS('Test Cases'!B4:B141,"DECISION",'Test Cases'!S4:S141,"Không đạt")</f>
        <v/>
      </c>
      <c r="F27" s="14">
        <f>IFERROR(D27/(D27+E27),0)</f>
        <v/>
      </c>
    </row>
    <row r="28">
      <c r="A28" s="21" t="inlineStr">
        <is>
          <t>SECURITY</t>
        </is>
      </c>
      <c r="B28" s="13">
        <f>COUNTIF('Test Cases'!B4:B141,"SECURITY")</f>
        <v/>
      </c>
      <c r="C28" s="14">
        <f>IFERROR(B28/138,0)</f>
        <v/>
      </c>
      <c r="D28" s="13">
        <f>COUNTIFS('Test Cases'!B4:B141,"SECURITY",'Test Cases'!S4:S141,"Đạt")</f>
        <v/>
      </c>
      <c r="E28" s="13">
        <f>COUNTIFS('Test Cases'!B4:B141,"SECURITY",'Test Cases'!S4:S141,"Không đạt")</f>
        <v/>
      </c>
      <c r="F28" s="14">
        <f>IFERROR(D28/(D28+E28),0)</f>
        <v/>
      </c>
    </row>
    <row r="29">
      <c r="A29" s="22" t="inlineStr">
        <is>
          <t>DATA</t>
        </is>
      </c>
      <c r="B29" s="13">
        <f>COUNTIF('Test Cases'!B4:B141,"DATA")</f>
        <v/>
      </c>
      <c r="C29" s="14">
        <f>IFERROR(B29/138,0)</f>
        <v/>
      </c>
      <c r="D29" s="13">
        <f>COUNTIFS('Test Cases'!B4:B141,"DATA",'Test Cases'!S4:S141,"Đạt")</f>
        <v/>
      </c>
      <c r="E29" s="13">
        <f>COUNTIFS('Test Cases'!B4:B141,"DATA",'Test Cases'!S4:S141,"Không đạt")</f>
        <v/>
      </c>
      <c r="F29" s="14">
        <f>IFERROR(D29/(D29+E29),0)</f>
        <v/>
      </c>
    </row>
    <row r="30">
      <c r="A30" s="23" t="inlineStr">
        <is>
          <t>PERFORMANCE</t>
        </is>
      </c>
      <c r="B30" s="13">
        <f>COUNTIF('Test Cases'!B4:B141,"PERFORMANCE")</f>
        <v/>
      </c>
      <c r="C30" s="14">
        <f>IFERROR(B30/138,0)</f>
        <v/>
      </c>
      <c r="D30" s="13">
        <f>COUNTIFS('Test Cases'!B4:B141,"PERFORMANCE",'Test Cases'!S4:S141,"Đạt")</f>
        <v/>
      </c>
      <c r="E30" s="13">
        <f>COUNTIFS('Test Cases'!B4:B141,"PERFORMANCE",'Test Cases'!S4:S141,"Không đạt")</f>
        <v/>
      </c>
      <c r="F30" s="14">
        <f>IFERROR(D30/(D30+E30),0)</f>
        <v/>
      </c>
    </row>
    <row r="31">
      <c r="A31" s="24" t="inlineStr">
        <is>
          <t>A11Y</t>
        </is>
      </c>
      <c r="B31" s="13">
        <f>COUNTIF('Test Cases'!B4:B141,"A11Y")</f>
        <v/>
      </c>
      <c r="C31" s="14">
        <f>IFERROR(B31/138,0)</f>
        <v/>
      </c>
      <c r="D31" s="13">
        <f>COUNTIFS('Test Cases'!B4:B141,"A11Y",'Test Cases'!S4:S141,"Đạt")</f>
        <v/>
      </c>
      <c r="E31" s="13">
        <f>COUNTIFS('Test Cases'!B4:B141,"A11Y",'Test Cases'!S4:S141,"Không đạt")</f>
        <v/>
      </c>
      <c r="F31" s="14">
        <f>IFERROR(D31/(D31+E31),0)</f>
        <v/>
      </c>
    </row>
    <row r="32">
      <c r="A32" s="25" t="inlineStr">
        <is>
          <t>COMPAT</t>
        </is>
      </c>
      <c r="B32" s="13">
        <f>COUNTIF('Test Cases'!B4:B141,"COMPAT")</f>
        <v/>
      </c>
      <c r="C32" s="14">
        <f>IFERROR(B32/138,0)</f>
        <v/>
      </c>
      <c r="D32" s="13">
        <f>COUNTIFS('Test Cases'!B4:B141,"COMPAT",'Test Cases'!S4:S141,"Đạt")</f>
        <v/>
      </c>
      <c r="E32" s="13">
        <f>COUNTIFS('Test Cases'!B4:B141,"COMPAT",'Test Cases'!S4:S141,"Không đạt")</f>
        <v/>
      </c>
      <c r="F32" s="14">
        <f>IFERROR(D32/(D32+E32),0)</f>
        <v/>
      </c>
    </row>
    <row r="33">
      <c r="A33" s="26" t="inlineStr">
        <is>
          <t>INTEGRATION</t>
        </is>
      </c>
      <c r="B33" s="13">
        <f>COUNTIF('Test Cases'!B4:B141,"INTEGRATION")</f>
        <v/>
      </c>
      <c r="C33" s="14">
        <f>IFERROR(B33/138,0)</f>
        <v/>
      </c>
      <c r="D33" s="13">
        <f>COUNTIFS('Test Cases'!B4:B141,"INTEGRATION",'Test Cases'!S4:S141,"Đạt")</f>
        <v/>
      </c>
      <c r="E33" s="13">
        <f>COUNTIFS('Test Cases'!B4:B141,"INTEGRATION",'Test Cases'!S4:S141,"Không đạt")</f>
        <v/>
      </c>
      <c r="F33" s="14">
        <f>IFERROR(D33/(D33+E33),0)</f>
        <v/>
      </c>
    </row>
    <row r="34">
      <c r="A34" s="27" t="inlineStr">
        <is>
          <t>REGRESSION</t>
        </is>
      </c>
      <c r="B34" s="13">
        <f>COUNTIF('Test Cases'!B4:B141,"REGRESSION")</f>
        <v/>
      </c>
      <c r="C34" s="14">
        <f>IFERROR(B34/138,0)</f>
        <v/>
      </c>
      <c r="D34" s="13">
        <f>COUNTIFS('Test Cases'!B4:B141,"REGRESSION",'Test Cases'!S4:S141,"Đạt")</f>
        <v/>
      </c>
      <c r="E34" s="13">
        <f>COUNTIFS('Test Cases'!B4:B141,"REGRESSION",'Test Cases'!S4:S141,"Không đạt")</f>
        <v/>
      </c>
      <c r="F34" s="14">
        <f>IFERROR(D34/(D34+E34),0)</f>
        <v/>
      </c>
    </row>
    <row r="35">
      <c r="A35" s="28" t="inlineStr">
        <is>
          <t>RECOVERY</t>
        </is>
      </c>
      <c r="B35" s="13">
        <f>COUNTIF('Test Cases'!B4:B141,"RECOVERY")</f>
        <v/>
      </c>
      <c r="C35" s="14">
        <f>IFERROR(B35/138,0)</f>
        <v/>
      </c>
      <c r="D35" s="13">
        <f>COUNTIFS('Test Cases'!B4:B141,"RECOVERY",'Test Cases'!S4:S141,"Đạt")</f>
        <v/>
      </c>
      <c r="E35" s="13">
        <f>COUNTIFS('Test Cases'!B4:B141,"RECOVERY",'Test Cases'!S4:S141,"Không đạt")</f>
        <v/>
      </c>
      <c r="F35" s="14">
        <f>IFERROR(D35/(D35+E35),0)</f>
        <v/>
      </c>
    </row>
    <row r="36">
      <c r="A36" s="29" t="inlineStr">
        <is>
          <t>AUDIT</t>
        </is>
      </c>
      <c r="B36" s="13">
        <f>COUNTIF('Test Cases'!B4:B141,"AUDIT")</f>
        <v/>
      </c>
      <c r="C36" s="14">
        <f>IFERROR(B36/138,0)</f>
        <v/>
      </c>
      <c r="D36" s="13">
        <f>COUNTIFS('Test Cases'!B4:B141,"AUDIT",'Test Cases'!S4:S141,"Đạt")</f>
        <v/>
      </c>
      <c r="E36" s="13">
        <f>COUNTIFS('Test Cases'!B4:B141,"AUDIT",'Test Cases'!S4:S141,"Không đạt")</f>
        <v/>
      </c>
      <c r="F36" s="14">
        <f>IFERROR(D36/(D36+E36),0)</f>
        <v/>
      </c>
    </row>
    <row r="37">
      <c r="A37" s="30" t="inlineStr">
        <is>
          <t>USABILITY</t>
        </is>
      </c>
      <c r="B37" s="13">
        <f>COUNTIF('Test Cases'!B4:B141,"USABILITY")</f>
        <v/>
      </c>
      <c r="C37" s="14">
        <f>IFERROR(B37/138,0)</f>
        <v/>
      </c>
      <c r="D37" s="13">
        <f>COUNTIFS('Test Cases'!B4:B141,"USABILITY",'Test Cases'!S4:S141,"Đạt")</f>
        <v/>
      </c>
      <c r="E37" s="13">
        <f>COUNTIFS('Test Cases'!B4:B141,"USABILITY",'Test Cases'!S4:S141,"Không đạt")</f>
        <v/>
      </c>
      <c r="F37" s="14">
        <f>IFERROR(D37/(D37+E37),0)</f>
        <v/>
      </c>
    </row>
    <row r="39">
      <c r="A39" s="10" t="inlineStr">
        <is>
          <t>THEO ĐỘ ƯU TIÊN</t>
        </is>
      </c>
    </row>
    <row r="40">
      <c r="A40" s="11" t="inlineStr">
        <is>
          <t>Priority</t>
        </is>
      </c>
      <c r="B40" s="11" t="inlineStr">
        <is>
          <t>Số TC</t>
        </is>
      </c>
      <c r="C40" s="11" t="inlineStr">
        <is>
          <t>Tỷ lệ</t>
        </is>
      </c>
      <c r="D40" s="11" t="inlineStr">
        <is>
          <t>Pass</t>
        </is>
      </c>
      <c r="E40" s="11" t="inlineStr">
        <is>
          <t>Fail</t>
        </is>
      </c>
      <c r="F40" s="11" t="inlineStr">
        <is>
          <t>Pass rate</t>
        </is>
      </c>
    </row>
    <row r="41">
      <c r="A41" s="31" t="inlineStr">
        <is>
          <t>P0</t>
        </is>
      </c>
      <c r="B41" s="13">
        <f>COUNTIF('Test Cases'!C4:C141,"P0")</f>
        <v/>
      </c>
      <c r="C41" s="14">
        <f>IFERROR(B41/138,0)</f>
        <v/>
      </c>
      <c r="D41" s="13">
        <f>COUNTIFS('Test Cases'!C4:C141,"P0",'Test Cases'!S4:S141,"Đạt")</f>
        <v/>
      </c>
      <c r="E41" s="13">
        <f>COUNTIFS('Test Cases'!C4:C141,"P0",'Test Cases'!S4:S141,"Không đạt")</f>
        <v/>
      </c>
      <c r="F41" s="14">
        <f>IFERROR(D41/(D41+E41),0)</f>
        <v/>
      </c>
    </row>
    <row r="42">
      <c r="A42" s="32" t="inlineStr">
        <is>
          <t>P1</t>
        </is>
      </c>
      <c r="B42" s="13">
        <f>COUNTIF('Test Cases'!C4:C141,"P1")</f>
        <v/>
      </c>
      <c r="C42" s="14">
        <f>IFERROR(B42/138,0)</f>
        <v/>
      </c>
      <c r="D42" s="13">
        <f>COUNTIFS('Test Cases'!C4:C141,"P1",'Test Cases'!S4:S141,"Đạt")</f>
        <v/>
      </c>
      <c r="E42" s="13">
        <f>COUNTIFS('Test Cases'!C4:C141,"P1",'Test Cases'!S4:S141,"Không đạt")</f>
        <v/>
      </c>
      <c r="F42" s="14">
        <f>IFERROR(D42/(D42+E42),0)</f>
        <v/>
      </c>
    </row>
    <row r="43">
      <c r="A43" s="33" t="inlineStr">
        <is>
          <t>P2</t>
        </is>
      </c>
      <c r="B43" s="13">
        <f>COUNTIF('Test Cases'!C4:C141,"P2")</f>
        <v/>
      </c>
      <c r="C43" s="14">
        <f>IFERROR(B43/138,0)</f>
        <v/>
      </c>
      <c r="D43" s="13">
        <f>COUNTIFS('Test Cases'!C4:C141,"P2",'Test Cases'!S4:S141,"Đạt")</f>
        <v/>
      </c>
      <c r="E43" s="13">
        <f>COUNTIFS('Test Cases'!C4:C141,"P2",'Test Cases'!S4:S141,"Không đạt")</f>
        <v/>
      </c>
      <c r="F43" s="14">
        <f>IFERROR(D43/(D43+E43),0)</f>
        <v/>
      </c>
    </row>
    <row r="44">
      <c r="A44" s="34" t="inlineStr">
        <is>
          <t>P3</t>
        </is>
      </c>
      <c r="B44" s="13">
        <f>COUNTIF('Test Cases'!C4:C141,"P3")</f>
        <v/>
      </c>
      <c r="C44" s="14">
        <f>IFERROR(B44/138,0)</f>
        <v/>
      </c>
      <c r="D44" s="13">
        <f>COUNTIFS('Test Cases'!C4:C141,"P3",'Test Cases'!S4:S141,"Đạt")</f>
        <v/>
      </c>
      <c r="E44" s="13">
        <f>COUNTIFS('Test Cases'!C4:C141,"P3",'Test Cases'!S4:S141,"Không đạt")</f>
        <v/>
      </c>
      <c r="F44" s="14">
        <f>IFERROR(D44/(D44+E44),0)</f>
        <v/>
      </c>
    </row>
    <row r="46">
      <c r="A46" s="10" t="inlineStr">
        <is>
          <t>EXIT CRITERIA</t>
        </is>
      </c>
    </row>
    <row r="47">
      <c r="A47" s="11" t="inlineStr">
        <is>
          <t>Tiêu chí</t>
        </is>
      </c>
      <c r="B47" s="11" t="inlineStr">
        <is>
          <t>Yêu cầu</t>
        </is>
      </c>
      <c r="C47" s="11" t="inlineStr">
        <is>
          <t>Thực tế</t>
        </is>
      </c>
      <c r="D47" s="11" t="inlineStr">
        <is>
          <t>Trạng thái</t>
        </is>
      </c>
    </row>
    <row r="48">
      <c r="A48" s="35" t="inlineStr">
        <is>
          <t>P0 pass rate</t>
        </is>
      </c>
      <c r="B48" s="13" t="inlineStr">
        <is>
          <t>≥ 100%</t>
        </is>
      </c>
      <c r="C48" s="14">
        <f>IFERROR(COUNTIFS('Test Cases'!C4:C141,"P0",'Test Cases'!S4:S141,"Đạt")/COUNTIF('Test Cases'!C4:C141,"P0"),0)</f>
        <v/>
      </c>
      <c r="D48" s="13">
        <f>IF(C48&gt;=1,"✅ Đạt","❌ Chưa đạt")</f>
        <v/>
      </c>
    </row>
    <row r="49">
      <c r="A49" s="35" t="inlineStr">
        <is>
          <t>P1 pass rate</t>
        </is>
      </c>
      <c r="B49" s="13" t="inlineStr">
        <is>
          <t>≥ 95%</t>
        </is>
      </c>
      <c r="C49" s="14">
        <f>IFERROR(COUNTIFS('Test Cases'!C4:C141,"P1",'Test Cases'!S4:S141,"Đạt")/COUNTIF('Test Cases'!C4:C141,"P1"),0)</f>
        <v/>
      </c>
      <c r="D49" s="13">
        <f>IF(C49&gt;=0.95,"✅ Đạt","❌ Chưa đạt")</f>
        <v/>
      </c>
    </row>
    <row r="50">
      <c r="A50" s="35" t="inlineStr">
        <is>
          <t>P2 pass rate</t>
        </is>
      </c>
      <c r="B50" s="13" t="inlineStr">
        <is>
          <t>≥ 85%</t>
        </is>
      </c>
      <c r="C50" s="14">
        <f>IFERROR(COUNTIFS('Test Cases'!C4:C141,"P2",'Test Cases'!S4:S141,"Đạt")/MAX(COUNTIF('Test Cases'!C4:C141,"P2"),1),1)</f>
        <v/>
      </c>
      <c r="D50" s="13">
        <f>IF(C50&gt;=0.85,"✅ Đạt","❌ Chưa đạt")</f>
        <v/>
      </c>
    </row>
    <row r="51">
      <c r="A51" s="35" t="inlineStr">
        <is>
          <t>Bug Critical mở</t>
        </is>
      </c>
      <c r="B51" s="13">
        <f> 0</f>
        <v/>
      </c>
      <c r="C51" s="13">
        <f>COUNTIFS('Bug Tracker'!D:D,"Critical",'Bug Tracker'!E:E,"Open")+COUNTIFS('Bug Tracker'!D:D,"Critical",'Bug Tracker'!E:E,"Fixing")+COUNTIFS('Bug Tracker'!D:D,"Critical",'Bug Tracker'!E:E,"Fixed")</f>
        <v/>
      </c>
      <c r="D51" s="13">
        <f>IF(C51=0,"✅ Đạt","❌ Chưa đạt")</f>
        <v/>
      </c>
    </row>
    <row r="52">
      <c r="A52" s="36" t="inlineStr">
        <is>
          <t>TC bị regression</t>
        </is>
      </c>
      <c r="B52" s="13">
        <f> 0</f>
        <v/>
      </c>
      <c r="C52" s="13">
        <f>COUNTIF('Test Cases'!U:U,"⚠️ REGRESSION")</f>
        <v/>
      </c>
      <c r="D52" s="13">
        <f>IF(C52=0,"✅ Không có","🚨 BLOCK RELEASE")</f>
        <v/>
      </c>
    </row>
    <row r="53">
      <c r="A53" s="36" t="inlineStr">
        <is>
          <t>Regression chưa fix</t>
        </is>
      </c>
      <c r="B53" s="13">
        <f> 0</f>
        <v/>
      </c>
      <c r="C53" s="13">
        <f>COUNTIF('Regression Log'!K:K,"No")+COUNTIF('Regression Log'!K:K,"Verifying")</f>
        <v/>
      </c>
      <c r="D53" s="13">
        <f>IF(C53=0,"✅ Không có","🚨 BLOCK RELEASE")</f>
        <v/>
      </c>
    </row>
    <row r="55" ht="40" customHeight="1">
      <c r="A55" s="37">
        <f>IF(OR(C52&gt;0,C53&gt;0),"🚨 CẢNH BÁO REGRESSION: "&amp;C52&amp;" TC level-down, "&amp;C53&amp;" bug regression chưa fix - XEM Regression Log sheet","")</f>
        <v/>
      </c>
    </row>
    <row r="57" ht="30" customHeight="1">
      <c r="A57" s="38">
        <f>IF(AND(C48&gt;=1,C49&gt;=0.95,C50&gt;=0.85,C51=0,C52=0,C53=0),"🎉 SẴN SÀNG RELEASE",IF(OR(C52&gt;0,C53&gt;0),"⛔ BLOCK RELEASE — CÓ REGRESSION (LEVEL DOWN)","⛔ CHƯA SẴN SÀNG RELEASE"))</f>
        <v/>
      </c>
    </row>
  </sheetData>
  <mergeCells count="7">
    <mergeCell ref="A46:F46"/>
    <mergeCell ref="A19:F19"/>
    <mergeCell ref="A1:F1"/>
    <mergeCell ref="A3:F3"/>
    <mergeCell ref="A39:F39"/>
    <mergeCell ref="A55:F55"/>
    <mergeCell ref="A57:F57"/>
  </mergeCells>
  <conditionalFormatting sqref="D52">
    <cfRule type="cellIs" priority="1" operator="equal" dxfId="0">
      <formula>"🚨 BLOCK RELEASE"</formula>
    </cfRule>
  </conditionalFormatting>
  <conditionalFormatting sqref="D53">
    <cfRule type="cellIs" priority="2" operator="equal" dxfId="0">
      <formula>"🚨 BLOCK RELEASE"</formula>
    </cfRule>
  </conditionalFormatting>
  <conditionalFormatting sqref="A57">
    <cfRule type="expression" priority="3" dxfId="1">
      <formula>OR(C52&gt;0,C53&gt;0)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35" customWidth="1" min="5" max="5"/>
    <col width="14" customWidth="1" min="6" max="6"/>
    <col width="18" customWidth="1" min="7" max="7"/>
    <col width="13" customWidth="1" min="8" max="8"/>
    <col width="30" customWidth="1" min="9" max="9"/>
    <col width="40" customWidth="1" min="10" max="10"/>
    <col width="25" customWidth="1" min="11" max="11"/>
    <col width="22" customWidth="1" min="12" max="12"/>
    <col width="35" customWidth="1" min="13" max="13"/>
    <col width="30" customWidth="1" min="14" max="14"/>
    <col width="30" customWidth="1" min="15" max="15"/>
    <col width="14" customWidth="1" min="16" max="16"/>
    <col width="35" customWidth="1" min="17" max="17"/>
    <col width="14" customWidth="1" min="18" max="18"/>
    <col width="14" customWidth="1" min="19" max="19"/>
    <col width="14" customWidth="1" min="20" max="20"/>
    <col width="16" customWidth="1" min="21" max="21"/>
    <col width="22" customWidth="1" min="22" max="22"/>
    <col width="14" customWidth="1" min="23" max="23"/>
    <col width="25" customWidth="1" min="24" max="24"/>
  </cols>
  <sheetData>
    <row r="1" ht="30" customHeight="1">
      <c r="A1" s="38" t="inlineStr">
        <is>
          <t>BỘ TEST CASE UAT: Quản lý Vụ việc (Incidents)</t>
        </is>
      </c>
    </row>
    <row r="2">
      <c r="A2" s="39" t="inlineStr">
        <is>
          <t>Tổng số TC: 138 | Ngày tạo: 30/05/2026 | Generated by uat-test-writer skill</t>
        </is>
      </c>
    </row>
    <row r="3" ht="40" customHeight="1">
      <c r="A3" s="40" t="inlineStr">
        <is>
          <t>TC-ID</t>
        </is>
      </c>
      <c r="B3" s="40" t="inlineStr">
        <is>
          <t>Loại</t>
        </is>
      </c>
      <c r="C3" s="40" t="inlineStr">
        <is>
          <t>Độ ưu tiên</t>
        </is>
      </c>
      <c r="D3" s="40" t="inlineStr">
        <is>
          <t>Module</t>
        </is>
      </c>
      <c r="E3" s="40" t="inlineStr">
        <is>
          <t>Tiêu đề</t>
        </is>
      </c>
      <c r="F3" s="40" t="inlineStr">
        <is>
          <t>Yêu cầu</t>
        </is>
      </c>
      <c r="G3" s="40" t="inlineStr">
        <is>
          <t>Kỹ thuật test</t>
        </is>
      </c>
      <c r="H3" s="40" t="inlineStr">
        <is>
          <t>Mức độ rủi ro</t>
        </is>
      </c>
      <c r="I3" s="40" t="inlineStr">
        <is>
          <t>Điều kiện tiên quyết</t>
        </is>
      </c>
      <c r="J3" s="40" t="inlineStr">
        <is>
          <t>Các bước kiểm thử</t>
        </is>
      </c>
      <c r="K3" s="40" t="inlineStr">
        <is>
          <t>Dữ liệu kiểm thử</t>
        </is>
      </c>
      <c r="L3" s="40" t="inlineStr">
        <is>
          <t>Data fixtures cần</t>
        </is>
      </c>
      <c r="M3" s="40" t="inlineStr">
        <is>
          <t>Kết quả mong đợi - UI</t>
        </is>
      </c>
      <c r="N3" s="40" t="inlineStr">
        <is>
          <t>Kết quả mong đợi - API</t>
        </is>
      </c>
      <c r="O3" s="40" t="inlineStr">
        <is>
          <t>Kết quả mong đợi - Side effects</t>
        </is>
      </c>
      <c r="P3" s="40" t="inlineStr">
        <is>
          <t>Severity nếu fail</t>
        </is>
      </c>
      <c r="Q3" s="40" t="inlineStr">
        <is>
          <t>Kết quả thực tế</t>
        </is>
      </c>
      <c r="R3" s="40" t="inlineStr">
        <is>
          <t>Trạng thái API</t>
        </is>
      </c>
      <c r="S3" s="40" t="inlineStr">
        <is>
          <t>Trạng thái E2E</t>
        </is>
      </c>
      <c r="T3" s="40" t="inlineStr">
        <is>
          <t>Bug ID</t>
        </is>
      </c>
      <c r="U3" s="40" t="inlineStr">
        <is>
          <t>Lần chạy cuối</t>
        </is>
      </c>
      <c r="V3" s="40" t="inlineStr">
        <is>
          <t>Lịch sử chạy</t>
        </is>
      </c>
      <c r="W3" s="40" t="inlineStr">
        <is>
          <t>Cờ regression</t>
        </is>
      </c>
      <c r="X3" s="40" t="inlineStr">
        <is>
          <t>Ghi chú</t>
        </is>
      </c>
    </row>
    <row r="4" ht="80" customHeight="1">
      <c r="A4" s="41" t="inlineStr">
        <is>
          <t>TC-001</t>
        </is>
      </c>
      <c r="B4" s="42" t="inlineStr">
        <is>
          <t>GREEN</t>
        </is>
      </c>
      <c r="C4" s="43" t="inlineStr">
        <is>
          <t>P0</t>
        </is>
      </c>
      <c r="D4" s="44" t="inlineStr">
        <is>
          <t>Incidents.Create</t>
        </is>
      </c>
      <c r="E4" s="44" t="inlineStr">
        <is>
          <t>Tạo vụ việc mới hợp lệ với name + loaiDonVu + nguonPhatTin</t>
        </is>
      </c>
      <c r="F4" s="41" t="inlineStr">
        <is>
          <t>REQ-INC-CR-01</t>
        </is>
      </c>
      <c r="G4" s="41" t="inlineStr">
        <is>
          <t>Happy Path</t>
        </is>
      </c>
      <c r="H4" s="41" t="inlineStr">
        <is>
          <t>Cao</t>
        </is>
      </c>
      <c r="I4" s="44" t="inlineStr">
        <is>
          <t>User role ĐTV có write:Incident</t>
        </is>
      </c>
      <c r="J4" s="44" t="inlineStr">
        <is>
          <t>1. POST /incidents
2. name='Vụ việc trộm cắp xe máy', loaiDonVu='TO_GIAC', nguonPhatTin='QUA_NGUOI_DAN', phuongThucTiepNhan='TRUC_TIEP'</t>
        </is>
      </c>
      <c r="K4" s="44" t="inlineStr">
        <is>
          <t>name='VV trộm cắp', loaiDonVu='TO_GIAC'</t>
        </is>
      </c>
      <c r="L4" s="44" t="inlineStr"/>
      <c r="M4" s="44" t="inlineStr">
        <is>
          <t>Toast tạo thành công, redirect detail</t>
        </is>
      </c>
      <c r="N4" s="44" t="inlineStr">
        <is>
          <t>201 + code auto VV-2026-XXX</t>
        </is>
      </c>
      <c r="O4" s="44" t="inlineStr">
        <is>
          <t>deadline auto-calc THOI_HAN_XAC_MINH; status=TIEP_NHAN</t>
        </is>
      </c>
      <c r="P4" s="41" t="inlineStr">
        <is>
          <t>Critical</t>
        </is>
      </c>
      <c r="Q4" s="44" t="inlineStr"/>
      <c r="R4" s="41" t="inlineStr"/>
      <c r="S4" s="41" t="inlineStr"/>
      <c r="T4" s="41" t="inlineStr"/>
      <c r="U4" s="41" t="inlineStr"/>
      <c r="V4" s="44" t="inlineStr"/>
      <c r="W4" s="41" t="inlineStr"/>
      <c r="X4" s="44" t="inlineStr"/>
    </row>
    <row r="5" ht="80" customHeight="1">
      <c r="A5" s="41" t="inlineStr">
        <is>
          <t>TC-002</t>
        </is>
      </c>
      <c r="B5" s="42" t="inlineStr">
        <is>
          <t>GREEN</t>
        </is>
      </c>
      <c r="C5" s="43" t="inlineStr">
        <is>
          <t>P0</t>
        </is>
      </c>
      <c r="D5" s="44" t="inlineStr">
        <is>
          <t>Incidents.Create</t>
        </is>
      </c>
      <c r="E5" s="44" t="inlineStr">
        <is>
          <t>Auto-gen code VV-YYYY-NNN</t>
        </is>
      </c>
      <c r="F5" s="41" t="inlineStr">
        <is>
          <t>REQ-INC-CR-02</t>
        </is>
      </c>
      <c r="G5" s="41" t="inlineStr">
        <is>
          <t>Happy Path</t>
        </is>
      </c>
      <c r="H5" s="41" t="inlineStr">
        <is>
          <t>Cao</t>
        </is>
      </c>
      <c r="I5" s="44" t="inlineStr"/>
      <c r="J5" s="44" t="inlineStr">
        <is>
          <t>1. POST 3 vụ việc liên tiếp</t>
        </is>
      </c>
      <c r="K5" s="44" t="inlineStr">
        <is>
          <t>3 valid bodies</t>
        </is>
      </c>
      <c r="L5" s="44" t="inlineStr"/>
      <c r="M5" s="44" t="inlineStr"/>
      <c r="N5" s="44" t="inlineStr">
        <is>
          <t>201 code khác nhau, format VV-2026-001/002/003</t>
        </is>
      </c>
      <c r="O5" s="44" t="inlineStr"/>
      <c r="P5" s="41" t="inlineStr">
        <is>
          <t>High</t>
        </is>
      </c>
      <c r="Q5" s="44" t="inlineStr"/>
      <c r="R5" s="41" t="inlineStr"/>
      <c r="S5" s="41" t="inlineStr"/>
      <c r="T5" s="41" t="inlineStr"/>
      <c r="U5" s="41" t="inlineStr"/>
      <c r="V5" s="44" t="inlineStr"/>
      <c r="W5" s="41" t="inlineStr"/>
      <c r="X5" s="44" t="inlineStr"/>
    </row>
    <row r="6" ht="80" customHeight="1">
      <c r="A6" s="41" t="inlineStr">
        <is>
          <t>TC-003</t>
        </is>
      </c>
      <c r="B6" s="42" t="inlineStr">
        <is>
          <t>GREEN</t>
        </is>
      </c>
      <c r="C6" s="43" t="inlineStr">
        <is>
          <t>P0</t>
        </is>
      </c>
      <c r="D6" s="44" t="inlineStr">
        <is>
          <t>Incidents.Create</t>
        </is>
      </c>
      <c r="E6" s="44" t="inlineStr">
        <is>
          <t>Auto-calc deadline theo THOI_HAN_XAC_MINH rule</t>
        </is>
      </c>
      <c r="F6" s="41" t="inlineStr">
        <is>
          <t>REQ-INC-CR-03</t>
        </is>
      </c>
      <c r="G6" s="41" t="inlineStr">
        <is>
          <t>Happy Path</t>
        </is>
      </c>
      <c r="H6" s="41" t="inlineStr">
        <is>
          <t>Cao</t>
        </is>
      </c>
      <c r="I6" s="44" t="inlineStr">
        <is>
          <t>SystemSetting THOI_HAN_XAC_MINH=30 days</t>
        </is>
      </c>
      <c r="J6" s="44" t="inlineStr">
        <is>
          <t>1. POST không truyền deadline</t>
        </is>
      </c>
      <c r="K6" s="44" t="inlineStr"/>
      <c r="L6" s="44" t="inlineStr"/>
      <c r="M6" s="44" t="inlineStr">
        <is>
          <t>Preview deadline = today+30</t>
        </is>
      </c>
      <c r="N6" s="44" t="inlineStr">
        <is>
          <t>201 deadline đúng</t>
        </is>
      </c>
      <c r="O6" s="44" t="inlineStr">
        <is>
          <t>deadlineRuleVersionId snapshot</t>
        </is>
      </c>
      <c r="P6" s="41" t="inlineStr">
        <is>
          <t>High</t>
        </is>
      </c>
      <c r="Q6" s="44" t="inlineStr"/>
      <c r="R6" s="41" t="inlineStr"/>
      <c r="S6" s="41" t="inlineStr"/>
      <c r="T6" s="41" t="inlineStr"/>
      <c r="U6" s="41" t="inlineStr"/>
      <c r="V6" s="44" t="inlineStr"/>
      <c r="W6" s="41" t="inlineStr"/>
      <c r="X6" s="44" t="inlineStr"/>
    </row>
    <row r="7" ht="80" customHeight="1">
      <c r="A7" s="41" t="inlineStr">
        <is>
          <t>TC-004</t>
        </is>
      </c>
      <c r="B7" s="42" t="inlineStr">
        <is>
          <t>GREEN</t>
        </is>
      </c>
      <c r="C7" s="45" t="inlineStr">
        <is>
          <t>P1</t>
        </is>
      </c>
      <c r="D7" s="44" t="inlineStr">
        <is>
          <t>Incidents.Create</t>
        </is>
      </c>
      <c r="E7" s="44" t="inlineStr">
        <is>
          <t>Ward officer tự gán assignedTeamId từ wardTeamId</t>
        </is>
      </c>
      <c r="F7" s="41" t="inlineStr">
        <is>
          <t>REQ-INC-CR-04</t>
        </is>
      </c>
      <c r="G7" s="41" t="inlineStr">
        <is>
          <t>Happy Path</t>
        </is>
      </c>
      <c r="H7" s="41" t="inlineStr">
        <is>
          <t>Cao</t>
        </is>
      </c>
      <c r="I7" s="44" t="inlineStr">
        <is>
          <t>User ward officer có wardTeamId</t>
        </is>
      </c>
      <c r="J7" s="44" t="inlineStr">
        <is>
          <t>1. POST không truyền assignedTeamId</t>
        </is>
      </c>
      <c r="K7" s="44" t="inlineStr"/>
      <c r="L7" s="44" t="inlineStr"/>
      <c r="M7" s="44" t="inlineStr"/>
      <c r="N7" s="44" t="inlineStr">
        <is>
          <t>201, assignedTeamId=wardTeamId</t>
        </is>
      </c>
      <c r="O7" s="44" t="inlineStr"/>
      <c r="P7" s="41" t="inlineStr">
        <is>
          <t>High</t>
        </is>
      </c>
      <c r="Q7" s="44" t="inlineStr"/>
      <c r="R7" s="41" t="inlineStr"/>
      <c r="S7" s="41" t="inlineStr"/>
      <c r="T7" s="41" t="inlineStr"/>
      <c r="U7" s="41" t="inlineStr"/>
      <c r="V7" s="44" t="inlineStr"/>
      <c r="W7" s="41" t="inlineStr"/>
      <c r="X7" s="44" t="inlineStr">
        <is>
          <t>v0.33</t>
        </is>
      </c>
    </row>
    <row r="8" ht="80" customHeight="1">
      <c r="A8" s="41" t="inlineStr">
        <is>
          <t>TC-005</t>
        </is>
      </c>
      <c r="B8" s="42" t="inlineStr">
        <is>
          <t>GREEN</t>
        </is>
      </c>
      <c r="C8" s="43" t="inlineStr">
        <is>
          <t>P0</t>
        </is>
      </c>
      <c r="D8" s="44" t="inlineStr">
        <is>
          <t>Incidents.Read</t>
        </is>
      </c>
      <c r="E8" s="44" t="inlineStr">
        <is>
          <t>List vụ việc default pagination</t>
        </is>
      </c>
      <c r="F8" s="41" t="inlineStr">
        <is>
          <t>REQ-INC-RD-01</t>
        </is>
      </c>
      <c r="G8" s="41" t="inlineStr">
        <is>
          <t>Happy Path</t>
        </is>
      </c>
      <c r="H8" s="41" t="inlineStr">
        <is>
          <t>Cao</t>
        </is>
      </c>
      <c r="I8" s="44" t="inlineStr">
        <is>
          <t>DB ≥25</t>
        </is>
      </c>
      <c r="J8" s="44" t="inlineStr">
        <is>
          <t>1. GET /incidents</t>
        </is>
      </c>
      <c r="K8" s="44" t="inlineStr"/>
      <c r="L8" s="44" t="inlineStr"/>
      <c r="M8" s="44" t="inlineStr">
        <is>
          <t>20 row</t>
        </is>
      </c>
      <c r="N8" s="44" t="inlineStr">
        <is>
          <t>200</t>
        </is>
      </c>
      <c r="O8" s="44" t="inlineStr"/>
      <c r="P8" s="41" t="inlineStr">
        <is>
          <t>High</t>
        </is>
      </c>
      <c r="Q8" s="44" t="inlineStr"/>
      <c r="R8" s="41" t="inlineStr"/>
      <c r="S8" s="41" t="inlineStr"/>
      <c r="T8" s="41" t="inlineStr"/>
      <c r="U8" s="41" t="inlineStr"/>
      <c r="V8" s="44" t="inlineStr"/>
      <c r="W8" s="41" t="inlineStr"/>
      <c r="X8" s="44" t="inlineStr"/>
    </row>
    <row r="9" ht="80" customHeight="1">
      <c r="A9" s="41" t="inlineStr">
        <is>
          <t>TC-006</t>
        </is>
      </c>
      <c r="B9" s="42" t="inlineStr">
        <is>
          <t>GREEN</t>
        </is>
      </c>
      <c r="C9" s="43" t="inlineStr">
        <is>
          <t>P0</t>
        </is>
      </c>
      <c r="D9" s="44" t="inlineStr">
        <is>
          <t>Incidents.Read</t>
        </is>
      </c>
      <c r="E9" s="44" t="inlineStr">
        <is>
          <t>Filter theo phase=xac-minh</t>
        </is>
      </c>
      <c r="F9" s="41" t="inlineStr">
        <is>
          <t>REQ-INC-RD-02</t>
        </is>
      </c>
      <c r="G9" s="41" t="inlineStr">
        <is>
          <t>Happy Path</t>
        </is>
      </c>
      <c r="H9" s="41" t="inlineStr">
        <is>
          <t>Cao</t>
        </is>
      </c>
      <c r="I9" s="44" t="inlineStr"/>
      <c r="J9" s="44" t="inlineStr">
        <is>
          <t>1. ?phase=xac-minh</t>
        </is>
      </c>
      <c r="K9" s="44" t="inlineStr"/>
      <c r="L9" s="44" t="inlineStr"/>
      <c r="M9" s="44" t="inlineStr"/>
      <c r="N9" s="44" t="inlineStr">
        <is>
          <t>200, status ∈ [DANG_XAC_MINH, DA_PHAN_CONG, QUA_HAN]</t>
        </is>
      </c>
      <c r="O9" s="44" t="inlineStr"/>
      <c r="P9" s="41" t="inlineStr">
        <is>
          <t>High</t>
        </is>
      </c>
      <c r="Q9" s="44" t="inlineStr"/>
      <c r="R9" s="41" t="inlineStr"/>
      <c r="S9" s="41" t="inlineStr"/>
      <c r="T9" s="41" t="inlineStr"/>
      <c r="U9" s="41" t="inlineStr"/>
      <c r="V9" s="44" t="inlineStr"/>
      <c r="W9" s="41" t="inlineStr"/>
      <c r="X9" s="44" t="inlineStr"/>
    </row>
    <row r="10" ht="80" customHeight="1">
      <c r="A10" s="41" t="inlineStr">
        <is>
          <t>TC-007</t>
        </is>
      </c>
      <c r="B10" s="42" t="inlineStr">
        <is>
          <t>GREEN</t>
        </is>
      </c>
      <c r="C10" s="45" t="inlineStr">
        <is>
          <t>P1</t>
        </is>
      </c>
      <c r="D10" s="44" t="inlineStr">
        <is>
          <t>Incidents.Read</t>
        </is>
      </c>
      <c r="E10" s="44" t="inlineStr">
        <is>
          <t>GET /incidents/linkable cho Case picker</t>
        </is>
      </c>
      <c r="F10" s="41" t="inlineStr">
        <is>
          <t>REQ-INC-RD-03</t>
        </is>
      </c>
      <c r="G10" s="41" t="inlineStr">
        <is>
          <t>Happy Path</t>
        </is>
      </c>
      <c r="H10" s="41" t="inlineStr">
        <is>
          <t>TB</t>
        </is>
      </c>
      <c r="I10" s="44" t="inlineStr">
        <is>
          <t>Có incident unlinked</t>
        </is>
      </c>
      <c r="J10" s="44" t="inlineStr">
        <is>
          <t>1. GET /incidents/linkable</t>
        </is>
      </c>
      <c r="K10" s="44" t="inlineStr"/>
      <c r="L10" s="44" t="inlineStr"/>
      <c r="M10" s="44" t="inlineStr"/>
      <c r="N10" s="44" t="inlineStr">
        <is>
          <t>200, chỉ incident linkedCaseId=null + scope</t>
        </is>
      </c>
      <c r="O10" s="44" t="inlineStr"/>
      <c r="P10" s="41" t="inlineStr">
        <is>
          <t>High</t>
        </is>
      </c>
      <c r="Q10" s="44" t="inlineStr"/>
      <c r="R10" s="41" t="inlineStr"/>
      <c r="S10" s="41" t="inlineStr"/>
      <c r="T10" s="41" t="inlineStr"/>
      <c r="U10" s="41" t="inlineStr"/>
      <c r="V10" s="44" t="inlineStr"/>
      <c r="W10" s="41" t="inlineStr"/>
      <c r="X10" s="44" t="inlineStr"/>
    </row>
    <row r="11" ht="80" customHeight="1">
      <c r="A11" s="41" t="inlineStr">
        <is>
          <t>TC-008</t>
        </is>
      </c>
      <c r="B11" s="42" t="inlineStr">
        <is>
          <t>GREEN</t>
        </is>
      </c>
      <c r="C11" s="43" t="inlineStr">
        <is>
          <t>P0</t>
        </is>
      </c>
      <c r="D11" s="44" t="inlineStr">
        <is>
          <t>Incidents.Read</t>
        </is>
      </c>
      <c r="E11" s="44" t="inlineStr">
        <is>
          <t>GET stats exhaustive trả về tất cả status keys</t>
        </is>
      </c>
      <c r="F11" s="41" t="inlineStr">
        <is>
          <t>REQ-INC-RD-04</t>
        </is>
      </c>
      <c r="G11" s="41" t="inlineStr">
        <is>
          <t>Happy Path</t>
        </is>
      </c>
      <c r="H11" s="41" t="inlineStr">
        <is>
          <t>TB</t>
        </is>
      </c>
      <c r="I11" s="44" t="inlineStr"/>
      <c r="J11" s="44" t="inlineStr">
        <is>
          <t>1. GET /incidents/stats</t>
        </is>
      </c>
      <c r="K11" s="44" t="inlineStr"/>
      <c r="L11" s="44" t="inlineStr"/>
      <c r="M11" s="44" t="inlineStr"/>
      <c r="N11" s="44" t="inlineStr">
        <is>
          <t>200, body có đủ 14 key status</t>
        </is>
      </c>
      <c r="O11" s="44" t="inlineStr"/>
      <c r="P11" s="41" t="inlineStr">
        <is>
          <t>Medium</t>
        </is>
      </c>
      <c r="Q11" s="44" t="inlineStr"/>
      <c r="R11" s="41" t="inlineStr"/>
      <c r="S11" s="41" t="inlineStr"/>
      <c r="T11" s="41" t="inlineStr"/>
      <c r="U11" s="41" t="inlineStr"/>
      <c r="V11" s="44" t="inlineStr"/>
      <c r="W11" s="41" t="inlineStr"/>
      <c r="X11" s="44" t="inlineStr"/>
    </row>
    <row r="12" ht="80" customHeight="1">
      <c r="A12" s="41" t="inlineStr">
        <is>
          <t>TC-009</t>
        </is>
      </c>
      <c r="B12" s="42" t="inlineStr">
        <is>
          <t>GREEN</t>
        </is>
      </c>
      <c r="C12" s="43" t="inlineStr">
        <is>
          <t>P0</t>
        </is>
      </c>
      <c r="D12" s="44" t="inlineStr">
        <is>
          <t>Incidents.Update</t>
        </is>
      </c>
      <c r="E12" s="44" t="inlineStr">
        <is>
          <t>PUT update vụ việc với expectedUpdatedAt</t>
        </is>
      </c>
      <c r="F12" s="41" t="inlineStr">
        <is>
          <t>REQ-INC-UP-01</t>
        </is>
      </c>
      <c r="G12" s="41" t="inlineStr">
        <is>
          <t>Happy Path</t>
        </is>
      </c>
      <c r="H12" s="41" t="inlineStr">
        <is>
          <t>Cao</t>
        </is>
      </c>
      <c r="I12" s="44" t="inlineStr"/>
      <c r="J12" s="44" t="inlineStr">
        <is>
          <t>1. PUT /incidents/X</t>
        </is>
      </c>
      <c r="K12" s="44" t="inlineStr">
        <is>
          <t>name mới, expectedUpdatedAt</t>
        </is>
      </c>
      <c r="L12" s="44" t="inlineStr"/>
      <c r="M12" s="44" t="inlineStr">
        <is>
          <t>Toast OK</t>
        </is>
      </c>
      <c r="N12" s="44" t="inlineStr">
        <is>
          <t>200</t>
        </is>
      </c>
      <c r="O12" s="44" t="inlineStr">
        <is>
          <t>AuditLog INCIDENT_UPDATED diff</t>
        </is>
      </c>
      <c r="P12" s="41" t="inlineStr">
        <is>
          <t>Critical</t>
        </is>
      </c>
      <c r="Q12" s="44" t="inlineStr"/>
      <c r="R12" s="41" t="inlineStr"/>
      <c r="S12" s="41" t="inlineStr"/>
      <c r="T12" s="41" t="inlineStr"/>
      <c r="U12" s="41" t="inlineStr"/>
      <c r="V12" s="44" t="inlineStr"/>
      <c r="W12" s="41" t="inlineStr"/>
      <c r="X12" s="44" t="inlineStr"/>
    </row>
    <row r="13" ht="80" customHeight="1">
      <c r="A13" s="41" t="inlineStr">
        <is>
          <t>TC-010</t>
        </is>
      </c>
      <c r="B13" s="42" t="inlineStr">
        <is>
          <t>GREEN</t>
        </is>
      </c>
      <c r="C13" s="43" t="inlineStr">
        <is>
          <t>P0</t>
        </is>
      </c>
      <c r="D13" s="44" t="inlineStr">
        <is>
          <t>Incidents.Status</t>
        </is>
      </c>
      <c r="E13" s="44" t="inlineStr">
        <is>
          <t>PATCH status TIEP_NHAN → DANG_XAC_MINH</t>
        </is>
      </c>
      <c r="F13" s="41" t="inlineStr">
        <is>
          <t>REQ-INC-ST-01</t>
        </is>
      </c>
      <c r="G13" s="41" t="inlineStr">
        <is>
          <t>State</t>
        </is>
      </c>
      <c r="H13" s="41" t="inlineStr">
        <is>
          <t>Cao</t>
        </is>
      </c>
      <c r="I13" s="44" t="inlineStr">
        <is>
          <t>status=TIEP_NHAN</t>
        </is>
      </c>
      <c r="J13" s="44" t="inlineStr">
        <is>
          <t>1. PATCH /incidents/X/status body {status:'DANG_XAC_MINH'}</t>
        </is>
      </c>
      <c r="K13" s="44" t="inlineStr"/>
      <c r="L13" s="44" t="inlineStr"/>
      <c r="M13" s="44" t="inlineStr">
        <is>
          <t>Badge đổi</t>
        </is>
      </c>
      <c r="N13" s="44" t="inlineStr">
        <is>
          <t>200</t>
        </is>
      </c>
      <c r="O13" s="44" t="inlineStr">
        <is>
          <t>IncidentStatusHistory entry</t>
        </is>
      </c>
      <c r="P13" s="41" t="inlineStr">
        <is>
          <t>Critical</t>
        </is>
      </c>
      <c r="Q13" s="44" t="inlineStr"/>
      <c r="R13" s="41" t="inlineStr"/>
      <c r="S13" s="41" t="inlineStr"/>
      <c r="T13" s="41" t="inlineStr"/>
      <c r="U13" s="41" t="inlineStr"/>
      <c r="V13" s="44" t="inlineStr"/>
      <c r="W13" s="41" t="inlineStr"/>
      <c r="X13" s="44" t="inlineStr"/>
    </row>
    <row r="14" ht="80" customHeight="1">
      <c r="A14" s="41" t="inlineStr">
        <is>
          <t>TC-011</t>
        </is>
      </c>
      <c r="B14" s="42" t="inlineStr">
        <is>
          <t>GREEN</t>
        </is>
      </c>
      <c r="C14" s="43" t="inlineStr">
        <is>
          <t>P0</t>
        </is>
      </c>
      <c r="D14" s="44" t="inlineStr">
        <is>
          <t>Incidents.Status</t>
        </is>
      </c>
      <c r="E14" s="44" t="inlineStr">
        <is>
          <t>PATCH KHONG_KHOI_TO kèm lyDoKhongKhoiTo (Đ.157)</t>
        </is>
      </c>
      <c r="F14" s="41" t="inlineStr">
        <is>
          <t>REQ-INC-ST-02</t>
        </is>
      </c>
      <c r="G14" s="41" t="inlineStr">
        <is>
          <t>State + Decision</t>
        </is>
      </c>
      <c r="H14" s="41" t="inlineStr">
        <is>
          <t>Cao</t>
        </is>
      </c>
      <c r="I14" s="44" t="inlineStr">
        <is>
          <t>status=DANG_XAC_MINH</t>
        </is>
      </c>
      <c r="J14" s="44" t="inlineStr">
        <is>
          <t>1. PATCH status=KHONG_KHOI_TO, lyDoKhongKhoiTo='KHONG_CO_DAU_HIEU_TOI_PHAM'</t>
        </is>
      </c>
      <c r="K14" s="44" t="inlineStr"/>
      <c r="L14" s="44" t="inlineStr"/>
      <c r="M14" s="44" t="inlineStr">
        <is>
          <t>OK</t>
        </is>
      </c>
      <c r="N14" s="44" t="inlineStr">
        <is>
          <t>200</t>
        </is>
      </c>
      <c r="O14" s="44" t="inlineStr"/>
      <c r="P14" s="41" t="inlineStr">
        <is>
          <t>Critical</t>
        </is>
      </c>
      <c r="Q14" s="44" t="inlineStr"/>
      <c r="R14" s="41" t="inlineStr"/>
      <c r="S14" s="41" t="inlineStr"/>
      <c r="T14" s="41" t="inlineStr"/>
      <c r="U14" s="41" t="inlineStr"/>
      <c r="V14" s="44" t="inlineStr"/>
      <c r="W14" s="41" t="inlineStr"/>
      <c r="X14" s="44" t="inlineStr">
        <is>
          <t>BLTTHS Đ.157</t>
        </is>
      </c>
    </row>
    <row r="15" ht="80" customHeight="1">
      <c r="A15" s="41" t="inlineStr">
        <is>
          <t>TC-012</t>
        </is>
      </c>
      <c r="B15" s="42" t="inlineStr">
        <is>
          <t>GREEN</t>
        </is>
      </c>
      <c r="C15" s="43" t="inlineStr">
        <is>
          <t>P0</t>
        </is>
      </c>
      <c r="D15" s="44" t="inlineStr">
        <is>
          <t>Incidents.Prosecute</t>
        </is>
      </c>
      <c r="E15" s="44" t="inlineStr">
        <is>
          <t>Khởi tố vụ việc → tạo Case (Branch-3)</t>
        </is>
      </c>
      <c r="F15" s="41" t="inlineStr">
        <is>
          <t>REQ-INC-PROS-01</t>
        </is>
      </c>
      <c r="G15" s="41" t="inlineStr">
        <is>
          <t>Happy Path</t>
        </is>
      </c>
      <c r="H15" s="41" t="inlineStr">
        <is>
          <t>Cao</t>
        </is>
      </c>
      <c r="I15" s="44" t="inlineStr">
        <is>
          <t>status hợp lệ prosecute</t>
        </is>
      </c>
      <c r="J15" s="44" t="inlineStr">
        <is>
          <t>1. POST /incidents/X/prosecute body {caseName, prosecutionDecision}</t>
        </is>
      </c>
      <c r="K15" s="44" t="inlineStr">
        <is>
          <t>caseName='Vụ án X', prosecutionDecision='FROM_INCIDENT'</t>
        </is>
      </c>
      <c r="L15" s="44" t="inlineStr"/>
      <c r="M15" s="44" t="inlineStr">
        <is>
          <t>Redirect Case mới</t>
        </is>
      </c>
      <c r="N15" s="44" t="inlineStr">
        <is>
          <t>201</t>
        </is>
      </c>
      <c r="O15" s="44" t="inlineStr">
        <is>
          <t>Atomic: Case mới + Incident.status=DA_CHUYEN_VU_AN + linkedCaseId set 2 chiều</t>
        </is>
      </c>
      <c r="P15" s="41" t="inlineStr">
        <is>
          <t>Critical</t>
        </is>
      </c>
      <c r="Q15" s="44" t="inlineStr"/>
      <c r="R15" s="41" t="inlineStr"/>
      <c r="S15" s="41" t="inlineStr"/>
      <c r="T15" s="41" t="inlineStr"/>
      <c r="U15" s="41" t="inlineStr"/>
      <c r="V15" s="44" t="inlineStr"/>
      <c r="W15" s="41" t="inlineStr"/>
      <c r="X15" s="44" t="inlineStr"/>
    </row>
    <row r="16" ht="80" customHeight="1">
      <c r="A16" s="41" t="inlineStr">
        <is>
          <t>TC-013</t>
        </is>
      </c>
      <c r="B16" s="42" t="inlineStr">
        <is>
          <t>GREEN</t>
        </is>
      </c>
      <c r="C16" s="45" t="inlineStr">
        <is>
          <t>P1</t>
        </is>
      </c>
      <c r="D16" s="44" t="inlineStr">
        <is>
          <t>Incidents.Extend</t>
        </is>
      </c>
      <c r="E16" s="44" t="inlineStr">
        <is>
          <t>Gia hạn lần 1 trong giới hạn</t>
        </is>
      </c>
      <c r="F16" s="41" t="inlineStr">
        <is>
          <t>REQ-INC-EXT-01</t>
        </is>
      </c>
      <c r="G16" s="41" t="inlineStr">
        <is>
          <t>Happy Path</t>
        </is>
      </c>
      <c r="H16" s="41" t="inlineStr">
        <is>
          <t>TB</t>
        </is>
      </c>
      <c r="I16" s="44" t="inlineStr">
        <is>
          <t>maxExtensionsSnapshot=2, chưa gia hạn</t>
        </is>
      </c>
      <c r="J16" s="44" t="inlineStr">
        <is>
          <t>1. POST /incidents/X/extend body {newDeadline}</t>
        </is>
      </c>
      <c r="K16" s="44" t="inlineStr"/>
      <c r="L16" s="44" t="inlineStr"/>
      <c r="M16" s="44" t="inlineStr"/>
      <c r="N16" s="44" t="inlineStr">
        <is>
          <t>200</t>
        </is>
      </c>
      <c r="O16" s="44" t="inlineStr">
        <is>
          <t>giaHan1RuleVersionId snapshot</t>
        </is>
      </c>
      <c r="P16" s="41" t="inlineStr">
        <is>
          <t>High</t>
        </is>
      </c>
      <c r="Q16" s="44" t="inlineStr"/>
      <c r="R16" s="41" t="inlineStr"/>
      <c r="S16" s="41" t="inlineStr"/>
      <c r="T16" s="41" t="inlineStr"/>
      <c r="U16" s="41" t="inlineStr"/>
      <c r="V16" s="44" t="inlineStr"/>
      <c r="W16" s="41" t="inlineStr"/>
      <c r="X16" s="44" t="inlineStr">
        <is>
          <t>Đ.147.2</t>
        </is>
      </c>
    </row>
    <row r="17" ht="80" customHeight="1">
      <c r="A17" s="41" t="inlineStr">
        <is>
          <t>TC-014</t>
        </is>
      </c>
      <c r="B17" s="42" t="inlineStr">
        <is>
          <t>GREEN</t>
        </is>
      </c>
      <c r="C17" s="45" t="inlineStr">
        <is>
          <t>P1</t>
        </is>
      </c>
      <c r="D17" s="44" t="inlineStr">
        <is>
          <t>Incidents.Assign</t>
        </is>
      </c>
      <c r="E17" s="44" t="inlineStr">
        <is>
          <t>Dispatcher assign investigator → status DANG_XAC_MINH</t>
        </is>
      </c>
      <c r="F17" s="41" t="inlineStr">
        <is>
          <t>REQ-INC-ASN-01</t>
        </is>
      </c>
      <c r="G17" s="41" t="inlineStr">
        <is>
          <t>Happy Path</t>
        </is>
      </c>
      <c r="H17" s="41" t="inlineStr">
        <is>
          <t>TB</t>
        </is>
      </c>
      <c r="I17" s="44" t="inlineStr">
        <is>
          <t>status=TIEP_NHAN</t>
        </is>
      </c>
      <c r="J17" s="44" t="inlineStr">
        <is>
          <t>1. PATCH /incidents/X/assign investigatorId</t>
        </is>
      </c>
      <c r="K17" s="44" t="inlineStr"/>
      <c r="L17" s="44" t="inlineStr"/>
      <c r="M17" s="44" t="inlineStr"/>
      <c r="N17" s="44" t="inlineStr">
        <is>
          <t>200</t>
        </is>
      </c>
      <c r="O17" s="44" t="inlineStr">
        <is>
          <t>Status auto DANG_XAC_MINH + IncidentAssignedEvent emit</t>
        </is>
      </c>
      <c r="P17" s="41" t="inlineStr">
        <is>
          <t>High</t>
        </is>
      </c>
      <c r="Q17" s="44" t="inlineStr"/>
      <c r="R17" s="41" t="inlineStr"/>
      <c r="S17" s="41" t="inlineStr"/>
      <c r="T17" s="41" t="inlineStr"/>
      <c r="U17" s="41" t="inlineStr"/>
      <c r="V17" s="44" t="inlineStr"/>
      <c r="W17" s="41" t="inlineStr"/>
      <c r="X17" s="44" t="inlineStr"/>
    </row>
    <row r="18" ht="80" customHeight="1">
      <c r="A18" s="41" t="inlineStr">
        <is>
          <t>TC-015</t>
        </is>
      </c>
      <c r="B18" s="42" t="inlineStr">
        <is>
          <t>GREEN</t>
        </is>
      </c>
      <c r="C18" s="45" t="inlineStr">
        <is>
          <t>P1</t>
        </is>
      </c>
      <c r="D18" s="44" t="inlineStr">
        <is>
          <t>Incidents.Merge</t>
        </is>
      </c>
      <c r="E18" s="44" t="inlineStr">
        <is>
          <t>Gộp vụ việc A vào B</t>
        </is>
      </c>
      <c r="F18" s="41" t="inlineStr">
        <is>
          <t>REQ-INC-MRG-01</t>
        </is>
      </c>
      <c r="G18" s="41" t="inlineStr">
        <is>
          <t>Happy Path</t>
        </is>
      </c>
      <c r="H18" s="41" t="inlineStr">
        <is>
          <t>TB</t>
        </is>
      </c>
      <c r="I18" s="44" t="inlineStr">
        <is>
          <t>A status hợp lệ, B chưa terminal</t>
        </is>
      </c>
      <c r="J18" s="44" t="inlineStr">
        <is>
          <t>1. PATCH /incidents/A/merge body {targetIncidentId:B}</t>
        </is>
      </c>
      <c r="K18" s="44" t="inlineStr"/>
      <c r="L18" s="44" t="inlineStr"/>
      <c r="M18" s="44" t="inlineStr"/>
      <c r="N18" s="44" t="inlineStr">
        <is>
          <t>200</t>
        </is>
      </c>
      <c r="O18" s="44" t="inlineStr">
        <is>
          <t>A.status=DA_NHAP_VU_KHAC, petitions+docs relink B</t>
        </is>
      </c>
      <c r="P18" s="41" t="inlineStr">
        <is>
          <t>High</t>
        </is>
      </c>
      <c r="Q18" s="44" t="inlineStr"/>
      <c r="R18" s="41" t="inlineStr"/>
      <c r="S18" s="41" t="inlineStr"/>
      <c r="T18" s="41" t="inlineStr"/>
      <c r="U18" s="41" t="inlineStr"/>
      <c r="V18" s="44" t="inlineStr"/>
      <c r="W18" s="41" t="inlineStr"/>
      <c r="X18" s="44" t="inlineStr"/>
    </row>
    <row r="19" ht="80" customHeight="1">
      <c r="A19" s="41" t="inlineStr">
        <is>
          <t>TC-016</t>
        </is>
      </c>
      <c r="B19" s="42" t="inlineStr">
        <is>
          <t>GREEN</t>
        </is>
      </c>
      <c r="C19" s="45" t="inlineStr">
        <is>
          <t>P1</t>
        </is>
      </c>
      <c r="D19" s="44" t="inlineStr">
        <is>
          <t>Incidents.Transfer</t>
        </is>
      </c>
      <c r="E19" s="44" t="inlineStr">
        <is>
          <t>Chuyển đơn vị</t>
        </is>
      </c>
      <c r="F19" s="41" t="inlineStr">
        <is>
          <t>REQ-INC-TRF-01</t>
        </is>
      </c>
      <c r="G19" s="41" t="inlineStr">
        <is>
          <t>Happy Path</t>
        </is>
      </c>
      <c r="H19" s="41" t="inlineStr">
        <is>
          <t>TB</t>
        </is>
      </c>
      <c r="I19" s="44" t="inlineStr"/>
      <c r="J19" s="44" t="inlineStr">
        <is>
          <t>1. PATCH /incidents/X/transfer body {chuyenDenDonVi}</t>
        </is>
      </c>
      <c r="K19" s="44" t="inlineStr"/>
      <c r="L19" s="44" t="inlineStr"/>
      <c r="M19" s="44" t="inlineStr"/>
      <c r="N19" s="44" t="inlineStr">
        <is>
          <t>200</t>
        </is>
      </c>
      <c r="O19" s="44" t="inlineStr">
        <is>
          <t>status=DA_CHUYEN_DON_VI; audit chuyenTu/chuyenDen</t>
        </is>
      </c>
      <c r="P19" s="41" t="inlineStr">
        <is>
          <t>High</t>
        </is>
      </c>
      <c r="Q19" s="44" t="inlineStr"/>
      <c r="R19" s="41" t="inlineStr"/>
      <c r="S19" s="41" t="inlineStr"/>
      <c r="T19" s="41" t="inlineStr"/>
      <c r="U19" s="41" t="inlineStr"/>
      <c r="V19" s="44" t="inlineStr"/>
      <c r="W19" s="41" t="inlineStr"/>
      <c r="X19" s="44" t="inlineStr"/>
    </row>
    <row r="20" ht="80" customHeight="1">
      <c r="A20" s="41" t="inlineStr">
        <is>
          <t>TC-017</t>
        </is>
      </c>
      <c r="B20" s="42" t="inlineStr">
        <is>
          <t>GREEN</t>
        </is>
      </c>
      <c r="C20" s="43" t="inlineStr">
        <is>
          <t>P0</t>
        </is>
      </c>
      <c r="D20" s="44" t="inlineStr">
        <is>
          <t>Incidents.Delete</t>
        </is>
      </c>
      <c r="E20" s="44" t="inlineStr">
        <is>
          <t>Soft-delete TIEP_NHAN bởi creator trong 72h</t>
        </is>
      </c>
      <c r="F20" s="41" t="inlineStr">
        <is>
          <t>REQ-INC-DEL-01</t>
        </is>
      </c>
      <c r="G20" s="41" t="inlineStr">
        <is>
          <t>Happy Path</t>
        </is>
      </c>
      <c r="H20" s="41" t="inlineStr">
        <is>
          <t>Cao</t>
        </is>
      </c>
      <c r="I20" s="44" t="inlineStr">
        <is>
          <t>status=TIEP_NHAN, không petitions/docs, creator</t>
        </is>
      </c>
      <c r="J20" s="44" t="inlineStr">
        <is>
          <t>1. DELETE /incidents/X body {reason 10+ char}</t>
        </is>
      </c>
      <c r="K20" s="44" t="inlineStr"/>
      <c r="L20" s="44" t="inlineStr"/>
      <c r="M20" s="44" t="inlineStr">
        <is>
          <t>Toast</t>
        </is>
      </c>
      <c r="N20" s="44" t="inlineStr">
        <is>
          <t>200</t>
        </is>
      </c>
      <c r="O20" s="44" t="inlineStr">
        <is>
          <t>deletedAt set, Case.linkedIncidentId nullify nếu có</t>
        </is>
      </c>
      <c r="P20" s="41" t="inlineStr">
        <is>
          <t>Critical</t>
        </is>
      </c>
      <c r="Q20" s="44" t="inlineStr"/>
      <c r="R20" s="41" t="inlineStr"/>
      <c r="S20" s="41" t="inlineStr"/>
      <c r="T20" s="41" t="inlineStr"/>
      <c r="U20" s="41" t="inlineStr"/>
      <c r="V20" s="44" t="inlineStr"/>
      <c r="W20" s="41" t="inlineStr"/>
      <c r="X20" s="44" t="inlineStr"/>
    </row>
    <row r="21" ht="80" customHeight="1">
      <c r="A21" s="41" t="inlineStr">
        <is>
          <t>TC-018</t>
        </is>
      </c>
      <c r="B21" s="42" t="inlineStr">
        <is>
          <t>GREEN</t>
        </is>
      </c>
      <c r="C21" s="43" t="inlineStr">
        <is>
          <t>P0</t>
        </is>
      </c>
      <c r="D21" s="44" t="inlineStr">
        <is>
          <t>Incidents.Restore</t>
        </is>
      </c>
      <c r="E21" s="44" t="inlineStr">
        <is>
          <t>ADMIN restore</t>
        </is>
      </c>
      <c r="F21" s="41" t="inlineStr">
        <is>
          <t>REQ-INC-RES-01</t>
        </is>
      </c>
      <c r="G21" s="41" t="inlineStr">
        <is>
          <t>Happy Path</t>
        </is>
      </c>
      <c r="H21" s="41" t="inlineStr">
        <is>
          <t>Cao</t>
        </is>
      </c>
      <c r="I21" s="44" t="inlineStr"/>
      <c r="J21" s="44" t="inlineStr">
        <is>
          <t>1. POST /incidents/X/restore</t>
        </is>
      </c>
      <c r="K21" s="44" t="inlineStr"/>
      <c r="L21" s="44" t="inlineStr"/>
      <c r="M21" s="44" t="inlineStr"/>
      <c r="N21" s="44" t="inlineStr">
        <is>
          <t>200</t>
        </is>
      </c>
      <c r="O21" s="44" t="inlineStr">
        <is>
          <t>deletedAt=null</t>
        </is>
      </c>
      <c r="P21" s="41" t="inlineStr">
        <is>
          <t>High</t>
        </is>
      </c>
      <c r="Q21" s="44" t="inlineStr"/>
      <c r="R21" s="41" t="inlineStr"/>
      <c r="S21" s="41" t="inlineStr"/>
      <c r="T21" s="41" t="inlineStr"/>
      <c r="U21" s="41" t="inlineStr"/>
      <c r="V21" s="44" t="inlineStr"/>
      <c r="W21" s="41" t="inlineStr"/>
      <c r="X21" s="44" t="inlineStr"/>
    </row>
    <row r="22" ht="80" customHeight="1">
      <c r="A22" s="41" t="inlineStr">
        <is>
          <t>TC-019</t>
        </is>
      </c>
      <c r="B22" s="46" t="inlineStr">
        <is>
          <t>RED</t>
        </is>
      </c>
      <c r="C22" s="43" t="inlineStr">
        <is>
          <t>P0</t>
        </is>
      </c>
      <c r="D22" s="44" t="inlineStr">
        <is>
          <t>Incidents.Create</t>
        </is>
      </c>
      <c r="E22" s="44" t="inlineStr">
        <is>
          <t>name &lt; 5 ký tự</t>
        </is>
      </c>
      <c r="F22" s="41" t="inlineStr">
        <is>
          <t>REQ-INC-CR-01</t>
        </is>
      </c>
      <c r="G22" s="41" t="inlineStr">
        <is>
          <t>Negative</t>
        </is>
      </c>
      <c r="H22" s="41" t="inlineStr">
        <is>
          <t>Cao</t>
        </is>
      </c>
      <c r="I22" s="44" t="inlineStr"/>
      <c r="J22" s="44" t="inlineStr">
        <is>
          <t>1. name='ABC'</t>
        </is>
      </c>
      <c r="K22" s="44" t="inlineStr"/>
      <c r="L22" s="44" t="inlineStr"/>
      <c r="M22" s="44" t="inlineStr">
        <is>
          <t>Lỗi 'Tối thiểu 5 ký tự'</t>
        </is>
      </c>
      <c r="N22" s="44" t="inlineStr">
        <is>
          <t>400</t>
        </is>
      </c>
      <c r="O22" s="44" t="inlineStr"/>
      <c r="P22" s="41" t="inlineStr">
        <is>
          <t>Critical</t>
        </is>
      </c>
      <c r="Q22" s="44" t="inlineStr"/>
      <c r="R22" s="41" t="inlineStr"/>
      <c r="S22" s="41" t="inlineStr"/>
      <c r="T22" s="41" t="inlineStr"/>
      <c r="U22" s="41" t="inlineStr"/>
      <c r="V22" s="44" t="inlineStr"/>
      <c r="W22" s="41" t="inlineStr"/>
      <c r="X22" s="44" t="inlineStr"/>
    </row>
    <row r="23" ht="80" customHeight="1">
      <c r="A23" s="41" t="inlineStr">
        <is>
          <t>TC-020</t>
        </is>
      </c>
      <c r="B23" s="46" t="inlineStr">
        <is>
          <t>RED</t>
        </is>
      </c>
      <c r="C23" s="43" t="inlineStr">
        <is>
          <t>P0</t>
        </is>
      </c>
      <c r="D23" s="44" t="inlineStr">
        <is>
          <t>Incidents.Create</t>
        </is>
      </c>
      <c r="E23" s="44" t="inlineStr">
        <is>
          <t>nguonPhatTin không khớp loaiDonVu</t>
        </is>
      </c>
      <c r="F23" s="41" t="inlineStr">
        <is>
          <t>REQ-INC-CR-05</t>
        </is>
      </c>
      <c r="G23" s="41" t="inlineStr">
        <is>
          <t>Negative + Decision</t>
        </is>
      </c>
      <c r="H23" s="41" t="inlineStr">
        <is>
          <t>Cao</t>
        </is>
      </c>
      <c r="I23" s="44" t="inlineStr"/>
      <c r="J23" s="44" t="inlineStr">
        <is>
          <t>1. loaiDonVu='TO_GIAC', nguonPhatTin='QUA_KIEN_NGHI_KHOI_TO'</t>
        </is>
      </c>
      <c r="K23" s="44" t="inlineStr"/>
      <c r="L23" s="44" t="inlineStr"/>
      <c r="M23" s="44" t="inlineStr">
        <is>
          <t>Lỗi mismatch</t>
        </is>
      </c>
      <c r="N23" s="44" t="inlineStr">
        <is>
          <t>400</t>
        </is>
      </c>
      <c r="O23" s="44" t="inlineStr"/>
      <c r="P23" s="41" t="inlineStr">
        <is>
          <t>Critical</t>
        </is>
      </c>
      <c r="Q23" s="44" t="inlineStr"/>
      <c r="R23" s="41" t="inlineStr"/>
      <c r="S23" s="41" t="inlineStr"/>
      <c r="T23" s="41" t="inlineStr"/>
      <c r="U23" s="41" t="inlineStr"/>
      <c r="V23" s="44" t="inlineStr"/>
      <c r="W23" s="41" t="inlineStr"/>
      <c r="X23" s="44" t="inlineStr">
        <is>
          <t>IsNguonPhatTinMatchLoaiDonVu validator</t>
        </is>
      </c>
    </row>
    <row r="24" ht="80" customHeight="1">
      <c r="A24" s="41" t="inlineStr">
        <is>
          <t>TC-021</t>
        </is>
      </c>
      <c r="B24" s="46" t="inlineStr">
        <is>
          <t>RED</t>
        </is>
      </c>
      <c r="C24" s="43" t="inlineStr">
        <is>
          <t>P0</t>
        </is>
      </c>
      <c r="D24" s="44" t="inlineStr">
        <is>
          <t>Incidents.Status</t>
        </is>
      </c>
      <c r="E24" s="44" t="inlineStr">
        <is>
          <t>Transition không nằm trong VALID_TRANSITIONS</t>
        </is>
      </c>
      <c r="F24" s="41" t="inlineStr">
        <is>
          <t>REQ-INC-ST-03</t>
        </is>
      </c>
      <c r="G24" s="41" t="inlineStr">
        <is>
          <t>State Negative</t>
        </is>
      </c>
      <c r="H24" s="41" t="inlineStr">
        <is>
          <t>Cao</t>
        </is>
      </c>
      <c r="I24" s="44" t="inlineStr">
        <is>
          <t>status=TIEP_NHAN</t>
        </is>
      </c>
      <c r="J24" s="44" t="inlineStr">
        <is>
          <t>1. PATCH status=DA_GIAI_QUYET (không có trong allowed)</t>
        </is>
      </c>
      <c r="K24" s="44" t="inlineStr"/>
      <c r="L24" s="44" t="inlineStr"/>
      <c r="M24" s="44" t="inlineStr">
        <is>
          <t>Lỗi 'Không thể chuyển'</t>
        </is>
      </c>
      <c r="N24" s="44" t="inlineStr">
        <is>
          <t>422</t>
        </is>
      </c>
      <c r="O24" s="44" t="inlineStr"/>
      <c r="P24" s="41" t="inlineStr">
        <is>
          <t>Critical</t>
        </is>
      </c>
      <c r="Q24" s="44" t="inlineStr"/>
      <c r="R24" s="41" t="inlineStr"/>
      <c r="S24" s="41" t="inlineStr"/>
      <c r="T24" s="41" t="inlineStr"/>
      <c r="U24" s="41" t="inlineStr"/>
      <c r="V24" s="44" t="inlineStr"/>
      <c r="W24" s="41" t="inlineStr"/>
      <c r="X24" s="44" t="inlineStr"/>
    </row>
    <row r="25" ht="80" customHeight="1">
      <c r="A25" s="41" t="inlineStr">
        <is>
          <t>TC-022</t>
        </is>
      </c>
      <c r="B25" s="46" t="inlineStr">
        <is>
          <t>RED</t>
        </is>
      </c>
      <c r="C25" s="43" t="inlineStr">
        <is>
          <t>P0</t>
        </is>
      </c>
      <c r="D25" s="44" t="inlineStr">
        <is>
          <t>Incidents.Status</t>
        </is>
      </c>
      <c r="E25" s="44" t="inlineStr">
        <is>
          <t>KHONG_KHOI_TO thiếu lyDoKhongKhoiTo</t>
        </is>
      </c>
      <c r="F25" s="41" t="inlineStr">
        <is>
          <t>REQ-INC-ST-02</t>
        </is>
      </c>
      <c r="G25" s="41" t="inlineStr">
        <is>
          <t>Negative</t>
        </is>
      </c>
      <c r="H25" s="41" t="inlineStr">
        <is>
          <t>Cao</t>
        </is>
      </c>
      <c r="I25" s="44" t="inlineStr"/>
      <c r="J25" s="44" t="inlineStr">
        <is>
          <t>1. PATCH KHONG_KHOI_TO bỏ lyDo</t>
        </is>
      </c>
      <c r="K25" s="44" t="inlineStr"/>
      <c r="L25" s="44" t="inlineStr"/>
      <c r="M25" s="44" t="inlineStr">
        <is>
          <t>Lỗi bắt buộc</t>
        </is>
      </c>
      <c r="N25" s="44" t="inlineStr">
        <is>
          <t>400</t>
        </is>
      </c>
      <c r="O25" s="44" t="inlineStr"/>
      <c r="P25" s="41" t="inlineStr">
        <is>
          <t>Critical</t>
        </is>
      </c>
      <c r="Q25" s="44" t="inlineStr"/>
      <c r="R25" s="41" t="inlineStr"/>
      <c r="S25" s="41" t="inlineStr"/>
      <c r="T25" s="41" t="inlineStr"/>
      <c r="U25" s="41" t="inlineStr"/>
      <c r="V25" s="44" t="inlineStr"/>
      <c r="W25" s="41" t="inlineStr"/>
      <c r="X25" s="44" t="inlineStr">
        <is>
          <t>Đ.157</t>
        </is>
      </c>
    </row>
    <row r="26" ht="80" customHeight="1">
      <c r="A26" s="41" t="inlineStr">
        <is>
          <t>TC-023</t>
        </is>
      </c>
      <c r="B26" s="46" t="inlineStr">
        <is>
          <t>RED</t>
        </is>
      </c>
      <c r="C26" s="43" t="inlineStr">
        <is>
          <t>P0</t>
        </is>
      </c>
      <c r="D26" s="44" t="inlineStr">
        <is>
          <t>Incidents.Status</t>
        </is>
      </c>
      <c r="E26" s="44" t="inlineStr">
        <is>
          <t>Chuyển từ terminal status (DA_GIAI_QUYET)</t>
        </is>
      </c>
      <c r="F26" s="41" t="inlineStr">
        <is>
          <t>REQ-INC-ST-04</t>
        </is>
      </c>
      <c r="G26" s="41" t="inlineStr">
        <is>
          <t>Negative</t>
        </is>
      </c>
      <c r="H26" s="41" t="inlineStr">
        <is>
          <t>Cao</t>
        </is>
      </c>
      <c r="I26" s="44" t="inlineStr">
        <is>
          <t>status=DA_GIAI_QUYET</t>
        </is>
      </c>
      <c r="J26" s="44" t="inlineStr">
        <is>
          <t>1. PATCH status=DANG_XAC_MINH</t>
        </is>
      </c>
      <c r="K26" s="44" t="inlineStr"/>
      <c r="L26" s="44" t="inlineStr"/>
      <c r="M26" s="44" t="inlineStr"/>
      <c r="N26" s="44" t="inlineStr">
        <is>
          <t>422</t>
        </is>
      </c>
      <c r="O26" s="44" t="inlineStr"/>
      <c r="P26" s="41" t="inlineStr">
        <is>
          <t>Critical</t>
        </is>
      </c>
      <c r="Q26" s="44" t="inlineStr"/>
      <c r="R26" s="41" t="inlineStr"/>
      <c r="S26" s="41" t="inlineStr"/>
      <c r="T26" s="41" t="inlineStr"/>
      <c r="U26" s="41" t="inlineStr"/>
      <c r="V26" s="44" t="inlineStr"/>
      <c r="W26" s="41" t="inlineStr"/>
      <c r="X26" s="44" t="inlineStr"/>
    </row>
    <row r="27" ht="80" customHeight="1">
      <c r="A27" s="41" t="inlineStr">
        <is>
          <t>TC-024</t>
        </is>
      </c>
      <c r="B27" s="46" t="inlineStr">
        <is>
          <t>RED</t>
        </is>
      </c>
      <c r="C27" s="43" t="inlineStr">
        <is>
          <t>P0</t>
        </is>
      </c>
      <c r="D27" s="44" t="inlineStr">
        <is>
          <t>Incidents.Extend</t>
        </is>
      </c>
      <c r="E27" s="44" t="inlineStr">
        <is>
          <t>Gia hạn quá maxExtensionsSnapshot (lần 3)</t>
        </is>
      </c>
      <c r="F27" s="41" t="inlineStr">
        <is>
          <t>REQ-INC-EXT-02</t>
        </is>
      </c>
      <c r="G27" s="41" t="inlineStr">
        <is>
          <t>Negative</t>
        </is>
      </c>
      <c r="H27" s="41" t="inlineStr">
        <is>
          <t>Cao</t>
        </is>
      </c>
      <c r="I27" s="44" t="inlineStr">
        <is>
          <t>Đã gia hạn 2 lần</t>
        </is>
      </c>
      <c r="J27" s="44" t="inlineStr">
        <is>
          <t>1. POST extend lần 3</t>
        </is>
      </c>
      <c r="K27" s="44" t="inlineStr"/>
      <c r="L27" s="44" t="inlineStr"/>
      <c r="M27" s="44" t="inlineStr">
        <is>
          <t>Lỗi 'Vượt số lần gia hạn cho phép'</t>
        </is>
      </c>
      <c r="N27" s="44" t="inlineStr">
        <is>
          <t>422</t>
        </is>
      </c>
      <c r="O27" s="44" t="inlineStr"/>
      <c r="P27" s="41" t="inlineStr">
        <is>
          <t>Critical</t>
        </is>
      </c>
      <c r="Q27" s="44" t="inlineStr"/>
      <c r="R27" s="41" t="inlineStr"/>
      <c r="S27" s="41" t="inlineStr"/>
      <c r="T27" s="41" t="inlineStr"/>
      <c r="U27" s="41" t="inlineStr"/>
      <c r="V27" s="44" t="inlineStr"/>
      <c r="W27" s="41" t="inlineStr"/>
      <c r="X27" s="44" t="inlineStr">
        <is>
          <t>Đ.147.3</t>
        </is>
      </c>
    </row>
    <row r="28" ht="80" customHeight="1">
      <c r="A28" s="41" t="inlineStr">
        <is>
          <t>TC-025</t>
        </is>
      </c>
      <c r="B28" s="46" t="inlineStr">
        <is>
          <t>RED</t>
        </is>
      </c>
      <c r="C28" s="43" t="inlineStr">
        <is>
          <t>P0</t>
        </is>
      </c>
      <c r="D28" s="44" t="inlineStr">
        <is>
          <t>Incidents.Delete</t>
        </is>
      </c>
      <c r="E28" s="44" t="inlineStr">
        <is>
          <t>Xóa có linked petitions</t>
        </is>
      </c>
      <c r="F28" s="41" t="inlineStr">
        <is>
          <t>REQ-INC-DEL-02</t>
        </is>
      </c>
      <c r="G28" s="41" t="inlineStr">
        <is>
          <t>Negative</t>
        </is>
      </c>
      <c r="H28" s="41" t="inlineStr">
        <is>
          <t>Cao</t>
        </is>
      </c>
      <c r="I28" s="44" t="inlineStr">
        <is>
          <t>Incident có ≥1 petition</t>
        </is>
      </c>
      <c r="J28" s="44" t="inlineStr">
        <is>
          <t>1. DELETE</t>
        </is>
      </c>
      <c r="K28" s="44" t="inlineStr"/>
      <c r="L28" s="44" t="inlineStr"/>
      <c r="M28" s="44" t="inlineStr">
        <is>
          <t>Lỗi 'Còn petition liên kết'</t>
        </is>
      </c>
      <c r="N28" s="44" t="inlineStr">
        <is>
          <t>422</t>
        </is>
      </c>
      <c r="O28" s="44" t="inlineStr"/>
      <c r="P28" s="41" t="inlineStr">
        <is>
          <t>Critical</t>
        </is>
      </c>
      <c r="Q28" s="44" t="inlineStr"/>
      <c r="R28" s="41" t="inlineStr"/>
      <c r="S28" s="41" t="inlineStr"/>
      <c r="T28" s="41" t="inlineStr"/>
      <c r="U28" s="41" t="inlineStr"/>
      <c r="V28" s="44" t="inlineStr"/>
      <c r="W28" s="41" t="inlineStr"/>
      <c r="X28" s="44" t="inlineStr"/>
    </row>
    <row r="29" ht="80" customHeight="1">
      <c r="A29" s="41" t="inlineStr">
        <is>
          <t>TC-026</t>
        </is>
      </c>
      <c r="B29" s="46" t="inlineStr">
        <is>
          <t>RED</t>
        </is>
      </c>
      <c r="C29" s="43" t="inlineStr">
        <is>
          <t>P0</t>
        </is>
      </c>
      <c r="D29" s="44" t="inlineStr">
        <is>
          <t>Incidents.Delete</t>
        </is>
      </c>
      <c r="E29" s="44" t="inlineStr">
        <is>
          <t>Xóa có attached documents</t>
        </is>
      </c>
      <c r="F29" s="41" t="inlineStr">
        <is>
          <t>REQ-INC-DEL-03</t>
        </is>
      </c>
      <c r="G29" s="41" t="inlineStr">
        <is>
          <t>Negative</t>
        </is>
      </c>
      <c r="H29" s="41" t="inlineStr">
        <is>
          <t>Cao</t>
        </is>
      </c>
      <c r="I29" s="44" t="inlineStr"/>
      <c r="J29" s="44" t="inlineStr">
        <is>
          <t>1. DELETE</t>
        </is>
      </c>
      <c r="K29" s="44" t="inlineStr"/>
      <c r="L29" s="44" t="inlineStr"/>
      <c r="M29" s="44" t="inlineStr"/>
      <c r="N29" s="44" t="inlineStr">
        <is>
          <t>422</t>
        </is>
      </c>
      <c r="O29" s="44" t="inlineStr"/>
      <c r="P29" s="41" t="inlineStr">
        <is>
          <t>Critical</t>
        </is>
      </c>
      <c r="Q29" s="44" t="inlineStr"/>
      <c r="R29" s="41" t="inlineStr"/>
      <c r="S29" s="41" t="inlineStr"/>
      <c r="T29" s="41" t="inlineStr"/>
      <c r="U29" s="41" t="inlineStr"/>
      <c r="V29" s="44" t="inlineStr"/>
      <c r="W29" s="41" t="inlineStr"/>
      <c r="X29" s="44" t="inlineStr"/>
    </row>
    <row r="30" ht="80" customHeight="1">
      <c r="A30" s="41" t="inlineStr">
        <is>
          <t>TC-027</t>
        </is>
      </c>
      <c r="B30" s="46" t="inlineStr">
        <is>
          <t>RED</t>
        </is>
      </c>
      <c r="C30" s="43" t="inlineStr">
        <is>
          <t>P0</t>
        </is>
      </c>
      <c r="D30" s="44" t="inlineStr">
        <is>
          <t>Incidents.Delete</t>
        </is>
      </c>
      <c r="E30" s="44" t="inlineStr">
        <is>
          <t>Xóa khi status != TIEP_NHAN</t>
        </is>
      </c>
      <c r="F30" s="41" t="inlineStr">
        <is>
          <t>REQ-INC-DEL-04</t>
        </is>
      </c>
      <c r="G30" s="41" t="inlineStr">
        <is>
          <t>Negative</t>
        </is>
      </c>
      <c r="H30" s="41" t="inlineStr">
        <is>
          <t>Cao</t>
        </is>
      </c>
      <c r="I30" s="44" t="inlineStr">
        <is>
          <t>status=DANG_XAC_MINH</t>
        </is>
      </c>
      <c r="J30" s="44" t="inlineStr">
        <is>
          <t>1. DELETE</t>
        </is>
      </c>
      <c r="K30" s="44" t="inlineStr"/>
      <c r="L30" s="44" t="inlineStr"/>
      <c r="M30" s="44" t="inlineStr"/>
      <c r="N30" s="44" t="inlineStr">
        <is>
          <t>422</t>
        </is>
      </c>
      <c r="O30" s="44" t="inlineStr"/>
      <c r="P30" s="41" t="inlineStr">
        <is>
          <t>Critical</t>
        </is>
      </c>
      <c r="Q30" s="44" t="inlineStr"/>
      <c r="R30" s="41" t="inlineStr"/>
      <c r="S30" s="41" t="inlineStr"/>
      <c r="T30" s="41" t="inlineStr"/>
      <c r="U30" s="41" t="inlineStr"/>
      <c r="V30" s="44" t="inlineStr"/>
      <c r="W30" s="41" t="inlineStr"/>
      <c r="X30" s="44" t="inlineStr"/>
    </row>
    <row r="31" ht="80" customHeight="1">
      <c r="A31" s="41" t="inlineStr">
        <is>
          <t>TC-028</t>
        </is>
      </c>
      <c r="B31" s="46" t="inlineStr">
        <is>
          <t>RED</t>
        </is>
      </c>
      <c r="C31" s="43" t="inlineStr">
        <is>
          <t>P0</t>
        </is>
      </c>
      <c r="D31" s="44" t="inlineStr">
        <is>
          <t>Incidents.Delete</t>
        </is>
      </c>
      <c r="E31" s="44" t="inlineStr">
        <is>
          <t>Quá 72h kể từ created</t>
        </is>
      </c>
      <c r="F31" s="41" t="inlineStr">
        <is>
          <t>REQ-INC-DEL-05</t>
        </is>
      </c>
      <c r="G31" s="41" t="inlineStr">
        <is>
          <t>Negative</t>
        </is>
      </c>
      <c r="H31" s="41" t="inlineStr">
        <is>
          <t>Cao</t>
        </is>
      </c>
      <c r="I31" s="44" t="inlineStr">
        <is>
          <t>createdAt &gt; 72h</t>
        </is>
      </c>
      <c r="J31" s="44" t="inlineStr">
        <is>
          <t>1. DELETE bởi non-admin</t>
        </is>
      </c>
      <c r="K31" s="44" t="inlineStr"/>
      <c r="L31" s="44" t="inlineStr"/>
      <c r="M31" s="44" t="inlineStr"/>
      <c r="N31" s="44" t="inlineStr">
        <is>
          <t>422</t>
        </is>
      </c>
      <c r="O31" s="44" t="inlineStr"/>
      <c r="P31" s="41" t="inlineStr">
        <is>
          <t>High</t>
        </is>
      </c>
      <c r="Q31" s="44" t="inlineStr"/>
      <c r="R31" s="41" t="inlineStr"/>
      <c r="S31" s="41" t="inlineStr"/>
      <c r="T31" s="41" t="inlineStr"/>
      <c r="U31" s="41" t="inlineStr"/>
      <c r="V31" s="44" t="inlineStr"/>
      <c r="W31" s="41" t="inlineStr"/>
      <c r="X31" s="44" t="inlineStr"/>
    </row>
    <row r="32" ht="80" customHeight="1">
      <c r="A32" s="41" t="inlineStr">
        <is>
          <t>TC-029</t>
        </is>
      </c>
      <c r="B32" s="46" t="inlineStr">
        <is>
          <t>RED</t>
        </is>
      </c>
      <c r="C32" s="43" t="inlineStr">
        <is>
          <t>P0</t>
        </is>
      </c>
      <c r="D32" s="44" t="inlineStr">
        <is>
          <t>Incidents.Delete</t>
        </is>
      </c>
      <c r="E32" s="44" t="inlineStr">
        <is>
          <t>Non-creator non-admin xóa</t>
        </is>
      </c>
      <c r="F32" s="41" t="inlineStr">
        <is>
          <t>REQ-INC-DEL-06</t>
        </is>
      </c>
      <c r="G32" s="41" t="inlineStr">
        <is>
          <t>Negative</t>
        </is>
      </c>
      <c r="H32" s="41" t="inlineStr">
        <is>
          <t>Cao</t>
        </is>
      </c>
      <c r="I32" s="44" t="inlineStr"/>
      <c r="J32" s="44" t="inlineStr">
        <is>
          <t>1. DELETE</t>
        </is>
      </c>
      <c r="K32" s="44" t="inlineStr"/>
      <c r="L32" s="44" t="inlineStr"/>
      <c r="M32" s="44" t="inlineStr"/>
      <c r="N32" s="44" t="inlineStr">
        <is>
          <t>403</t>
        </is>
      </c>
      <c r="O32" s="44" t="inlineStr"/>
      <c r="P32" s="41" t="inlineStr">
        <is>
          <t>Critical</t>
        </is>
      </c>
      <c r="Q32" s="44" t="inlineStr"/>
      <c r="R32" s="41" t="inlineStr"/>
      <c r="S32" s="41" t="inlineStr"/>
      <c r="T32" s="41" t="inlineStr"/>
      <c r="U32" s="41" t="inlineStr"/>
      <c r="V32" s="44" t="inlineStr"/>
      <c r="W32" s="41" t="inlineStr"/>
      <c r="X32" s="44" t="inlineStr"/>
    </row>
    <row r="33" ht="80" customHeight="1">
      <c r="A33" s="41" t="inlineStr">
        <is>
          <t>TC-030</t>
        </is>
      </c>
      <c r="B33" s="46" t="inlineStr">
        <is>
          <t>RED</t>
        </is>
      </c>
      <c r="C33" s="43" t="inlineStr">
        <is>
          <t>P0</t>
        </is>
      </c>
      <c r="D33" s="44" t="inlineStr">
        <is>
          <t>Incidents.Assign</t>
        </is>
      </c>
      <c r="E33" s="44" t="inlineStr">
        <is>
          <t>Non-dispatcher assign</t>
        </is>
      </c>
      <c r="F33" s="41" t="inlineStr">
        <is>
          <t>REQ-INC-ASN-02</t>
        </is>
      </c>
      <c r="G33" s="41" t="inlineStr">
        <is>
          <t>Negative</t>
        </is>
      </c>
      <c r="H33" s="41" t="inlineStr">
        <is>
          <t>Cao</t>
        </is>
      </c>
      <c r="I33" s="44" t="inlineStr"/>
      <c r="J33" s="44" t="inlineStr">
        <is>
          <t>1. PATCH /assign user thường</t>
        </is>
      </c>
      <c r="K33" s="44" t="inlineStr"/>
      <c r="L33" s="44" t="inlineStr"/>
      <c r="M33" s="44" t="inlineStr"/>
      <c r="N33" s="44" t="inlineStr">
        <is>
          <t>403</t>
        </is>
      </c>
      <c r="O33" s="44" t="inlineStr"/>
      <c r="P33" s="41" t="inlineStr">
        <is>
          <t>Critical</t>
        </is>
      </c>
      <c r="Q33" s="44" t="inlineStr"/>
      <c r="R33" s="41" t="inlineStr"/>
      <c r="S33" s="41" t="inlineStr"/>
      <c r="T33" s="41" t="inlineStr"/>
      <c r="U33" s="41" t="inlineStr"/>
      <c r="V33" s="44" t="inlineStr"/>
      <c r="W33" s="41" t="inlineStr"/>
      <c r="X33" s="44" t="inlineStr"/>
    </row>
    <row r="34" ht="80" customHeight="1">
      <c r="A34" s="41" t="inlineStr">
        <is>
          <t>TC-031</t>
        </is>
      </c>
      <c r="B34" s="46" t="inlineStr">
        <is>
          <t>RED</t>
        </is>
      </c>
      <c r="C34" s="43" t="inlineStr">
        <is>
          <t>P0</t>
        </is>
      </c>
      <c r="D34" s="44" t="inlineStr">
        <is>
          <t>Incidents.Prosecute</t>
        </is>
      </c>
      <c r="E34" s="44" t="inlineStr">
        <is>
          <t>Prosecute thiếu caseName</t>
        </is>
      </c>
      <c r="F34" s="41" t="inlineStr">
        <is>
          <t>REQ-INC-PROS-02</t>
        </is>
      </c>
      <c r="G34" s="41" t="inlineStr">
        <is>
          <t>Negative</t>
        </is>
      </c>
      <c r="H34" s="41" t="inlineStr">
        <is>
          <t>Cao</t>
        </is>
      </c>
      <c r="I34" s="44" t="inlineStr"/>
      <c r="J34" s="44" t="inlineStr">
        <is>
          <t>1. POST /prosecute body {}</t>
        </is>
      </c>
      <c r="K34" s="44" t="inlineStr"/>
      <c r="L34" s="44" t="inlineStr"/>
      <c r="M34" s="44" t="inlineStr">
        <is>
          <t>Lỗi</t>
        </is>
      </c>
      <c r="N34" s="44" t="inlineStr">
        <is>
          <t>400</t>
        </is>
      </c>
      <c r="O34" s="44" t="inlineStr"/>
      <c r="P34" s="41" t="inlineStr">
        <is>
          <t>Critical</t>
        </is>
      </c>
      <c r="Q34" s="44" t="inlineStr"/>
      <c r="R34" s="41" t="inlineStr"/>
      <c r="S34" s="41" t="inlineStr"/>
      <c r="T34" s="41" t="inlineStr"/>
      <c r="U34" s="41" t="inlineStr"/>
      <c r="V34" s="44" t="inlineStr"/>
      <c r="W34" s="41" t="inlineStr"/>
      <c r="X34" s="44" t="inlineStr"/>
    </row>
    <row r="35" ht="80" customHeight="1">
      <c r="A35" s="41" t="inlineStr">
        <is>
          <t>TC-032</t>
        </is>
      </c>
      <c r="B35" s="46" t="inlineStr">
        <is>
          <t>RED</t>
        </is>
      </c>
      <c r="C35" s="43" t="inlineStr">
        <is>
          <t>P0</t>
        </is>
      </c>
      <c r="D35" s="44" t="inlineStr">
        <is>
          <t>Incidents.Prosecute</t>
        </is>
      </c>
      <c r="E35" s="44" t="inlineStr">
        <is>
          <t>Prosecute incident đã DA_CHUYEN_VU_AN</t>
        </is>
      </c>
      <c r="F35" s="41" t="inlineStr">
        <is>
          <t>REQ-INC-PROS-03</t>
        </is>
      </c>
      <c r="G35" s="41" t="inlineStr">
        <is>
          <t>Negative</t>
        </is>
      </c>
      <c r="H35" s="41" t="inlineStr">
        <is>
          <t>Cao</t>
        </is>
      </c>
      <c r="I35" s="44" t="inlineStr">
        <is>
          <t>status=DA_CHUYEN_VU_AN</t>
        </is>
      </c>
      <c r="J35" s="44" t="inlineStr">
        <is>
          <t>1. POST /prosecute lần 2</t>
        </is>
      </c>
      <c r="K35" s="44" t="inlineStr"/>
      <c r="L35" s="44" t="inlineStr"/>
      <c r="M35" s="44" t="inlineStr"/>
      <c r="N35" s="44" t="inlineStr">
        <is>
          <t>422</t>
        </is>
      </c>
      <c r="O35" s="44" t="inlineStr"/>
      <c r="P35" s="41" t="inlineStr">
        <is>
          <t>Critical</t>
        </is>
      </c>
      <c r="Q35" s="44" t="inlineStr"/>
      <c r="R35" s="41" t="inlineStr"/>
      <c r="S35" s="41" t="inlineStr"/>
      <c r="T35" s="41" t="inlineStr"/>
      <c r="U35" s="41" t="inlineStr"/>
      <c r="V35" s="44" t="inlineStr"/>
      <c r="W35" s="41" t="inlineStr"/>
      <c r="X35" s="44" t="inlineStr"/>
    </row>
    <row r="36" ht="80" customHeight="1">
      <c r="A36" s="41" t="inlineStr">
        <is>
          <t>TC-033</t>
        </is>
      </c>
      <c r="B36" s="46" t="inlineStr">
        <is>
          <t>RED</t>
        </is>
      </c>
      <c r="C36" s="43" t="inlineStr">
        <is>
          <t>P0</t>
        </is>
      </c>
      <c r="D36" s="44" t="inlineStr">
        <is>
          <t>Incidents.Merge</t>
        </is>
      </c>
      <c r="E36" s="44" t="inlineStr">
        <is>
          <t>Merge vào chính nó (self)</t>
        </is>
      </c>
      <c r="F36" s="41" t="inlineStr">
        <is>
          <t>REQ-INC-MRG-02</t>
        </is>
      </c>
      <c r="G36" s="41" t="inlineStr">
        <is>
          <t>Negative</t>
        </is>
      </c>
      <c r="H36" s="41" t="inlineStr">
        <is>
          <t>Cao</t>
        </is>
      </c>
      <c r="I36" s="44" t="inlineStr"/>
      <c r="J36" s="44" t="inlineStr">
        <is>
          <t>1. PATCH /A/merge targetIncidentId=A</t>
        </is>
      </c>
      <c r="K36" s="44" t="inlineStr"/>
      <c r="L36" s="44" t="inlineStr"/>
      <c r="M36" s="44" t="inlineStr"/>
      <c r="N36" s="44" t="inlineStr">
        <is>
          <t>400</t>
        </is>
      </c>
      <c r="O36" s="44" t="inlineStr"/>
      <c r="P36" s="41" t="inlineStr">
        <is>
          <t>High</t>
        </is>
      </c>
      <c r="Q36" s="44" t="inlineStr"/>
      <c r="R36" s="41" t="inlineStr"/>
      <c r="S36" s="41" t="inlineStr"/>
      <c r="T36" s="41" t="inlineStr"/>
      <c r="U36" s="41" t="inlineStr"/>
      <c r="V36" s="44" t="inlineStr"/>
      <c r="W36" s="41" t="inlineStr"/>
      <c r="X36" s="44" t="inlineStr"/>
    </row>
    <row r="37" ht="80" customHeight="1">
      <c r="A37" s="41" t="inlineStr">
        <is>
          <t>TC-034</t>
        </is>
      </c>
      <c r="B37" s="46" t="inlineStr">
        <is>
          <t>RED</t>
        </is>
      </c>
      <c r="C37" s="43" t="inlineStr">
        <is>
          <t>P0</t>
        </is>
      </c>
      <c r="D37" s="44" t="inlineStr">
        <is>
          <t>Incidents.Merge</t>
        </is>
      </c>
      <c r="E37" s="44" t="inlineStr">
        <is>
          <t>Merge vào incident terminal</t>
        </is>
      </c>
      <c r="F37" s="41" t="inlineStr">
        <is>
          <t>REQ-INC-MRG-03</t>
        </is>
      </c>
      <c r="G37" s="41" t="inlineStr">
        <is>
          <t>Negative</t>
        </is>
      </c>
      <c r="H37" s="41" t="inlineStr">
        <is>
          <t>Cao</t>
        </is>
      </c>
      <c r="I37" s="44" t="inlineStr">
        <is>
          <t>target=DA_GIAI_QUYET</t>
        </is>
      </c>
      <c r="J37" s="44" t="inlineStr">
        <is>
          <t>1. PATCH merge</t>
        </is>
      </c>
      <c r="K37" s="44" t="inlineStr"/>
      <c r="L37" s="44" t="inlineStr"/>
      <c r="M37" s="44" t="inlineStr"/>
      <c r="N37" s="44" t="inlineStr">
        <is>
          <t>422</t>
        </is>
      </c>
      <c r="O37" s="44" t="inlineStr"/>
      <c r="P37" s="41" t="inlineStr">
        <is>
          <t>High</t>
        </is>
      </c>
      <c r="Q37" s="44" t="inlineStr"/>
      <c r="R37" s="41" t="inlineStr"/>
      <c r="S37" s="41" t="inlineStr"/>
      <c r="T37" s="41" t="inlineStr"/>
      <c r="U37" s="41" t="inlineStr"/>
      <c r="V37" s="44" t="inlineStr"/>
      <c r="W37" s="41" t="inlineStr"/>
      <c r="X37" s="44" t="inlineStr"/>
    </row>
    <row r="38" ht="80" customHeight="1">
      <c r="A38" s="41" t="inlineStr">
        <is>
          <t>TC-035</t>
        </is>
      </c>
      <c r="B38" s="46" t="inlineStr">
        <is>
          <t>RED</t>
        </is>
      </c>
      <c r="C38" s="43" t="inlineStr">
        <is>
          <t>P0</t>
        </is>
      </c>
      <c r="D38" s="44" t="inlineStr">
        <is>
          <t>Incidents.Read</t>
        </is>
      </c>
      <c r="E38" s="44" t="inlineStr">
        <is>
          <t>User ĐTV Team A xem incident Team B (DataScope)</t>
        </is>
      </c>
      <c r="F38" s="41" t="inlineStr">
        <is>
          <t>REQ-INC-RD-05</t>
        </is>
      </c>
      <c r="G38" s="41" t="inlineStr">
        <is>
          <t>Negative IDOR</t>
        </is>
      </c>
      <c r="H38" s="41" t="inlineStr">
        <is>
          <t>Cao</t>
        </is>
      </c>
      <c r="I38" s="44" t="inlineStr"/>
      <c r="J38" s="44" t="inlineStr">
        <is>
          <t>1. GET /incidents/&lt;other-team&gt;</t>
        </is>
      </c>
      <c r="K38" s="44" t="inlineStr"/>
      <c r="L38" s="44" t="inlineStr"/>
      <c r="M38" s="44" t="inlineStr"/>
      <c r="N38" s="44" t="inlineStr">
        <is>
          <t>404</t>
        </is>
      </c>
      <c r="O38" s="44" t="inlineStr"/>
      <c r="P38" s="41" t="inlineStr">
        <is>
          <t>Critical</t>
        </is>
      </c>
      <c r="Q38" s="44" t="inlineStr"/>
      <c r="R38" s="41" t="inlineStr"/>
      <c r="S38" s="41" t="inlineStr"/>
      <c r="T38" s="41" t="inlineStr"/>
      <c r="U38" s="41" t="inlineStr"/>
      <c r="V38" s="44" t="inlineStr"/>
      <c r="W38" s="41" t="inlineStr"/>
      <c r="X38" s="44" t="inlineStr"/>
    </row>
    <row r="39" ht="80" customHeight="1">
      <c r="A39" s="41" t="inlineStr">
        <is>
          <t>TC-036</t>
        </is>
      </c>
      <c r="B39" s="46" t="inlineStr">
        <is>
          <t>RED</t>
        </is>
      </c>
      <c r="C39" s="43" t="inlineStr">
        <is>
          <t>P0</t>
        </is>
      </c>
      <c r="D39" s="44" t="inlineStr">
        <is>
          <t>Incidents.Update</t>
        </is>
      </c>
      <c r="E39" s="44" t="inlineStr">
        <is>
          <t>Update với expectedUpdatedAt stale</t>
        </is>
      </c>
      <c r="F39" s="41" t="inlineStr">
        <is>
          <t>REQ-INC-UP-02</t>
        </is>
      </c>
      <c r="G39" s="41" t="inlineStr">
        <is>
          <t>Negative</t>
        </is>
      </c>
      <c r="H39" s="41" t="inlineStr">
        <is>
          <t>Cao</t>
        </is>
      </c>
      <c r="I39" s="44" t="inlineStr"/>
      <c r="J39" s="44" t="inlineStr">
        <is>
          <t>1. PUT stale lock</t>
        </is>
      </c>
      <c r="K39" s="44" t="inlineStr"/>
      <c r="L39" s="44" t="inlineStr"/>
      <c r="M39" s="44" t="inlineStr">
        <is>
          <t>Dialog conflict</t>
        </is>
      </c>
      <c r="N39" s="44" t="inlineStr">
        <is>
          <t>409</t>
        </is>
      </c>
      <c r="O39" s="44" t="inlineStr"/>
      <c r="P39" s="41" t="inlineStr">
        <is>
          <t>Critical</t>
        </is>
      </c>
      <c r="Q39" s="44" t="inlineStr"/>
      <c r="R39" s="41" t="inlineStr"/>
      <c r="S39" s="41" t="inlineStr"/>
      <c r="T39" s="41" t="inlineStr"/>
      <c r="U39" s="41" t="inlineStr"/>
      <c r="V39" s="44" t="inlineStr"/>
      <c r="W39" s="41" t="inlineStr"/>
      <c r="X39" s="44" t="inlineStr"/>
    </row>
    <row r="40" ht="80" customHeight="1">
      <c r="A40" s="41" t="inlineStr">
        <is>
          <t>TC-037</t>
        </is>
      </c>
      <c r="B40" s="46" t="inlineStr">
        <is>
          <t>RED</t>
        </is>
      </c>
      <c r="C40" s="43" t="inlineStr">
        <is>
          <t>P0</t>
        </is>
      </c>
      <c r="D40" s="44" t="inlineStr">
        <is>
          <t>Incidents.Restore</t>
        </is>
      </c>
      <c r="E40" s="44" t="inlineStr">
        <is>
          <t>Non-ADMIN restore</t>
        </is>
      </c>
      <c r="F40" s="41" t="inlineStr">
        <is>
          <t>REQ-INC-RES-02</t>
        </is>
      </c>
      <c r="G40" s="41" t="inlineStr">
        <is>
          <t>Negative</t>
        </is>
      </c>
      <c r="H40" s="41" t="inlineStr">
        <is>
          <t>Cao</t>
        </is>
      </c>
      <c r="I40" s="44" t="inlineStr"/>
      <c r="J40" s="44" t="inlineStr">
        <is>
          <t>1. POST /restore</t>
        </is>
      </c>
      <c r="K40" s="44" t="inlineStr"/>
      <c r="L40" s="44" t="inlineStr"/>
      <c r="M40" s="44" t="inlineStr"/>
      <c r="N40" s="44" t="inlineStr">
        <is>
          <t>403</t>
        </is>
      </c>
      <c r="O40" s="44" t="inlineStr"/>
      <c r="P40" s="41" t="inlineStr">
        <is>
          <t>Critical</t>
        </is>
      </c>
      <c r="Q40" s="44" t="inlineStr"/>
      <c r="R40" s="41" t="inlineStr"/>
      <c r="S40" s="41" t="inlineStr"/>
      <c r="T40" s="41" t="inlineStr"/>
      <c r="U40" s="41" t="inlineStr"/>
      <c r="V40" s="44" t="inlineStr"/>
      <c r="W40" s="41" t="inlineStr"/>
      <c r="X40" s="44" t="inlineStr"/>
    </row>
    <row r="41" ht="80" customHeight="1">
      <c r="A41" s="41" t="inlineStr">
        <is>
          <t>TC-038</t>
        </is>
      </c>
      <c r="B41" s="46" t="inlineStr">
        <is>
          <t>RED</t>
        </is>
      </c>
      <c r="C41" s="45" t="inlineStr">
        <is>
          <t>P1</t>
        </is>
      </c>
      <c r="D41" s="44" t="inlineStr">
        <is>
          <t>Incidents.Read</t>
        </is>
      </c>
      <c r="E41" s="44" t="inlineStr">
        <is>
          <t>Stats không strip status filter</t>
        </is>
      </c>
      <c r="F41" s="41" t="inlineStr">
        <is>
          <t>REQ-INC-RD-06</t>
        </is>
      </c>
      <c r="G41" s="41" t="inlineStr">
        <is>
          <t>Negative</t>
        </is>
      </c>
      <c r="H41" s="41" t="inlineStr">
        <is>
          <t>TB</t>
        </is>
      </c>
      <c r="I41" s="44" t="inlineStr"/>
      <c r="J41" s="44" t="inlineStr">
        <is>
          <t>1. GET /stats?status=DANG_XAC_MINH</t>
        </is>
      </c>
      <c r="K41" s="44" t="inlineStr"/>
      <c r="L41" s="44" t="inlineStr"/>
      <c r="M41" s="44" t="inlineStr"/>
      <c r="N41" s="44" t="inlineStr">
        <is>
          <t>200, vẫn count đủ tất cả status (strip filter)</t>
        </is>
      </c>
      <c r="O41" s="44" t="inlineStr"/>
      <c r="P41" s="41" t="inlineStr">
        <is>
          <t>High</t>
        </is>
      </c>
      <c r="Q41" s="44" t="inlineStr"/>
      <c r="R41" s="41" t="inlineStr"/>
      <c r="S41" s="41" t="inlineStr"/>
      <c r="T41" s="41" t="inlineStr"/>
      <c r="U41" s="41" t="inlineStr"/>
      <c r="V41" s="44" t="inlineStr"/>
      <c r="W41" s="41" t="inlineStr"/>
      <c r="X41" s="44" t="inlineStr"/>
    </row>
    <row r="42" ht="80" customHeight="1">
      <c r="A42" s="41" t="inlineStr">
        <is>
          <t>TC-039</t>
        </is>
      </c>
      <c r="B42" s="46" t="inlineStr">
        <is>
          <t>RED</t>
        </is>
      </c>
      <c r="C42" s="45" t="inlineStr">
        <is>
          <t>P1</t>
        </is>
      </c>
      <c r="D42" s="44" t="inlineStr">
        <is>
          <t>Incidents.Create</t>
        </is>
      </c>
      <c r="E42" s="44" t="inlineStr">
        <is>
          <t>fromDate &gt; toDate</t>
        </is>
      </c>
      <c r="F42" s="41" t="inlineStr">
        <is>
          <t>REQ-INC-CR-06</t>
        </is>
      </c>
      <c r="G42" s="41" t="inlineStr">
        <is>
          <t>Negative</t>
        </is>
      </c>
      <c r="H42" s="41" t="inlineStr">
        <is>
          <t>TB</t>
        </is>
      </c>
      <c r="I42" s="44" t="inlineStr"/>
      <c r="J42" s="44" t="inlineStr">
        <is>
          <t>1. fromDate=2026-06-01, toDate=2026-01-01</t>
        </is>
      </c>
      <c r="K42" s="44" t="inlineStr"/>
      <c r="L42" s="44" t="inlineStr"/>
      <c r="M42" s="44" t="inlineStr">
        <is>
          <t>Lỗi</t>
        </is>
      </c>
      <c r="N42" s="44" t="inlineStr">
        <is>
          <t>400</t>
        </is>
      </c>
      <c r="O42" s="44" t="inlineStr"/>
      <c r="P42" s="41" t="inlineStr">
        <is>
          <t>Medium</t>
        </is>
      </c>
      <c r="Q42" s="44" t="inlineStr"/>
      <c r="R42" s="41" t="inlineStr"/>
      <c r="S42" s="41" t="inlineStr"/>
      <c r="T42" s="41" t="inlineStr"/>
      <c r="U42" s="41" t="inlineStr"/>
      <c r="V42" s="44" t="inlineStr"/>
      <c r="W42" s="41" t="inlineStr"/>
      <c r="X42" s="44" t="inlineStr"/>
    </row>
    <row r="43" ht="80" customHeight="1">
      <c r="A43" s="41" t="inlineStr">
        <is>
          <t>TC-040</t>
        </is>
      </c>
      <c r="B43" s="46" t="inlineStr">
        <is>
          <t>RED</t>
        </is>
      </c>
      <c r="C43" s="45" t="inlineStr">
        <is>
          <t>P1</t>
        </is>
      </c>
      <c r="D43" s="44" t="inlineStr">
        <is>
          <t>Incidents.Create</t>
        </is>
      </c>
      <c r="E43" s="44" t="inlineStr">
        <is>
          <t>name &gt; 255 ký tự</t>
        </is>
      </c>
      <c r="F43" s="41" t="inlineStr">
        <is>
          <t>REQ-INC-CR-07</t>
        </is>
      </c>
      <c r="G43" s="41" t="inlineStr">
        <is>
          <t>Negative</t>
        </is>
      </c>
      <c r="H43" s="41" t="inlineStr">
        <is>
          <t>TB</t>
        </is>
      </c>
      <c r="I43" s="44" t="inlineStr"/>
      <c r="J43" s="44" t="inlineStr">
        <is>
          <t>1. name 256 char</t>
        </is>
      </c>
      <c r="K43" s="44" t="inlineStr"/>
      <c r="L43" s="44" t="inlineStr"/>
      <c r="M43" s="44" t="inlineStr"/>
      <c r="N43" s="44" t="inlineStr">
        <is>
          <t>400</t>
        </is>
      </c>
      <c r="O43" s="44" t="inlineStr"/>
      <c r="P43" s="41" t="inlineStr">
        <is>
          <t>High</t>
        </is>
      </c>
      <c r="Q43" s="44" t="inlineStr"/>
      <c r="R43" s="41" t="inlineStr"/>
      <c r="S43" s="41" t="inlineStr"/>
      <c r="T43" s="41" t="inlineStr"/>
      <c r="U43" s="41" t="inlineStr"/>
      <c r="V43" s="44" t="inlineStr"/>
      <c r="W43" s="41" t="inlineStr"/>
      <c r="X43" s="44" t="inlineStr"/>
    </row>
    <row r="44" ht="80" customHeight="1">
      <c r="A44" s="41" t="inlineStr">
        <is>
          <t>TC-041</t>
        </is>
      </c>
      <c r="B44" s="46" t="inlineStr">
        <is>
          <t>RED</t>
        </is>
      </c>
      <c r="C44" s="45" t="inlineStr">
        <is>
          <t>P1</t>
        </is>
      </c>
      <c r="D44" s="44" t="inlineStr">
        <is>
          <t>Incidents.Create</t>
        </is>
      </c>
      <c r="E44" s="44" t="inlineStr">
        <is>
          <t>sdtNguoiToGiac sai định dạng</t>
        </is>
      </c>
      <c r="F44" s="41" t="inlineStr">
        <is>
          <t>REQ-INC-CR-08</t>
        </is>
      </c>
      <c r="G44" s="41" t="inlineStr">
        <is>
          <t>Negative</t>
        </is>
      </c>
      <c r="H44" s="41" t="inlineStr">
        <is>
          <t>TB</t>
        </is>
      </c>
      <c r="I44" s="44" t="inlineStr"/>
      <c r="J44" s="44" t="inlineStr">
        <is>
          <t>1. sdt='abc'</t>
        </is>
      </c>
      <c r="K44" s="44" t="inlineStr"/>
      <c r="L44" s="44" t="inlineStr"/>
      <c r="M44" s="44" t="inlineStr"/>
      <c r="N44" s="44" t="inlineStr">
        <is>
          <t>400</t>
        </is>
      </c>
      <c r="O44" s="44" t="inlineStr"/>
      <c r="P44" s="41" t="inlineStr">
        <is>
          <t>Medium</t>
        </is>
      </c>
      <c r="Q44" s="44" t="inlineStr"/>
      <c r="R44" s="41" t="inlineStr"/>
      <c r="S44" s="41" t="inlineStr"/>
      <c r="T44" s="41" t="inlineStr"/>
      <c r="U44" s="41" t="inlineStr"/>
      <c r="V44" s="44" t="inlineStr"/>
      <c r="W44" s="41" t="inlineStr"/>
      <c r="X44" s="44" t="inlineStr"/>
    </row>
    <row r="45" ht="80" customHeight="1">
      <c r="A45" s="41" t="inlineStr">
        <is>
          <t>TC-042</t>
        </is>
      </c>
      <c r="B45" s="46" t="inlineStr">
        <is>
          <t>RED</t>
        </is>
      </c>
      <c r="C45" s="45" t="inlineStr">
        <is>
          <t>P1</t>
        </is>
      </c>
      <c r="D45" s="44" t="inlineStr">
        <is>
          <t>Incidents.Create</t>
        </is>
      </c>
      <c r="E45" s="44" t="inlineStr">
        <is>
          <t>cmndNguoiToGiac không đủ 9/12 số</t>
        </is>
      </c>
      <c r="F45" s="41" t="inlineStr">
        <is>
          <t>REQ-INC-CR-09</t>
        </is>
      </c>
      <c r="G45" s="41" t="inlineStr">
        <is>
          <t>Negative</t>
        </is>
      </c>
      <c r="H45" s="41" t="inlineStr">
        <is>
          <t>TB</t>
        </is>
      </c>
      <c r="I45" s="44" t="inlineStr"/>
      <c r="J45" s="44" t="inlineStr">
        <is>
          <t>1. cmnd='123'</t>
        </is>
      </c>
      <c r="K45" s="44" t="inlineStr"/>
      <c r="L45" s="44" t="inlineStr"/>
      <c r="M45" s="44" t="inlineStr"/>
      <c r="N45" s="44" t="inlineStr">
        <is>
          <t>400</t>
        </is>
      </c>
      <c r="O45" s="44" t="inlineStr"/>
      <c r="P45" s="41" t="inlineStr">
        <is>
          <t>Medium</t>
        </is>
      </c>
      <c r="Q45" s="44" t="inlineStr"/>
      <c r="R45" s="41" t="inlineStr"/>
      <c r="S45" s="41" t="inlineStr"/>
      <c r="T45" s="41" t="inlineStr"/>
      <c r="U45" s="41" t="inlineStr"/>
      <c r="V45" s="44" t="inlineStr"/>
      <c r="W45" s="41" t="inlineStr"/>
      <c r="X45" s="44" t="inlineStr"/>
    </row>
    <row r="46" ht="80" customHeight="1">
      <c r="A46" s="41" t="inlineStr">
        <is>
          <t>TC-043</t>
        </is>
      </c>
      <c r="B46" s="46" t="inlineStr">
        <is>
          <t>RED</t>
        </is>
      </c>
      <c r="C46" s="45" t="inlineStr">
        <is>
          <t>P1</t>
        </is>
      </c>
      <c r="D46" s="44" t="inlineStr">
        <is>
          <t>Incidents.Create</t>
        </is>
      </c>
      <c r="E46" s="44" t="inlineStr">
        <is>
          <t>investigatorId không thuộc đơn vị</t>
        </is>
      </c>
      <c r="F46" s="41" t="inlineStr">
        <is>
          <t>REQ-INC-CR-10</t>
        </is>
      </c>
      <c r="G46" s="41" t="inlineStr">
        <is>
          <t>Negative</t>
        </is>
      </c>
      <c r="H46" s="41" t="inlineStr">
        <is>
          <t>TB</t>
        </is>
      </c>
      <c r="I46" s="44" t="inlineStr"/>
      <c r="J46" s="44" t="inlineStr">
        <is>
          <t>1. investigatorId của đơn vị khác</t>
        </is>
      </c>
      <c r="K46" s="44" t="inlineStr"/>
      <c r="L46" s="44" t="inlineStr"/>
      <c r="M46" s="44" t="inlineStr"/>
      <c r="N46" s="44" t="inlineStr">
        <is>
          <t>400/403</t>
        </is>
      </c>
      <c r="O46" s="44" t="inlineStr"/>
      <c r="P46" s="41" t="inlineStr">
        <is>
          <t>High</t>
        </is>
      </c>
      <c r="Q46" s="44" t="inlineStr"/>
      <c r="R46" s="41" t="inlineStr"/>
      <c r="S46" s="41" t="inlineStr"/>
      <c r="T46" s="41" t="inlineStr"/>
      <c r="U46" s="41" t="inlineStr"/>
      <c r="V46" s="44" t="inlineStr"/>
      <c r="W46" s="41" t="inlineStr"/>
      <c r="X46" s="44" t="inlineStr"/>
    </row>
    <row r="47" ht="80" customHeight="1">
      <c r="A47" s="41" t="inlineStr">
        <is>
          <t>TC-044</t>
        </is>
      </c>
      <c r="B47" s="46" t="inlineStr">
        <is>
          <t>RED</t>
        </is>
      </c>
      <c r="C47" s="45" t="inlineStr">
        <is>
          <t>P1</t>
        </is>
      </c>
      <c r="D47" s="44" t="inlineStr">
        <is>
          <t>Incidents.Create</t>
        </is>
      </c>
      <c r="E47" s="44" t="inlineStr">
        <is>
          <t>phuongThucTiepNhan enum không hợp lệ</t>
        </is>
      </c>
      <c r="F47" s="41" t="inlineStr">
        <is>
          <t>REQ-INC-CR-11</t>
        </is>
      </c>
      <c r="G47" s="41" t="inlineStr">
        <is>
          <t>Negative</t>
        </is>
      </c>
      <c r="H47" s="41" t="inlineStr">
        <is>
          <t>TB</t>
        </is>
      </c>
      <c r="I47" s="44" t="inlineStr"/>
      <c r="J47" s="44" t="inlineStr">
        <is>
          <t>1. phuongThucTiepNhan='XYZ'</t>
        </is>
      </c>
      <c r="K47" s="44" t="inlineStr"/>
      <c r="L47" s="44" t="inlineStr"/>
      <c r="M47" s="44" t="inlineStr"/>
      <c r="N47" s="44" t="inlineStr">
        <is>
          <t>400</t>
        </is>
      </c>
      <c r="O47" s="44" t="inlineStr"/>
      <c r="P47" s="41" t="inlineStr">
        <is>
          <t>Medium</t>
        </is>
      </c>
      <c r="Q47" s="44" t="inlineStr"/>
      <c r="R47" s="41" t="inlineStr"/>
      <c r="S47" s="41" t="inlineStr"/>
      <c r="T47" s="41" t="inlineStr"/>
      <c r="U47" s="41" t="inlineStr"/>
      <c r="V47" s="44" t="inlineStr"/>
      <c r="W47" s="41" t="inlineStr"/>
      <c r="X47" s="44" t="inlineStr"/>
    </row>
    <row r="48" ht="80" customHeight="1">
      <c r="A48" s="41" t="inlineStr">
        <is>
          <t>TC-045</t>
        </is>
      </c>
      <c r="B48" s="46" t="inlineStr">
        <is>
          <t>RED</t>
        </is>
      </c>
      <c r="C48" s="45" t="inlineStr">
        <is>
          <t>P1</t>
        </is>
      </c>
      <c r="D48" s="44" t="inlineStr">
        <is>
          <t>Incidents.Create</t>
        </is>
      </c>
      <c r="E48" s="44" t="inlineStr">
        <is>
          <t>loaiKetQua không thuộc Wireframe 5</t>
        </is>
      </c>
      <c r="F48" s="41" t="inlineStr">
        <is>
          <t>REQ-INC-CR-12</t>
        </is>
      </c>
      <c r="G48" s="41" t="inlineStr">
        <is>
          <t>Negative</t>
        </is>
      </c>
      <c r="H48" s="41" t="inlineStr">
        <is>
          <t>TB</t>
        </is>
      </c>
      <c r="I48" s="44" t="inlineStr"/>
      <c r="J48" s="44" t="inlineStr">
        <is>
          <t>1. loaiKetQua='INVALID'</t>
        </is>
      </c>
      <c r="K48" s="44" t="inlineStr"/>
      <c r="L48" s="44" t="inlineStr"/>
      <c r="M48" s="44" t="inlineStr"/>
      <c r="N48" s="44" t="inlineStr">
        <is>
          <t>400</t>
        </is>
      </c>
      <c r="O48" s="44" t="inlineStr"/>
      <c r="P48" s="41" t="inlineStr">
        <is>
          <t>Medium</t>
        </is>
      </c>
      <c r="Q48" s="44" t="inlineStr"/>
      <c r="R48" s="41" t="inlineStr"/>
      <c r="S48" s="41" t="inlineStr"/>
      <c r="T48" s="41" t="inlineStr"/>
      <c r="U48" s="41" t="inlineStr"/>
      <c r="V48" s="44" t="inlineStr"/>
      <c r="W48" s="41" t="inlineStr"/>
      <c r="X48" s="44" t="inlineStr">
        <is>
          <t>v0.38.4.0 PR5</t>
        </is>
      </c>
    </row>
    <row r="49" ht="80" customHeight="1">
      <c r="A49" s="41" t="inlineStr">
        <is>
          <t>TC-046</t>
        </is>
      </c>
      <c r="B49" s="46" t="inlineStr">
        <is>
          <t>RED</t>
        </is>
      </c>
      <c r="C49" s="45" t="inlineStr">
        <is>
          <t>P1</t>
        </is>
      </c>
      <c r="D49" s="44" t="inlineStr">
        <is>
          <t>Incidents.Update</t>
        </is>
      </c>
      <c r="E49" s="44" t="inlineStr">
        <is>
          <t>Update khi đã soft-delete</t>
        </is>
      </c>
      <c r="F49" s="41" t="inlineStr">
        <is>
          <t>REQ-INC-UP-03</t>
        </is>
      </c>
      <c r="G49" s="41" t="inlineStr">
        <is>
          <t>Negative</t>
        </is>
      </c>
      <c r="H49" s="41" t="inlineStr">
        <is>
          <t>TB</t>
        </is>
      </c>
      <c r="I49" s="44" t="inlineStr">
        <is>
          <t>deletedAt != null</t>
        </is>
      </c>
      <c r="J49" s="44" t="inlineStr">
        <is>
          <t>1. PUT</t>
        </is>
      </c>
      <c r="K49" s="44" t="inlineStr"/>
      <c r="L49" s="44" t="inlineStr"/>
      <c r="M49" s="44" t="inlineStr"/>
      <c r="N49" s="44" t="inlineStr">
        <is>
          <t>404</t>
        </is>
      </c>
      <c r="O49" s="44" t="inlineStr"/>
      <c r="P49" s="41" t="inlineStr">
        <is>
          <t>High</t>
        </is>
      </c>
      <c r="Q49" s="44" t="inlineStr"/>
      <c r="R49" s="41" t="inlineStr"/>
      <c r="S49" s="41" t="inlineStr"/>
      <c r="T49" s="41" t="inlineStr"/>
      <c r="U49" s="41" t="inlineStr"/>
      <c r="V49" s="44" t="inlineStr"/>
      <c r="W49" s="41" t="inlineStr"/>
      <c r="X49" s="44" t="inlineStr"/>
    </row>
    <row r="50" ht="80" customHeight="1">
      <c r="A50" s="41" t="inlineStr">
        <is>
          <t>TC-047</t>
        </is>
      </c>
      <c r="B50" s="46" t="inlineStr">
        <is>
          <t>RED</t>
        </is>
      </c>
      <c r="C50" s="45" t="inlineStr">
        <is>
          <t>P1</t>
        </is>
      </c>
      <c r="D50" s="44" t="inlineStr">
        <is>
          <t>Incidents.Transfer</t>
        </is>
      </c>
      <c r="E50" s="44" t="inlineStr">
        <is>
          <t>Transfer thiếu chuyenDenDonVi</t>
        </is>
      </c>
      <c r="F50" s="41" t="inlineStr">
        <is>
          <t>REQ-INC-TRF-02</t>
        </is>
      </c>
      <c r="G50" s="41" t="inlineStr">
        <is>
          <t>Negative</t>
        </is>
      </c>
      <c r="H50" s="41" t="inlineStr">
        <is>
          <t>TB</t>
        </is>
      </c>
      <c r="I50" s="44" t="inlineStr"/>
      <c r="J50" s="44" t="inlineStr">
        <is>
          <t>1. PATCH /transfer body {}</t>
        </is>
      </c>
      <c r="K50" s="44" t="inlineStr"/>
      <c r="L50" s="44" t="inlineStr"/>
      <c r="M50" s="44" t="inlineStr"/>
      <c r="N50" s="44" t="inlineStr">
        <is>
          <t>400</t>
        </is>
      </c>
      <c r="O50" s="44" t="inlineStr"/>
      <c r="P50" s="41" t="inlineStr">
        <is>
          <t>High</t>
        </is>
      </c>
      <c r="Q50" s="44" t="inlineStr"/>
      <c r="R50" s="41" t="inlineStr"/>
      <c r="S50" s="41" t="inlineStr"/>
      <c r="T50" s="41" t="inlineStr"/>
      <c r="U50" s="41" t="inlineStr"/>
      <c r="V50" s="44" t="inlineStr"/>
      <c r="W50" s="41" t="inlineStr"/>
      <c r="X50" s="44" t="inlineStr"/>
    </row>
    <row r="51" ht="80" customHeight="1">
      <c r="A51" s="41" t="inlineStr">
        <is>
          <t>TC-048</t>
        </is>
      </c>
      <c r="B51" s="46" t="inlineStr">
        <is>
          <t>RED</t>
        </is>
      </c>
      <c r="C51" s="45" t="inlineStr">
        <is>
          <t>P1</t>
        </is>
      </c>
      <c r="D51" s="44" t="inlineStr">
        <is>
          <t>Incidents.Auth</t>
        </is>
      </c>
      <c r="E51" s="44" t="inlineStr">
        <is>
          <t>GET không JWT</t>
        </is>
      </c>
      <c r="F51" s="41" t="inlineStr">
        <is>
          <t>REQ-INC-AUTH-01</t>
        </is>
      </c>
      <c r="G51" s="41" t="inlineStr">
        <is>
          <t>Negative</t>
        </is>
      </c>
      <c r="H51" s="41" t="inlineStr">
        <is>
          <t>Cao</t>
        </is>
      </c>
      <c r="I51" s="44" t="inlineStr"/>
      <c r="J51" s="44" t="inlineStr"/>
      <c r="K51" s="44" t="inlineStr"/>
      <c r="L51" s="44" t="inlineStr"/>
      <c r="M51" s="44" t="inlineStr"/>
      <c r="N51" s="44" t="inlineStr">
        <is>
          <t>401</t>
        </is>
      </c>
      <c r="O51" s="44" t="inlineStr"/>
      <c r="P51" s="41" t="inlineStr">
        <is>
          <t>Critical</t>
        </is>
      </c>
      <c r="Q51" s="44" t="inlineStr"/>
      <c r="R51" s="41" t="inlineStr"/>
      <c r="S51" s="41" t="inlineStr"/>
      <c r="T51" s="41" t="inlineStr"/>
      <c r="U51" s="41" t="inlineStr"/>
      <c r="V51" s="44" t="inlineStr"/>
      <c r="W51" s="41" t="inlineStr"/>
      <c r="X51" s="44" t="inlineStr"/>
    </row>
    <row r="52" ht="80" customHeight="1">
      <c r="A52" s="41" t="inlineStr">
        <is>
          <t>TC-049</t>
        </is>
      </c>
      <c r="B52" s="46" t="inlineStr">
        <is>
          <t>RED</t>
        </is>
      </c>
      <c r="C52" s="45" t="inlineStr">
        <is>
          <t>P1</t>
        </is>
      </c>
      <c r="D52" s="44" t="inlineStr">
        <is>
          <t>Incidents.Auth</t>
        </is>
      </c>
      <c r="E52" s="44" t="inlineStr">
        <is>
          <t>JWT expired</t>
        </is>
      </c>
      <c r="F52" s="41" t="inlineStr">
        <is>
          <t>REQ-INC-AUTH-02</t>
        </is>
      </c>
      <c r="G52" s="41" t="inlineStr">
        <is>
          <t>Negative</t>
        </is>
      </c>
      <c r="H52" s="41" t="inlineStr">
        <is>
          <t>Cao</t>
        </is>
      </c>
      <c r="I52" s="44" t="inlineStr"/>
      <c r="J52" s="44" t="inlineStr"/>
      <c r="K52" s="44" t="inlineStr"/>
      <c r="L52" s="44" t="inlineStr"/>
      <c r="M52" s="44" t="inlineStr"/>
      <c r="N52" s="44" t="inlineStr">
        <is>
          <t>401</t>
        </is>
      </c>
      <c r="O52" s="44" t="inlineStr"/>
      <c r="P52" s="41" t="inlineStr">
        <is>
          <t>Critical</t>
        </is>
      </c>
      <c r="Q52" s="44" t="inlineStr"/>
      <c r="R52" s="41" t="inlineStr"/>
      <c r="S52" s="41" t="inlineStr"/>
      <c r="T52" s="41" t="inlineStr"/>
      <c r="U52" s="41" t="inlineStr"/>
      <c r="V52" s="44" t="inlineStr"/>
      <c r="W52" s="41" t="inlineStr"/>
      <c r="X52" s="44" t="inlineStr"/>
    </row>
    <row r="53" ht="80" customHeight="1">
      <c r="A53" s="41" t="inlineStr">
        <is>
          <t>TC-050</t>
        </is>
      </c>
      <c r="B53" s="46" t="inlineStr">
        <is>
          <t>RED</t>
        </is>
      </c>
      <c r="C53" s="45" t="inlineStr">
        <is>
          <t>P1</t>
        </is>
      </c>
      <c r="D53" s="44" t="inlineStr">
        <is>
          <t>Incidents.Auth</t>
        </is>
      </c>
      <c r="E53" s="44" t="inlineStr">
        <is>
          <t>User không có permission write:Incident</t>
        </is>
      </c>
      <c r="F53" s="41" t="inlineStr">
        <is>
          <t>REQ-INC-AUTH-03</t>
        </is>
      </c>
      <c r="G53" s="41" t="inlineStr">
        <is>
          <t>Negative</t>
        </is>
      </c>
      <c r="H53" s="41" t="inlineStr">
        <is>
          <t>Cao</t>
        </is>
      </c>
      <c r="I53" s="44" t="inlineStr"/>
      <c r="J53" s="44" t="inlineStr">
        <is>
          <t>1. POST với role read-only</t>
        </is>
      </c>
      <c r="K53" s="44" t="inlineStr"/>
      <c r="L53" s="44" t="inlineStr"/>
      <c r="M53" s="44" t="inlineStr"/>
      <c r="N53" s="44" t="inlineStr">
        <is>
          <t>403</t>
        </is>
      </c>
      <c r="O53" s="44" t="inlineStr"/>
      <c r="P53" s="41" t="inlineStr">
        <is>
          <t>Critical</t>
        </is>
      </c>
      <c r="Q53" s="44" t="inlineStr"/>
      <c r="R53" s="41" t="inlineStr"/>
      <c r="S53" s="41" t="inlineStr"/>
      <c r="T53" s="41" t="inlineStr"/>
      <c r="U53" s="41" t="inlineStr"/>
      <c r="V53" s="44" t="inlineStr"/>
      <c r="W53" s="41" t="inlineStr"/>
      <c r="X53" s="44" t="inlineStr"/>
    </row>
    <row r="54" ht="80" customHeight="1">
      <c r="A54" s="41" t="inlineStr">
        <is>
          <t>TC-051</t>
        </is>
      </c>
      <c r="B54" s="46" t="inlineStr">
        <is>
          <t>RED</t>
        </is>
      </c>
      <c r="C54" s="45" t="inlineStr">
        <is>
          <t>P1</t>
        </is>
      </c>
      <c r="D54" s="44" t="inlineStr">
        <is>
          <t>Incidents.Create</t>
        </is>
      </c>
      <c r="E54" s="44" t="inlineStr">
        <is>
          <t>sourcePetitionId thuộc Petition không trong scope</t>
        </is>
      </c>
      <c r="F54" s="41" t="inlineStr">
        <is>
          <t>REQ-INC-CR-13</t>
        </is>
      </c>
      <c r="G54" s="41" t="inlineStr">
        <is>
          <t>Negative</t>
        </is>
      </c>
      <c r="H54" s="41" t="inlineStr">
        <is>
          <t>TB</t>
        </is>
      </c>
      <c r="I54" s="44" t="inlineStr"/>
      <c r="J54" s="44" t="inlineStr">
        <is>
          <t>1. sourcePetitionId không thuộc team user</t>
        </is>
      </c>
      <c r="K54" s="44" t="inlineStr"/>
      <c r="L54" s="44" t="inlineStr"/>
      <c r="M54" s="44" t="inlineStr"/>
      <c r="N54" s="44" t="inlineStr">
        <is>
          <t>400/403</t>
        </is>
      </c>
      <c r="O54" s="44" t="inlineStr"/>
      <c r="P54" s="41" t="inlineStr">
        <is>
          <t>High</t>
        </is>
      </c>
      <c r="Q54" s="44" t="inlineStr"/>
      <c r="R54" s="41" t="inlineStr"/>
      <c r="S54" s="41" t="inlineStr"/>
      <c r="T54" s="41" t="inlineStr"/>
      <c r="U54" s="41" t="inlineStr"/>
      <c r="V54" s="44" t="inlineStr"/>
      <c r="W54" s="41" t="inlineStr"/>
      <c r="X54" s="44" t="inlineStr"/>
    </row>
    <row r="55" ht="80" customHeight="1">
      <c r="A55" s="41" t="inlineStr">
        <is>
          <t>TC-052</t>
        </is>
      </c>
      <c r="B55" s="46" t="inlineStr">
        <is>
          <t>RED</t>
        </is>
      </c>
      <c r="C55" s="45" t="inlineStr">
        <is>
          <t>P1</t>
        </is>
      </c>
      <c r="D55" s="44" t="inlineStr">
        <is>
          <t>Incidents.Extend</t>
        </is>
      </c>
      <c r="E55" s="44" t="inlineStr">
        <is>
          <t>Gia hạn với newDeadline &lt; deadline hiện tại</t>
        </is>
      </c>
      <c r="F55" s="41" t="inlineStr">
        <is>
          <t>REQ-INC-EXT-03</t>
        </is>
      </c>
      <c r="G55" s="41" t="inlineStr">
        <is>
          <t>Negative</t>
        </is>
      </c>
      <c r="H55" s="41" t="inlineStr">
        <is>
          <t>TB</t>
        </is>
      </c>
      <c r="I55" s="44" t="inlineStr"/>
      <c r="J55" s="44" t="inlineStr">
        <is>
          <t>1. POST extend newDeadline &lt; current</t>
        </is>
      </c>
      <c r="K55" s="44" t="inlineStr"/>
      <c r="L55" s="44" t="inlineStr"/>
      <c r="M55" s="44" t="inlineStr"/>
      <c r="N55" s="44" t="inlineStr">
        <is>
          <t>400</t>
        </is>
      </c>
      <c r="O55" s="44" t="inlineStr"/>
      <c r="P55" s="41" t="inlineStr">
        <is>
          <t>High</t>
        </is>
      </c>
      <c r="Q55" s="44" t="inlineStr"/>
      <c r="R55" s="41" t="inlineStr"/>
      <c r="S55" s="41" t="inlineStr"/>
      <c r="T55" s="41" t="inlineStr"/>
      <c r="U55" s="41" t="inlineStr"/>
      <c r="V55" s="44" t="inlineStr"/>
      <c r="W55" s="41" t="inlineStr"/>
      <c r="X55" s="44" t="inlineStr"/>
    </row>
    <row r="56" ht="80" customHeight="1">
      <c r="A56" s="41" t="inlineStr">
        <is>
          <t>TC-053</t>
        </is>
      </c>
      <c r="B56" s="46" t="inlineStr">
        <is>
          <t>RED</t>
        </is>
      </c>
      <c r="C56" s="45" t="inlineStr">
        <is>
          <t>P1</t>
        </is>
      </c>
      <c r="D56" s="44" t="inlineStr">
        <is>
          <t>Incidents.Read</t>
        </is>
      </c>
      <c r="E56" s="44" t="inlineStr">
        <is>
          <t>limit &gt; 100</t>
        </is>
      </c>
      <c r="F56" s="41" t="inlineStr">
        <is>
          <t>REQ-INC-RD-07</t>
        </is>
      </c>
      <c r="G56" s="41" t="inlineStr">
        <is>
          <t>Negative</t>
        </is>
      </c>
      <c r="H56" s="41" t="inlineStr">
        <is>
          <t>TB</t>
        </is>
      </c>
      <c r="I56" s="44" t="inlineStr"/>
      <c r="J56" s="44" t="inlineStr">
        <is>
          <t>1. ?limit=500</t>
        </is>
      </c>
      <c r="K56" s="44" t="inlineStr"/>
      <c r="L56" s="44" t="inlineStr"/>
      <c r="M56" s="44" t="inlineStr"/>
      <c r="N56" s="44" t="inlineStr">
        <is>
          <t>400</t>
        </is>
      </c>
      <c r="O56" s="44" t="inlineStr"/>
      <c r="P56" s="41" t="inlineStr">
        <is>
          <t>Medium</t>
        </is>
      </c>
      <c r="Q56" s="44" t="inlineStr"/>
      <c r="R56" s="41" t="inlineStr"/>
      <c r="S56" s="41" t="inlineStr"/>
      <c r="T56" s="41" t="inlineStr"/>
      <c r="U56" s="41" t="inlineStr"/>
      <c r="V56" s="44" t="inlineStr"/>
      <c r="W56" s="41" t="inlineStr"/>
      <c r="X56" s="44" t="inlineStr"/>
    </row>
    <row r="57" ht="80" customHeight="1">
      <c r="A57" s="41" t="inlineStr">
        <is>
          <t>TC-054</t>
        </is>
      </c>
      <c r="B57" s="46" t="inlineStr">
        <is>
          <t>RED</t>
        </is>
      </c>
      <c r="C57" s="45" t="inlineStr">
        <is>
          <t>P1</t>
        </is>
      </c>
      <c r="D57" s="44" t="inlineStr">
        <is>
          <t>Incidents.Read</t>
        </is>
      </c>
      <c r="E57" s="44" t="inlineStr">
        <is>
          <t>phase không hợp lệ</t>
        </is>
      </c>
      <c r="F57" s="41" t="inlineStr">
        <is>
          <t>REQ-INC-RD-08</t>
        </is>
      </c>
      <c r="G57" s="41" t="inlineStr">
        <is>
          <t>Negative</t>
        </is>
      </c>
      <c r="H57" s="41" t="inlineStr">
        <is>
          <t>TB</t>
        </is>
      </c>
      <c r="I57" s="44" t="inlineStr"/>
      <c r="J57" s="44" t="inlineStr">
        <is>
          <t>1. ?phase=invalid</t>
        </is>
      </c>
      <c r="K57" s="44" t="inlineStr"/>
      <c r="L57" s="44" t="inlineStr"/>
      <c r="M57" s="44" t="inlineStr"/>
      <c r="N57" s="44" t="inlineStr">
        <is>
          <t>400 hoặc bỏ qua</t>
        </is>
      </c>
      <c r="O57" s="44" t="inlineStr"/>
      <c r="P57" s="41" t="inlineStr">
        <is>
          <t>Low</t>
        </is>
      </c>
      <c r="Q57" s="44" t="inlineStr"/>
      <c r="R57" s="41" t="inlineStr"/>
      <c r="S57" s="41" t="inlineStr"/>
      <c r="T57" s="41" t="inlineStr"/>
      <c r="U57" s="41" t="inlineStr"/>
      <c r="V57" s="44" t="inlineStr"/>
      <c r="W57" s="41" t="inlineStr"/>
      <c r="X57" s="44" t="inlineStr"/>
    </row>
    <row r="58" ht="80" customHeight="1">
      <c r="A58" s="41" t="inlineStr">
        <is>
          <t>TC-055</t>
        </is>
      </c>
      <c r="B58" s="46" t="inlineStr">
        <is>
          <t>RED</t>
        </is>
      </c>
      <c r="C58" s="45" t="inlineStr">
        <is>
          <t>P1</t>
        </is>
      </c>
      <c r="D58" s="44" t="inlineStr">
        <is>
          <t>Incidents.Read</t>
        </is>
      </c>
      <c r="E58" s="44" t="inlineStr">
        <is>
          <t>sortBy injection</t>
        </is>
      </c>
      <c r="F58" s="41" t="inlineStr">
        <is>
          <t>REQ-INC-RD-09</t>
        </is>
      </c>
      <c r="G58" s="41" t="inlineStr">
        <is>
          <t>Negative</t>
        </is>
      </c>
      <c r="H58" s="41" t="inlineStr">
        <is>
          <t>Cao</t>
        </is>
      </c>
      <c r="I58" s="44" t="inlineStr"/>
      <c r="J58" s="44" t="inlineStr">
        <is>
          <t>1. sortBy='name; DROP'</t>
        </is>
      </c>
      <c r="K58" s="44" t="inlineStr"/>
      <c r="L58" s="44" t="inlineStr"/>
      <c r="M58" s="44" t="inlineStr"/>
      <c r="N58" s="44" t="inlineStr">
        <is>
          <t>400 whitelist</t>
        </is>
      </c>
      <c r="O58" s="44" t="inlineStr"/>
      <c r="P58" s="41" t="inlineStr">
        <is>
          <t>Critical</t>
        </is>
      </c>
      <c r="Q58" s="44" t="inlineStr"/>
      <c r="R58" s="41" t="inlineStr"/>
      <c r="S58" s="41" t="inlineStr"/>
      <c r="T58" s="41" t="inlineStr"/>
      <c r="U58" s="41" t="inlineStr"/>
      <c r="V58" s="44" t="inlineStr"/>
      <c r="W58" s="41" t="inlineStr"/>
      <c r="X58" s="44" t="inlineStr"/>
    </row>
    <row r="59" ht="80" customHeight="1">
      <c r="A59" s="41" t="inlineStr">
        <is>
          <t>TC-056</t>
        </is>
      </c>
      <c r="B59" s="46" t="inlineStr">
        <is>
          <t>RED</t>
        </is>
      </c>
      <c r="C59" s="45" t="inlineStr">
        <is>
          <t>P1</t>
        </is>
      </c>
      <c r="D59" s="44" t="inlineStr">
        <is>
          <t>Incidents.Delete</t>
        </is>
      </c>
      <c r="E59" s="44" t="inlineStr">
        <is>
          <t>Reason xóa &lt; 10 ký tự</t>
        </is>
      </c>
      <c r="F59" s="41" t="inlineStr">
        <is>
          <t>REQ-INC-DEL-07</t>
        </is>
      </c>
      <c r="G59" s="41" t="inlineStr">
        <is>
          <t>Negative</t>
        </is>
      </c>
      <c r="H59" s="41" t="inlineStr">
        <is>
          <t>TB</t>
        </is>
      </c>
      <c r="I59" s="44" t="inlineStr"/>
      <c r="J59" s="44" t="inlineStr">
        <is>
          <t>1. reason='abc'</t>
        </is>
      </c>
      <c r="K59" s="44" t="inlineStr"/>
      <c r="L59" s="44" t="inlineStr"/>
      <c r="M59" s="44" t="inlineStr"/>
      <c r="N59" s="44" t="inlineStr">
        <is>
          <t>400</t>
        </is>
      </c>
      <c r="O59" s="44" t="inlineStr"/>
      <c r="P59" s="41" t="inlineStr">
        <is>
          <t>High</t>
        </is>
      </c>
      <c r="Q59" s="44" t="inlineStr"/>
      <c r="R59" s="41" t="inlineStr"/>
      <c r="S59" s="41" t="inlineStr"/>
      <c r="T59" s="41" t="inlineStr"/>
      <c r="U59" s="41" t="inlineStr"/>
      <c r="V59" s="44" t="inlineStr"/>
      <c r="W59" s="41" t="inlineStr"/>
      <c r="X59" s="44" t="inlineStr"/>
    </row>
    <row r="60" ht="80" customHeight="1">
      <c r="A60" s="41" t="inlineStr">
        <is>
          <t>TC-057</t>
        </is>
      </c>
      <c r="B60" s="46" t="inlineStr">
        <is>
          <t>RED</t>
        </is>
      </c>
      <c r="C60" s="45" t="inlineStr">
        <is>
          <t>P1</t>
        </is>
      </c>
      <c r="D60" s="44" t="inlineStr">
        <is>
          <t>Incidents.Bulk</t>
        </is>
      </c>
      <c r="E60" s="44" t="inlineStr">
        <is>
          <t>Bulk delete vượt rate 5/min</t>
        </is>
      </c>
      <c r="F60" s="41" t="inlineStr">
        <is>
          <t>REQ-INC-BULK-01</t>
        </is>
      </c>
      <c r="G60" s="41" t="inlineStr">
        <is>
          <t>Negative</t>
        </is>
      </c>
      <c r="H60" s="41" t="inlineStr">
        <is>
          <t>TB</t>
        </is>
      </c>
      <c r="I60" s="44" t="inlineStr"/>
      <c r="J60" s="44" t="inlineStr">
        <is>
          <t>1. POST 6 lần liên tiếp</t>
        </is>
      </c>
      <c r="K60" s="44" t="inlineStr"/>
      <c r="L60" s="44" t="inlineStr"/>
      <c r="M60" s="44" t="inlineStr"/>
      <c r="N60" s="44" t="inlineStr">
        <is>
          <t>429</t>
        </is>
      </c>
      <c r="O60" s="44" t="inlineStr"/>
      <c r="P60" s="41" t="inlineStr">
        <is>
          <t>Medium</t>
        </is>
      </c>
      <c r="Q60" s="44" t="inlineStr"/>
      <c r="R60" s="41" t="inlineStr"/>
      <c r="S60" s="41" t="inlineStr"/>
      <c r="T60" s="41" t="inlineStr"/>
      <c r="U60" s="41" t="inlineStr"/>
      <c r="V60" s="44" t="inlineStr"/>
      <c r="W60" s="41" t="inlineStr"/>
      <c r="X60" s="44" t="inlineStr"/>
    </row>
    <row r="61" ht="80" customHeight="1">
      <c r="A61" s="41" t="inlineStr">
        <is>
          <t>TC-058</t>
        </is>
      </c>
      <c r="B61" s="46" t="inlineStr">
        <is>
          <t>RED</t>
        </is>
      </c>
      <c r="C61" s="45" t="inlineStr">
        <is>
          <t>P1</t>
        </is>
      </c>
      <c r="D61" s="44" t="inlineStr">
        <is>
          <t>Incidents.Export</t>
        </is>
      </c>
      <c r="E61" s="44" t="inlineStr">
        <is>
          <t>Export ward không thuộc user</t>
        </is>
      </c>
      <c r="F61" s="41" t="inlineStr">
        <is>
          <t>REQ-INC-EXP-01</t>
        </is>
      </c>
      <c r="G61" s="41" t="inlineStr">
        <is>
          <t>Negative</t>
        </is>
      </c>
      <c r="H61" s="41" t="inlineStr">
        <is>
          <t>TB</t>
        </is>
      </c>
      <c r="I61" s="44" t="inlineStr"/>
      <c r="J61" s="44" t="inlineStr">
        <is>
          <t>1. GET /export/ward?wardId=khác</t>
        </is>
      </c>
      <c r="K61" s="44" t="inlineStr"/>
      <c r="L61" s="44" t="inlineStr"/>
      <c r="M61" s="44" t="inlineStr"/>
      <c r="N61" s="44" t="inlineStr">
        <is>
          <t>200 nhưng data rỗng / 403</t>
        </is>
      </c>
      <c r="O61" s="44" t="inlineStr"/>
      <c r="P61" s="41" t="inlineStr">
        <is>
          <t>High</t>
        </is>
      </c>
      <c r="Q61" s="44" t="inlineStr"/>
      <c r="R61" s="41" t="inlineStr"/>
      <c r="S61" s="41" t="inlineStr"/>
      <c r="T61" s="41" t="inlineStr"/>
      <c r="U61" s="41" t="inlineStr"/>
      <c r="V61" s="44" t="inlineStr"/>
      <c r="W61" s="41" t="inlineStr"/>
      <c r="X61" s="44" t="inlineStr"/>
    </row>
    <row r="62" ht="80" customHeight="1">
      <c r="A62" s="41" t="inlineStr">
        <is>
          <t>TC-059</t>
        </is>
      </c>
      <c r="B62" s="46" t="inlineStr">
        <is>
          <t>RED</t>
        </is>
      </c>
      <c r="C62" s="45" t="inlineStr">
        <is>
          <t>P1</t>
        </is>
      </c>
      <c r="D62" s="44" t="inlineStr">
        <is>
          <t>Incidents.Status</t>
        </is>
      </c>
      <c r="E62" s="44" t="inlineStr">
        <is>
          <t>Status string sai chính tả</t>
        </is>
      </c>
      <c r="F62" s="41" t="inlineStr">
        <is>
          <t>REQ-INC-ST-05</t>
        </is>
      </c>
      <c r="G62" s="41" t="inlineStr">
        <is>
          <t>Negative</t>
        </is>
      </c>
      <c r="H62" s="41" t="inlineStr">
        <is>
          <t>TB</t>
        </is>
      </c>
      <c r="I62" s="44" t="inlineStr"/>
      <c r="J62" s="44" t="inlineStr">
        <is>
          <t>1. status='dang_xac_minh' (lowercase)</t>
        </is>
      </c>
      <c r="K62" s="44" t="inlineStr"/>
      <c r="L62" s="44" t="inlineStr"/>
      <c r="M62" s="44" t="inlineStr"/>
      <c r="N62" s="44" t="inlineStr">
        <is>
          <t>400</t>
        </is>
      </c>
      <c r="O62" s="44" t="inlineStr"/>
      <c r="P62" s="41" t="inlineStr">
        <is>
          <t>Medium</t>
        </is>
      </c>
      <c r="Q62" s="44" t="inlineStr"/>
      <c r="R62" s="41" t="inlineStr"/>
      <c r="S62" s="41" t="inlineStr"/>
      <c r="T62" s="41" t="inlineStr"/>
      <c r="U62" s="41" t="inlineStr"/>
      <c r="V62" s="44" t="inlineStr"/>
      <c r="W62" s="41" t="inlineStr"/>
      <c r="X62" s="44" t="inlineStr"/>
    </row>
    <row r="63" ht="80" customHeight="1">
      <c r="A63" s="41" t="inlineStr">
        <is>
          <t>TC-060</t>
        </is>
      </c>
      <c r="B63" s="46" t="inlineStr">
        <is>
          <t>RED</t>
        </is>
      </c>
      <c r="C63" s="45" t="inlineStr">
        <is>
          <t>P1</t>
        </is>
      </c>
      <c r="D63" s="44" t="inlineStr">
        <is>
          <t>Incidents.Linkable</t>
        </is>
      </c>
      <c r="E63" s="44" t="inlineStr">
        <is>
          <t>Linkable trả incident của team khác</t>
        </is>
      </c>
      <c r="F63" s="41" t="inlineStr">
        <is>
          <t>REQ-INC-RD-10</t>
        </is>
      </c>
      <c r="G63" s="41" t="inlineStr">
        <is>
          <t>Negative</t>
        </is>
      </c>
      <c r="H63" s="41" t="inlineStr">
        <is>
          <t>Cao</t>
        </is>
      </c>
      <c r="I63" s="44" t="inlineStr"/>
      <c r="J63" s="44" t="inlineStr">
        <is>
          <t>1. GET /linkable user Team A</t>
        </is>
      </c>
      <c r="K63" s="44" t="inlineStr"/>
      <c r="L63" s="44" t="inlineStr"/>
      <c r="M63" s="44" t="inlineStr"/>
      <c r="N63" s="44" t="inlineStr">
        <is>
          <t>200 chỉ incident scope A</t>
        </is>
      </c>
      <c r="O63" s="44" t="inlineStr"/>
      <c r="P63" s="41" t="inlineStr">
        <is>
          <t>Critical</t>
        </is>
      </c>
      <c r="Q63" s="44" t="inlineStr"/>
      <c r="R63" s="41" t="inlineStr"/>
      <c r="S63" s="41" t="inlineStr"/>
      <c r="T63" s="41" t="inlineStr"/>
      <c r="U63" s="41" t="inlineStr"/>
      <c r="V63" s="44" t="inlineStr"/>
      <c r="W63" s="41" t="inlineStr"/>
      <c r="X63" s="44" t="inlineStr"/>
    </row>
    <row r="64" ht="80" customHeight="1">
      <c r="A64" s="41" t="inlineStr">
        <is>
          <t>TC-061</t>
        </is>
      </c>
      <c r="B64" s="46" t="inlineStr">
        <is>
          <t>RED</t>
        </is>
      </c>
      <c r="C64" s="45" t="inlineStr">
        <is>
          <t>P1</t>
        </is>
      </c>
      <c r="D64" s="44" t="inlineStr">
        <is>
          <t>Incidents.Create</t>
        </is>
      </c>
      <c r="E64" s="44" t="inlineStr">
        <is>
          <t>diaChiXayRa &gt; 500 ký tự</t>
        </is>
      </c>
      <c r="F64" s="41" t="inlineStr">
        <is>
          <t>REQ-INC-CR-14</t>
        </is>
      </c>
      <c r="G64" s="41" t="inlineStr">
        <is>
          <t>Negative</t>
        </is>
      </c>
      <c r="H64" s="41" t="inlineStr">
        <is>
          <t>Thấp</t>
        </is>
      </c>
      <c r="I64" s="44" t="inlineStr"/>
      <c r="J64" s="44" t="inlineStr">
        <is>
          <t>1. address 501 char</t>
        </is>
      </c>
      <c r="K64" s="44" t="inlineStr"/>
      <c r="L64" s="44" t="inlineStr"/>
      <c r="M64" s="44" t="inlineStr"/>
      <c r="N64" s="44" t="inlineStr">
        <is>
          <t>400</t>
        </is>
      </c>
      <c r="O64" s="44" t="inlineStr"/>
      <c r="P64" s="41" t="inlineStr">
        <is>
          <t>Low</t>
        </is>
      </c>
      <c r="Q64" s="44" t="inlineStr"/>
      <c r="R64" s="41" t="inlineStr"/>
      <c r="S64" s="41" t="inlineStr"/>
      <c r="T64" s="41" t="inlineStr"/>
      <c r="U64" s="41" t="inlineStr"/>
      <c r="V64" s="44" t="inlineStr"/>
      <c r="W64" s="41" t="inlineStr"/>
      <c r="X64" s="44" t="inlineStr"/>
    </row>
    <row r="65" ht="80" customHeight="1">
      <c r="A65" s="41" t="inlineStr">
        <is>
          <t>TC-062</t>
        </is>
      </c>
      <c r="B65" s="46" t="inlineStr">
        <is>
          <t>RED</t>
        </is>
      </c>
      <c r="C65" s="45" t="inlineStr">
        <is>
          <t>P1</t>
        </is>
      </c>
      <c r="D65" s="44" t="inlineStr">
        <is>
          <t>Incidents.Create</t>
        </is>
      </c>
      <c r="E65" s="44" t="inlineStr">
        <is>
          <t>Body JSON malformed</t>
        </is>
      </c>
      <c r="F65" s="41" t="inlineStr">
        <is>
          <t>REQ-INC-CR-15</t>
        </is>
      </c>
      <c r="G65" s="41" t="inlineStr">
        <is>
          <t>Negative</t>
        </is>
      </c>
      <c r="H65" s="41" t="inlineStr">
        <is>
          <t>TB</t>
        </is>
      </c>
      <c r="I65" s="44" t="inlineStr"/>
      <c r="J65" s="44" t="inlineStr">
        <is>
          <t>1. body = '{name: "x"' (thiếu })</t>
        </is>
      </c>
      <c r="K65" s="44" t="inlineStr"/>
      <c r="L65" s="44" t="inlineStr"/>
      <c r="M65" s="44" t="inlineStr"/>
      <c r="N65" s="44" t="inlineStr">
        <is>
          <t>400</t>
        </is>
      </c>
      <c r="O65" s="44" t="inlineStr"/>
      <c r="P65" s="41" t="inlineStr">
        <is>
          <t>Medium</t>
        </is>
      </c>
      <c r="Q65" s="44" t="inlineStr"/>
      <c r="R65" s="41" t="inlineStr"/>
      <c r="S65" s="41" t="inlineStr"/>
      <c r="T65" s="41" t="inlineStr"/>
      <c r="U65" s="41" t="inlineStr"/>
      <c r="V65" s="44" t="inlineStr"/>
      <c r="W65" s="41" t="inlineStr"/>
      <c r="X65" s="44" t="inlineStr"/>
    </row>
    <row r="66" ht="80" customHeight="1">
      <c r="A66" s="41" t="inlineStr">
        <is>
          <t>TC-063</t>
        </is>
      </c>
      <c r="B66" s="46" t="inlineStr">
        <is>
          <t>RED</t>
        </is>
      </c>
      <c r="C66" s="45" t="inlineStr">
        <is>
          <t>P1</t>
        </is>
      </c>
      <c r="D66" s="44" t="inlineStr">
        <is>
          <t>Incidents.Status</t>
        </is>
      </c>
      <c r="E66" s="44" t="inlineStr">
        <is>
          <t>Status chuyển từ TAM_DINH_CHI sang DANG_XAC_MINH (không qua PHUC_HOI)</t>
        </is>
      </c>
      <c r="F66" s="41" t="inlineStr">
        <is>
          <t>REQ-INC-ST-06</t>
        </is>
      </c>
      <c r="G66" s="41" t="inlineStr">
        <is>
          <t>Negative State</t>
        </is>
      </c>
      <c r="H66" s="41" t="inlineStr">
        <is>
          <t>Cao</t>
        </is>
      </c>
      <c r="I66" s="44" t="inlineStr">
        <is>
          <t>status=TAM_DINH_CHI</t>
        </is>
      </c>
      <c r="J66" s="44" t="inlineStr">
        <is>
          <t>1. PATCH status=DANG_XAC_MINH</t>
        </is>
      </c>
      <c r="K66" s="44" t="inlineStr"/>
      <c r="L66" s="44" t="inlineStr"/>
      <c r="M66" s="44" t="inlineStr"/>
      <c r="N66" s="44" t="inlineStr">
        <is>
          <t>422</t>
        </is>
      </c>
      <c r="O66" s="44" t="inlineStr"/>
      <c r="P66" s="41" t="inlineStr">
        <is>
          <t>Critical</t>
        </is>
      </c>
      <c r="Q66" s="44" t="inlineStr"/>
      <c r="R66" s="41" t="inlineStr"/>
      <c r="S66" s="41" t="inlineStr"/>
      <c r="T66" s="41" t="inlineStr"/>
      <c r="U66" s="41" t="inlineStr"/>
      <c r="V66" s="44" t="inlineStr"/>
      <c r="W66" s="41" t="inlineStr"/>
      <c r="X66" s="44" t="inlineStr">
        <is>
          <t>Phải qua PHUC_HOI_NGUON_TIN</t>
        </is>
      </c>
    </row>
    <row r="67" ht="80" customHeight="1">
      <c r="A67" s="41" t="inlineStr">
        <is>
          <t>TC-064</t>
        </is>
      </c>
      <c r="B67" s="47" t="inlineStr">
        <is>
          <t>BOUNDARY</t>
        </is>
      </c>
      <c r="C67" s="45" t="inlineStr">
        <is>
          <t>P1</t>
        </is>
      </c>
      <c r="D67" s="44" t="inlineStr">
        <is>
          <t>Incidents.Create</t>
        </is>
      </c>
      <c r="E67" s="44" t="inlineStr">
        <is>
          <t>name = 5 ký tự (min)</t>
        </is>
      </c>
      <c r="F67" s="41" t="inlineStr">
        <is>
          <t>REQ-INC-CR-01</t>
        </is>
      </c>
      <c r="G67" s="41" t="inlineStr">
        <is>
          <t>BVA</t>
        </is>
      </c>
      <c r="H67" s="41" t="inlineStr">
        <is>
          <t>TB</t>
        </is>
      </c>
      <c r="I67" s="44" t="inlineStr"/>
      <c r="J67" s="44" t="inlineStr">
        <is>
          <t>1. name='12345'</t>
        </is>
      </c>
      <c r="K67" s="44" t="inlineStr"/>
      <c r="L67" s="44" t="inlineStr"/>
      <c r="M67" s="44" t="inlineStr">
        <is>
          <t>OK</t>
        </is>
      </c>
      <c r="N67" s="44" t="inlineStr">
        <is>
          <t>201</t>
        </is>
      </c>
      <c r="O67" s="44" t="inlineStr"/>
      <c r="P67" s="41" t="inlineStr">
        <is>
          <t>Low</t>
        </is>
      </c>
      <c r="Q67" s="44" t="inlineStr"/>
      <c r="R67" s="41" t="inlineStr"/>
      <c r="S67" s="41" t="inlineStr"/>
      <c r="T67" s="41" t="inlineStr"/>
      <c r="U67" s="41" t="inlineStr"/>
      <c r="V67" s="44" t="inlineStr"/>
      <c r="W67" s="41" t="inlineStr"/>
      <c r="X67" s="44" t="inlineStr"/>
    </row>
    <row r="68" ht="80" customHeight="1">
      <c r="A68" s="41" t="inlineStr">
        <is>
          <t>TC-065</t>
        </is>
      </c>
      <c r="B68" s="47" t="inlineStr">
        <is>
          <t>BOUNDARY</t>
        </is>
      </c>
      <c r="C68" s="45" t="inlineStr">
        <is>
          <t>P1</t>
        </is>
      </c>
      <c r="D68" s="44" t="inlineStr">
        <is>
          <t>Incidents.Create</t>
        </is>
      </c>
      <c r="E68" s="44" t="inlineStr">
        <is>
          <t>name = 4 ký tự (min-1)</t>
        </is>
      </c>
      <c r="F68" s="41" t="inlineStr">
        <is>
          <t>REQ-INC-CR-01</t>
        </is>
      </c>
      <c r="G68" s="41" t="inlineStr">
        <is>
          <t>BVA</t>
        </is>
      </c>
      <c r="H68" s="41" t="inlineStr">
        <is>
          <t>TB</t>
        </is>
      </c>
      <c r="I68" s="44" t="inlineStr"/>
      <c r="J68" s="44" t="inlineStr">
        <is>
          <t>1. name='1234'</t>
        </is>
      </c>
      <c r="K68" s="44" t="inlineStr"/>
      <c r="L68" s="44" t="inlineStr"/>
      <c r="M68" s="44" t="inlineStr">
        <is>
          <t>Lỗi</t>
        </is>
      </c>
      <c r="N68" s="44" t="inlineStr">
        <is>
          <t>400</t>
        </is>
      </c>
      <c r="O68" s="44" t="inlineStr"/>
      <c r="P68" s="41" t="inlineStr">
        <is>
          <t>Low</t>
        </is>
      </c>
      <c r="Q68" s="44" t="inlineStr"/>
      <c r="R68" s="41" t="inlineStr"/>
      <c r="S68" s="41" t="inlineStr"/>
      <c r="T68" s="41" t="inlineStr"/>
      <c r="U68" s="41" t="inlineStr"/>
      <c r="V68" s="44" t="inlineStr"/>
      <c r="W68" s="41" t="inlineStr"/>
      <c r="X68" s="44" t="inlineStr"/>
    </row>
    <row r="69" ht="80" customHeight="1">
      <c r="A69" s="41" t="inlineStr">
        <is>
          <t>TC-066</t>
        </is>
      </c>
      <c r="B69" s="47" t="inlineStr">
        <is>
          <t>BOUNDARY</t>
        </is>
      </c>
      <c r="C69" s="45" t="inlineStr">
        <is>
          <t>P1</t>
        </is>
      </c>
      <c r="D69" s="44" t="inlineStr">
        <is>
          <t>Incidents.Create</t>
        </is>
      </c>
      <c r="E69" s="44" t="inlineStr">
        <is>
          <t>name = 255 ký tự (max)</t>
        </is>
      </c>
      <c r="F69" s="41" t="inlineStr">
        <is>
          <t>REQ-INC-CR-07</t>
        </is>
      </c>
      <c r="G69" s="41" t="inlineStr">
        <is>
          <t>BVA</t>
        </is>
      </c>
      <c r="H69" s="41" t="inlineStr">
        <is>
          <t>TB</t>
        </is>
      </c>
      <c r="I69" s="44" t="inlineStr"/>
      <c r="J69" s="44" t="inlineStr">
        <is>
          <t>1. name 255</t>
        </is>
      </c>
      <c r="K69" s="44" t="inlineStr"/>
      <c r="L69" s="44" t="inlineStr"/>
      <c r="M69" s="44" t="inlineStr">
        <is>
          <t>OK</t>
        </is>
      </c>
      <c r="N69" s="44" t="inlineStr">
        <is>
          <t>201</t>
        </is>
      </c>
      <c r="O69" s="44" t="inlineStr"/>
      <c r="P69" s="41" t="inlineStr">
        <is>
          <t>Medium</t>
        </is>
      </c>
      <c r="Q69" s="44" t="inlineStr"/>
      <c r="R69" s="41" t="inlineStr"/>
      <c r="S69" s="41" t="inlineStr"/>
      <c r="T69" s="41" t="inlineStr"/>
      <c r="U69" s="41" t="inlineStr"/>
      <c r="V69" s="44" t="inlineStr"/>
      <c r="W69" s="41" t="inlineStr"/>
      <c r="X69" s="44" t="inlineStr"/>
    </row>
    <row r="70" ht="80" customHeight="1">
      <c r="A70" s="41" t="inlineStr">
        <is>
          <t>TC-067</t>
        </is>
      </c>
      <c r="B70" s="47" t="inlineStr">
        <is>
          <t>BOUNDARY</t>
        </is>
      </c>
      <c r="C70" s="45" t="inlineStr">
        <is>
          <t>P1</t>
        </is>
      </c>
      <c r="D70" s="44" t="inlineStr">
        <is>
          <t>Incidents.Extend</t>
        </is>
      </c>
      <c r="E70" s="44" t="inlineStr">
        <is>
          <t>Số lần gia hạn = 2 (max)</t>
        </is>
      </c>
      <c r="F70" s="41" t="inlineStr">
        <is>
          <t>REQ-INC-EXT-04</t>
        </is>
      </c>
      <c r="G70" s="41" t="inlineStr">
        <is>
          <t>BVA</t>
        </is>
      </c>
      <c r="H70" s="41" t="inlineStr">
        <is>
          <t>TB</t>
        </is>
      </c>
      <c r="I70" s="44" t="inlineStr">
        <is>
          <t>đã 1 lần</t>
        </is>
      </c>
      <c r="J70" s="44" t="inlineStr">
        <is>
          <t>1. extend lần 2</t>
        </is>
      </c>
      <c r="K70" s="44" t="inlineStr"/>
      <c r="L70" s="44" t="inlineStr"/>
      <c r="M70" s="44" t="inlineStr">
        <is>
          <t>OK</t>
        </is>
      </c>
      <c r="N70" s="44" t="inlineStr">
        <is>
          <t>200</t>
        </is>
      </c>
      <c r="O70" s="44" t="inlineStr">
        <is>
          <t>giaHan2 snapshot</t>
        </is>
      </c>
      <c r="P70" s="41" t="inlineStr">
        <is>
          <t>High</t>
        </is>
      </c>
      <c r="Q70" s="44" t="inlineStr"/>
      <c r="R70" s="41" t="inlineStr"/>
      <c r="S70" s="41" t="inlineStr"/>
      <c r="T70" s="41" t="inlineStr"/>
      <c r="U70" s="41" t="inlineStr"/>
      <c r="V70" s="44" t="inlineStr"/>
      <c r="W70" s="41" t="inlineStr"/>
      <c r="X70" s="44" t="inlineStr"/>
    </row>
    <row r="71" ht="80" customHeight="1">
      <c r="A71" s="41" t="inlineStr">
        <is>
          <t>TC-068</t>
        </is>
      </c>
      <c r="B71" s="47" t="inlineStr">
        <is>
          <t>BOUNDARY</t>
        </is>
      </c>
      <c r="C71" s="45" t="inlineStr">
        <is>
          <t>P1</t>
        </is>
      </c>
      <c r="D71" s="44" t="inlineStr">
        <is>
          <t>Incidents.Delete</t>
        </is>
      </c>
      <c r="E71" s="44" t="inlineStr">
        <is>
          <t>Created cách đây đúng 72h (boundary)</t>
        </is>
      </c>
      <c r="F71" s="41" t="inlineStr">
        <is>
          <t>REQ-INC-DEL-05</t>
        </is>
      </c>
      <c r="G71" s="41" t="inlineStr">
        <is>
          <t>BVA</t>
        </is>
      </c>
      <c r="H71" s="41" t="inlineStr">
        <is>
          <t>TB</t>
        </is>
      </c>
      <c r="I71" s="44" t="inlineStr">
        <is>
          <t>createdAt = now-72h</t>
        </is>
      </c>
      <c r="J71" s="44" t="inlineStr">
        <is>
          <t>1. DELETE</t>
        </is>
      </c>
      <c r="K71" s="44" t="inlineStr"/>
      <c r="L71" s="44" t="inlineStr"/>
      <c r="M71" s="44" t="inlineStr"/>
      <c r="N71" s="44" t="inlineStr">
        <is>
          <t>200 hoặc 422 tùy chính sách</t>
        </is>
      </c>
      <c r="O71" s="44" t="inlineStr"/>
      <c r="P71" s="41" t="inlineStr">
        <is>
          <t>High</t>
        </is>
      </c>
      <c r="Q71" s="44" t="inlineStr"/>
      <c r="R71" s="41" t="inlineStr"/>
      <c r="S71" s="41" t="inlineStr"/>
      <c r="T71" s="41" t="inlineStr"/>
      <c r="U71" s="41" t="inlineStr"/>
      <c r="V71" s="44" t="inlineStr"/>
      <c r="W71" s="41" t="inlineStr"/>
      <c r="X71" s="44" t="inlineStr">
        <is>
          <t>Confirm chính xác</t>
        </is>
      </c>
    </row>
    <row r="72" ht="80" customHeight="1">
      <c r="A72" s="41" t="inlineStr">
        <is>
          <t>TC-069</t>
        </is>
      </c>
      <c r="B72" s="47" t="inlineStr">
        <is>
          <t>BOUNDARY</t>
        </is>
      </c>
      <c r="C72" s="45" t="inlineStr">
        <is>
          <t>P1</t>
        </is>
      </c>
      <c r="D72" s="44" t="inlineStr">
        <is>
          <t>Incidents.Delete</t>
        </is>
      </c>
      <c r="E72" s="44" t="inlineStr">
        <is>
          <t>Created cách đây 72h+1s</t>
        </is>
      </c>
      <c r="F72" s="41" t="inlineStr">
        <is>
          <t>REQ-INC-DEL-05</t>
        </is>
      </c>
      <c r="G72" s="41" t="inlineStr">
        <is>
          <t>BVA</t>
        </is>
      </c>
      <c r="H72" s="41" t="inlineStr">
        <is>
          <t>TB</t>
        </is>
      </c>
      <c r="I72" s="44" t="inlineStr"/>
      <c r="J72" s="44" t="inlineStr">
        <is>
          <t>1. DELETE</t>
        </is>
      </c>
      <c r="K72" s="44" t="inlineStr"/>
      <c r="L72" s="44" t="inlineStr"/>
      <c r="M72" s="44" t="inlineStr"/>
      <c r="N72" s="44" t="inlineStr">
        <is>
          <t>422</t>
        </is>
      </c>
      <c r="O72" s="44" t="inlineStr"/>
      <c r="P72" s="41" t="inlineStr">
        <is>
          <t>High</t>
        </is>
      </c>
      <c r="Q72" s="44" t="inlineStr"/>
      <c r="R72" s="41" t="inlineStr"/>
      <c r="S72" s="41" t="inlineStr"/>
      <c r="T72" s="41" t="inlineStr"/>
      <c r="U72" s="41" t="inlineStr"/>
      <c r="V72" s="44" t="inlineStr"/>
      <c r="W72" s="41" t="inlineStr"/>
      <c r="X72" s="44" t="inlineStr"/>
    </row>
    <row r="73" ht="80" customHeight="1">
      <c r="A73" s="41" t="inlineStr">
        <is>
          <t>TC-070</t>
        </is>
      </c>
      <c r="B73" s="47" t="inlineStr">
        <is>
          <t>BOUNDARY</t>
        </is>
      </c>
      <c r="C73" s="45" t="inlineStr">
        <is>
          <t>P1</t>
        </is>
      </c>
      <c r="D73" s="44" t="inlineStr">
        <is>
          <t>Incidents.Read</t>
        </is>
      </c>
      <c r="E73" s="44" t="inlineStr">
        <is>
          <t>limit=1</t>
        </is>
      </c>
      <c r="F73" s="41" t="inlineStr">
        <is>
          <t>REQ-INC-RD-07</t>
        </is>
      </c>
      <c r="G73" s="41" t="inlineStr">
        <is>
          <t>BVA</t>
        </is>
      </c>
      <c r="H73" s="41" t="inlineStr">
        <is>
          <t>Thấp</t>
        </is>
      </c>
      <c r="I73" s="44" t="inlineStr"/>
      <c r="J73" s="44" t="inlineStr">
        <is>
          <t>1. ?limit=1</t>
        </is>
      </c>
      <c r="K73" s="44" t="inlineStr"/>
      <c r="L73" s="44" t="inlineStr"/>
      <c r="M73" s="44" t="inlineStr"/>
      <c r="N73" s="44" t="inlineStr">
        <is>
          <t>200 1 row</t>
        </is>
      </c>
      <c r="O73" s="44" t="inlineStr"/>
      <c r="P73" s="41" t="inlineStr">
        <is>
          <t>Low</t>
        </is>
      </c>
      <c r="Q73" s="44" t="inlineStr"/>
      <c r="R73" s="41" t="inlineStr"/>
      <c r="S73" s="41" t="inlineStr"/>
      <c r="T73" s="41" t="inlineStr"/>
      <c r="U73" s="41" t="inlineStr"/>
      <c r="V73" s="44" t="inlineStr"/>
      <c r="W73" s="41" t="inlineStr"/>
      <c r="X73" s="44" t="inlineStr"/>
    </row>
    <row r="74" ht="80" customHeight="1">
      <c r="A74" s="41" t="inlineStr">
        <is>
          <t>TC-071</t>
        </is>
      </c>
      <c r="B74" s="47" t="inlineStr">
        <is>
          <t>BOUNDARY</t>
        </is>
      </c>
      <c r="C74" s="45" t="inlineStr">
        <is>
          <t>P1</t>
        </is>
      </c>
      <c r="D74" s="44" t="inlineStr">
        <is>
          <t>Incidents.Read</t>
        </is>
      </c>
      <c r="E74" s="44" t="inlineStr">
        <is>
          <t>limit=100</t>
        </is>
      </c>
      <c r="F74" s="41" t="inlineStr">
        <is>
          <t>REQ-INC-RD-07</t>
        </is>
      </c>
      <c r="G74" s="41" t="inlineStr">
        <is>
          <t>BVA</t>
        </is>
      </c>
      <c r="H74" s="41" t="inlineStr">
        <is>
          <t>Thấp</t>
        </is>
      </c>
      <c r="I74" s="44" t="inlineStr"/>
      <c r="J74" s="44" t="inlineStr">
        <is>
          <t>1. ?limit=100</t>
        </is>
      </c>
      <c r="K74" s="44" t="inlineStr"/>
      <c r="L74" s="44" t="inlineStr"/>
      <c r="M74" s="44" t="inlineStr"/>
      <c r="N74" s="44" t="inlineStr">
        <is>
          <t>200</t>
        </is>
      </c>
      <c r="O74" s="44" t="inlineStr"/>
      <c r="P74" s="41" t="inlineStr">
        <is>
          <t>Low</t>
        </is>
      </c>
      <c r="Q74" s="44" t="inlineStr"/>
      <c r="R74" s="41" t="inlineStr"/>
      <c r="S74" s="41" t="inlineStr"/>
      <c r="T74" s="41" t="inlineStr"/>
      <c r="U74" s="41" t="inlineStr"/>
      <c r="V74" s="44" t="inlineStr"/>
      <c r="W74" s="41" t="inlineStr"/>
      <c r="X74" s="44" t="inlineStr"/>
    </row>
    <row r="75" ht="80" customHeight="1">
      <c r="A75" s="41" t="inlineStr">
        <is>
          <t>TC-072</t>
        </is>
      </c>
      <c r="B75" s="48" t="inlineStr">
        <is>
          <t>EP</t>
        </is>
      </c>
      <c r="C75" s="45" t="inlineStr">
        <is>
          <t>P1</t>
        </is>
      </c>
      <c r="D75" s="44" t="inlineStr">
        <is>
          <t>Incidents.State</t>
        </is>
      </c>
      <c r="E75" s="44" t="inlineStr">
        <is>
          <t>VALID_TRANSITIONS — phủ tất cả 14 status start</t>
        </is>
      </c>
      <c r="F75" s="41" t="inlineStr">
        <is>
          <t>REQ-INC-ST-EP-01</t>
        </is>
      </c>
      <c r="G75" s="41" t="inlineStr">
        <is>
          <t>EP</t>
        </is>
      </c>
      <c r="H75" s="41" t="inlineStr">
        <is>
          <t>Cao</t>
        </is>
      </c>
      <c r="I75" s="44" t="inlineStr"/>
      <c r="J75" s="44" t="inlineStr">
        <is>
          <t>1. Test mọi transition hợp lệ từng status</t>
        </is>
      </c>
      <c r="K75" s="44" t="inlineStr"/>
      <c r="L75" s="44" t="inlineStr"/>
      <c r="M75" s="44" t="inlineStr"/>
      <c r="N75" s="44" t="inlineStr">
        <is>
          <t>200 cho hợp lệ</t>
        </is>
      </c>
      <c r="O75" s="44" t="inlineStr"/>
      <c r="P75" s="41" t="inlineStr">
        <is>
          <t>High</t>
        </is>
      </c>
      <c r="Q75" s="44" t="inlineStr"/>
      <c r="R75" s="41" t="inlineStr"/>
      <c r="S75" s="41" t="inlineStr"/>
      <c r="T75" s="41" t="inlineStr"/>
      <c r="U75" s="41" t="inlineStr"/>
      <c r="V75" s="44" t="inlineStr"/>
      <c r="W75" s="41" t="inlineStr"/>
      <c r="X75" s="44" t="inlineStr"/>
    </row>
    <row r="76" ht="80" customHeight="1">
      <c r="A76" s="41" t="inlineStr">
        <is>
          <t>TC-073</t>
        </is>
      </c>
      <c r="B76" s="48" t="inlineStr">
        <is>
          <t>EP</t>
        </is>
      </c>
      <c r="C76" s="45" t="inlineStr">
        <is>
          <t>P1</t>
        </is>
      </c>
      <c r="D76" s="44" t="inlineStr">
        <is>
          <t>Incidents.Create</t>
        </is>
      </c>
      <c r="E76" s="44" t="inlineStr">
        <is>
          <t>lyDoKhongKhoiTo — 7 enum giá trị</t>
        </is>
      </c>
      <c r="F76" s="41" t="inlineStr">
        <is>
          <t>REQ-INC-EP-01</t>
        </is>
      </c>
      <c r="G76" s="41" t="inlineStr">
        <is>
          <t>EP</t>
        </is>
      </c>
      <c r="H76" s="41" t="inlineStr">
        <is>
          <t>TB</t>
        </is>
      </c>
      <c r="I76" s="44" t="inlineStr"/>
      <c r="J76" s="44" t="inlineStr">
        <is>
          <t>1. Test mỗi enum</t>
        </is>
      </c>
      <c r="K76" s="44" t="inlineStr">
        <is>
          <t>7 giá trị</t>
        </is>
      </c>
      <c r="L76" s="44" t="inlineStr"/>
      <c r="M76" s="44" t="inlineStr"/>
      <c r="N76" s="44" t="inlineStr">
        <is>
          <t>200</t>
        </is>
      </c>
      <c r="O76" s="44" t="inlineStr"/>
      <c r="P76" s="41" t="inlineStr">
        <is>
          <t>Medium</t>
        </is>
      </c>
      <c r="Q76" s="44" t="inlineStr"/>
      <c r="R76" s="41" t="inlineStr"/>
      <c r="S76" s="41" t="inlineStr"/>
      <c r="T76" s="41" t="inlineStr"/>
      <c r="U76" s="41" t="inlineStr"/>
      <c r="V76" s="44" t="inlineStr"/>
      <c r="W76" s="41" t="inlineStr"/>
      <c r="X76" s="44" t="inlineStr"/>
    </row>
    <row r="77" ht="80" customHeight="1">
      <c r="A77" s="41" t="inlineStr">
        <is>
          <t>TC-074</t>
        </is>
      </c>
      <c r="B77" s="48" t="inlineStr">
        <is>
          <t>EP</t>
        </is>
      </c>
      <c r="C77" s="45" t="inlineStr">
        <is>
          <t>P1</t>
        </is>
      </c>
      <c r="D77" s="44" t="inlineStr">
        <is>
          <t>Incidents.Create</t>
        </is>
      </c>
      <c r="E77" s="44" t="inlineStr">
        <is>
          <t>phuongThucTiepNhan — 5 enum TT28</t>
        </is>
      </c>
      <c r="F77" s="41" t="inlineStr">
        <is>
          <t>REQ-INC-EP-02</t>
        </is>
      </c>
      <c r="G77" s="41" t="inlineStr">
        <is>
          <t>EP</t>
        </is>
      </c>
      <c r="H77" s="41" t="inlineStr">
        <is>
          <t>TB</t>
        </is>
      </c>
      <c r="I77" s="44" t="inlineStr"/>
      <c r="J77" s="44" t="inlineStr">
        <is>
          <t>1. Test</t>
        </is>
      </c>
      <c r="K77" s="44" t="inlineStr"/>
      <c r="L77" s="44" t="inlineStr"/>
      <c r="M77" s="44" t="inlineStr"/>
      <c r="N77" s="44" t="inlineStr"/>
      <c r="O77" s="44" t="inlineStr"/>
      <c r="P77" s="41" t="inlineStr">
        <is>
          <t>Low</t>
        </is>
      </c>
      <c r="Q77" s="44" t="inlineStr"/>
      <c r="R77" s="41" t="inlineStr"/>
      <c r="S77" s="41" t="inlineStr"/>
      <c r="T77" s="41" t="inlineStr"/>
      <c r="U77" s="41" t="inlineStr"/>
      <c r="V77" s="44" t="inlineStr"/>
      <c r="W77" s="41" t="inlineStr"/>
      <c r="X77" s="44" t="inlineStr"/>
    </row>
    <row r="78" ht="80" customHeight="1">
      <c r="A78" s="41" t="inlineStr">
        <is>
          <t>TC-075</t>
        </is>
      </c>
      <c r="B78" s="48" t="inlineStr">
        <is>
          <t>EP</t>
        </is>
      </c>
      <c r="C78" s="45" t="inlineStr">
        <is>
          <t>P1</t>
        </is>
      </c>
      <c r="D78" s="44" t="inlineStr">
        <is>
          <t>Incidents.Read</t>
        </is>
      </c>
      <c r="E78" s="44" t="inlineStr">
        <is>
          <t>4 phase × empty/filled scope</t>
        </is>
      </c>
      <c r="F78" s="41" t="inlineStr">
        <is>
          <t>REQ-INC-EP-03</t>
        </is>
      </c>
      <c r="G78" s="41" t="inlineStr">
        <is>
          <t>EP</t>
        </is>
      </c>
      <c r="H78" s="41" t="inlineStr">
        <is>
          <t>TB</t>
        </is>
      </c>
      <c r="I78" s="44" t="inlineStr"/>
      <c r="J78" s="44" t="inlineStr">
        <is>
          <t>1. ?phase=tiep-nhan|xac-minh|ket-qua|tam-dinh-chi</t>
        </is>
      </c>
      <c r="K78" s="44" t="inlineStr"/>
      <c r="L78" s="44" t="inlineStr"/>
      <c r="M78" s="44" t="inlineStr"/>
      <c r="N78" s="44" t="inlineStr"/>
      <c r="O78" s="44" t="inlineStr"/>
      <c r="P78" s="41" t="inlineStr">
        <is>
          <t>Medium</t>
        </is>
      </c>
      <c r="Q78" s="44" t="inlineStr"/>
      <c r="R78" s="41" t="inlineStr"/>
      <c r="S78" s="41" t="inlineStr"/>
      <c r="T78" s="41" t="inlineStr"/>
      <c r="U78" s="41" t="inlineStr"/>
      <c r="V78" s="44" t="inlineStr"/>
      <c r="W78" s="41" t="inlineStr"/>
      <c r="X78" s="44" t="inlineStr"/>
    </row>
    <row r="79" ht="80" customHeight="1">
      <c r="A79" s="41" t="inlineStr">
        <is>
          <t>TC-076</t>
        </is>
      </c>
      <c r="B79" s="49" t="inlineStr">
        <is>
          <t>STATE</t>
        </is>
      </c>
      <c r="C79" s="43" t="inlineStr">
        <is>
          <t>P0</t>
        </is>
      </c>
      <c r="D79" s="44" t="inlineStr">
        <is>
          <t>Incidents.State</t>
        </is>
      </c>
      <c r="E79" s="44" t="inlineStr">
        <is>
          <t>TIEP_NHAN → DA_PHAN_CONG (skip xác minh)</t>
        </is>
      </c>
      <c r="F79" s="41" t="inlineStr">
        <is>
          <t>REQ-INC-ST-07</t>
        </is>
      </c>
      <c r="G79" s="41" t="inlineStr">
        <is>
          <t>State</t>
        </is>
      </c>
      <c r="H79" s="41" t="inlineStr">
        <is>
          <t>Cao</t>
        </is>
      </c>
      <c r="I79" s="44" t="inlineStr">
        <is>
          <t>status=TIEP_NHAN</t>
        </is>
      </c>
      <c r="J79" s="44" t="inlineStr">
        <is>
          <t>1. PATCH DA_PHAN_CONG</t>
        </is>
      </c>
      <c r="K79" s="44" t="inlineStr"/>
      <c r="L79" s="44" t="inlineStr"/>
      <c r="M79" s="44" t="inlineStr"/>
      <c r="N79" s="44" t="inlineStr">
        <is>
          <t>200</t>
        </is>
      </c>
      <c r="O79" s="44" t="inlineStr">
        <is>
          <t>History</t>
        </is>
      </c>
      <c r="P79" s="41" t="inlineStr">
        <is>
          <t>High</t>
        </is>
      </c>
      <c r="Q79" s="44" t="inlineStr"/>
      <c r="R79" s="41" t="inlineStr"/>
      <c r="S79" s="41" t="inlineStr"/>
      <c r="T79" s="41" t="inlineStr"/>
      <c r="U79" s="41" t="inlineStr"/>
      <c r="V79" s="44" t="inlineStr"/>
      <c r="W79" s="41" t="inlineStr"/>
      <c r="X79" s="44" t="inlineStr"/>
    </row>
    <row r="80" ht="80" customHeight="1">
      <c r="A80" s="41" t="inlineStr">
        <is>
          <t>TC-077</t>
        </is>
      </c>
      <c r="B80" s="49" t="inlineStr">
        <is>
          <t>STATE</t>
        </is>
      </c>
      <c r="C80" s="43" t="inlineStr">
        <is>
          <t>P0</t>
        </is>
      </c>
      <c r="D80" s="44" t="inlineStr">
        <is>
          <t>Incidents.State</t>
        </is>
      </c>
      <c r="E80" s="44" t="inlineStr">
        <is>
          <t>DA_PHAN_CONG → CHUYEN_XPHC</t>
        </is>
      </c>
      <c r="F80" s="41" t="inlineStr">
        <is>
          <t>REQ-INC-ST-08</t>
        </is>
      </c>
      <c r="G80" s="41" t="inlineStr">
        <is>
          <t>State</t>
        </is>
      </c>
      <c r="H80" s="41" t="inlineStr">
        <is>
          <t>Cao</t>
        </is>
      </c>
      <c r="I80" s="44" t="inlineStr"/>
      <c r="J80" s="44" t="inlineStr">
        <is>
          <t>1. PATCH</t>
        </is>
      </c>
      <c r="K80" s="44" t="inlineStr"/>
      <c r="L80" s="44" t="inlineStr"/>
      <c r="M80" s="44" t="inlineStr"/>
      <c r="N80" s="44" t="inlineStr">
        <is>
          <t>200</t>
        </is>
      </c>
      <c r="O80" s="44" t="inlineStr"/>
      <c r="P80" s="41" t="inlineStr">
        <is>
          <t>High</t>
        </is>
      </c>
      <c r="Q80" s="44" t="inlineStr"/>
      <c r="R80" s="41" t="inlineStr"/>
      <c r="S80" s="41" t="inlineStr"/>
      <c r="T80" s="41" t="inlineStr"/>
      <c r="U80" s="41" t="inlineStr"/>
      <c r="V80" s="44" t="inlineStr"/>
      <c r="W80" s="41" t="inlineStr"/>
      <c r="X80" s="44" t="inlineStr"/>
    </row>
    <row r="81" ht="80" customHeight="1">
      <c r="A81" s="41" t="inlineStr">
        <is>
          <t>TC-078</t>
        </is>
      </c>
      <c r="B81" s="49" t="inlineStr">
        <is>
          <t>STATE</t>
        </is>
      </c>
      <c r="C81" s="43" t="inlineStr">
        <is>
          <t>P0</t>
        </is>
      </c>
      <c r="D81" s="44" t="inlineStr">
        <is>
          <t>Incidents.State</t>
        </is>
      </c>
      <c r="E81" s="44" t="inlineStr">
        <is>
          <t>DANG_XAC_MINH → TAM_DINH_CHI có lyDoTamDinhChiVuViec</t>
        </is>
      </c>
      <c r="F81" s="41" t="inlineStr">
        <is>
          <t>REQ-INC-ST-09</t>
        </is>
      </c>
      <c r="G81" s="41" t="inlineStr">
        <is>
          <t>State</t>
        </is>
      </c>
      <c r="H81" s="41" t="inlineStr">
        <is>
          <t>Cao</t>
        </is>
      </c>
      <c r="I81" s="44" t="inlineStr"/>
      <c r="J81" s="44" t="inlineStr">
        <is>
          <t>1. PATCH TAM_DINH_CHI</t>
        </is>
      </c>
      <c r="K81" s="44" t="inlineStr"/>
      <c r="L81" s="44" t="inlineStr"/>
      <c r="M81" s="44" t="inlineStr"/>
      <c r="N81" s="44" t="inlineStr">
        <is>
          <t>200</t>
        </is>
      </c>
      <c r="O81" s="44" t="inlineStr"/>
      <c r="P81" s="41" t="inlineStr">
        <is>
          <t>High</t>
        </is>
      </c>
      <c r="Q81" s="44" t="inlineStr"/>
      <c r="R81" s="41" t="inlineStr"/>
      <c r="S81" s="41" t="inlineStr"/>
      <c r="T81" s="41" t="inlineStr"/>
      <c r="U81" s="41" t="inlineStr"/>
      <c r="V81" s="44" t="inlineStr"/>
      <c r="W81" s="41" t="inlineStr"/>
      <c r="X81" s="44" t="inlineStr"/>
    </row>
    <row r="82" ht="80" customHeight="1">
      <c r="A82" s="41" t="inlineStr">
        <is>
          <t>TC-079</t>
        </is>
      </c>
      <c r="B82" s="49" t="inlineStr">
        <is>
          <t>STATE</t>
        </is>
      </c>
      <c r="C82" s="43" t="inlineStr">
        <is>
          <t>P0</t>
        </is>
      </c>
      <c r="D82" s="44" t="inlineStr">
        <is>
          <t>Incidents.State</t>
        </is>
      </c>
      <c r="E82" s="44" t="inlineStr">
        <is>
          <t>TAM_DINH_CHI → PHUC_HOI_NGUON_TIN</t>
        </is>
      </c>
      <c r="F82" s="41" t="inlineStr">
        <is>
          <t>REQ-INC-ST-10</t>
        </is>
      </c>
      <c r="G82" s="41" t="inlineStr">
        <is>
          <t>State</t>
        </is>
      </c>
      <c r="H82" s="41" t="inlineStr">
        <is>
          <t>Cao</t>
        </is>
      </c>
      <c r="I82" s="44" t="inlineStr"/>
      <c r="J82" s="44" t="inlineStr">
        <is>
          <t>1. PATCH PHUC_HOI</t>
        </is>
      </c>
      <c r="K82" s="44" t="inlineStr"/>
      <c r="L82" s="44" t="inlineStr"/>
      <c r="M82" s="44" t="inlineStr"/>
      <c r="N82" s="44" t="inlineStr">
        <is>
          <t>200</t>
        </is>
      </c>
      <c r="O82" s="44" t="inlineStr"/>
      <c r="P82" s="41" t="inlineStr">
        <is>
          <t>High</t>
        </is>
      </c>
      <c r="Q82" s="44" t="inlineStr"/>
      <c r="R82" s="41" t="inlineStr"/>
      <c r="S82" s="41" t="inlineStr"/>
      <c r="T82" s="41" t="inlineStr"/>
      <c r="U82" s="41" t="inlineStr"/>
      <c r="V82" s="44" t="inlineStr"/>
      <c r="W82" s="41" t="inlineStr"/>
      <c r="X82" s="44" t="inlineStr"/>
    </row>
    <row r="83" ht="80" customHeight="1">
      <c r="A83" s="41" t="inlineStr">
        <is>
          <t>TC-080</t>
        </is>
      </c>
      <c r="B83" s="49" t="inlineStr">
        <is>
          <t>STATE</t>
        </is>
      </c>
      <c r="C83" s="43" t="inlineStr">
        <is>
          <t>P0</t>
        </is>
      </c>
      <c r="D83" s="44" t="inlineStr">
        <is>
          <t>Incidents.State</t>
        </is>
      </c>
      <c r="E83" s="44" t="inlineStr">
        <is>
          <t>PHUC_HOI_NGUON_TIN → DANG_XAC_MINH</t>
        </is>
      </c>
      <c r="F83" s="41" t="inlineStr">
        <is>
          <t>REQ-INC-ST-11</t>
        </is>
      </c>
      <c r="G83" s="41" t="inlineStr">
        <is>
          <t>State</t>
        </is>
      </c>
      <c r="H83" s="41" t="inlineStr">
        <is>
          <t>Cao</t>
        </is>
      </c>
      <c r="I83" s="44" t="inlineStr"/>
      <c r="J83" s="44" t="inlineStr">
        <is>
          <t>1. PATCH</t>
        </is>
      </c>
      <c r="K83" s="44" t="inlineStr"/>
      <c r="L83" s="44" t="inlineStr"/>
      <c r="M83" s="44" t="inlineStr"/>
      <c r="N83" s="44" t="inlineStr">
        <is>
          <t>200</t>
        </is>
      </c>
      <c r="O83" s="44" t="inlineStr"/>
      <c r="P83" s="41" t="inlineStr">
        <is>
          <t>High</t>
        </is>
      </c>
      <c r="Q83" s="44" t="inlineStr"/>
      <c r="R83" s="41" t="inlineStr"/>
      <c r="S83" s="41" t="inlineStr"/>
      <c r="T83" s="41" t="inlineStr"/>
      <c r="U83" s="41" t="inlineStr"/>
      <c r="V83" s="44" t="inlineStr"/>
      <c r="W83" s="41" t="inlineStr"/>
      <c r="X83" s="44" t="inlineStr"/>
    </row>
    <row r="84" ht="80" customHeight="1">
      <c r="A84" s="41" t="inlineStr">
        <is>
          <t>TC-081</t>
        </is>
      </c>
      <c r="B84" s="49" t="inlineStr">
        <is>
          <t>STATE</t>
        </is>
      </c>
      <c r="C84" s="43" t="inlineStr">
        <is>
          <t>P0</t>
        </is>
      </c>
      <c r="D84" s="44" t="inlineStr">
        <is>
          <t>Incidents.State</t>
        </is>
      </c>
      <c r="E84" s="44" t="inlineStr">
        <is>
          <t>QUA_HAN auto-set khi deadline &lt; now và status active</t>
        </is>
      </c>
      <c r="F84" s="41" t="inlineStr">
        <is>
          <t>REQ-INC-ST-12</t>
        </is>
      </c>
      <c r="G84" s="41" t="inlineStr">
        <is>
          <t>State</t>
        </is>
      </c>
      <c r="H84" s="41" t="inlineStr">
        <is>
          <t>Cao</t>
        </is>
      </c>
      <c r="I84" s="44" t="inlineStr">
        <is>
          <t>deadline qua</t>
        </is>
      </c>
      <c r="J84" s="44" t="inlineStr">
        <is>
          <t>1. Trigger cron/list</t>
        </is>
      </c>
      <c r="K84" s="44" t="inlineStr"/>
      <c r="L84" s="44" t="inlineStr"/>
      <c r="M84" s="44" t="inlineStr">
        <is>
          <t>Badge overdue</t>
        </is>
      </c>
      <c r="N84" s="44" t="inlineStr"/>
      <c r="O84" s="44" t="inlineStr">
        <is>
          <t>Status có thể auto QUA_HAN</t>
        </is>
      </c>
      <c r="P84" s="41" t="inlineStr">
        <is>
          <t>High</t>
        </is>
      </c>
      <c r="Q84" s="44" t="inlineStr"/>
      <c r="R84" s="41" t="inlineStr"/>
      <c r="S84" s="41" t="inlineStr"/>
      <c r="T84" s="41" t="inlineStr"/>
      <c r="U84" s="41" t="inlineStr"/>
      <c r="V84" s="44" t="inlineStr"/>
      <c r="W84" s="41" t="inlineStr"/>
      <c r="X84" s="44" t="inlineStr">
        <is>
          <t>Confirm cron vs flag</t>
        </is>
      </c>
    </row>
    <row r="85" ht="80" customHeight="1">
      <c r="A85" s="41" t="inlineStr">
        <is>
          <t>TC-082</t>
        </is>
      </c>
      <c r="B85" s="49" t="inlineStr">
        <is>
          <t>STATE</t>
        </is>
      </c>
      <c r="C85" s="45" t="inlineStr">
        <is>
          <t>P1</t>
        </is>
      </c>
      <c r="D85" s="44" t="inlineStr">
        <is>
          <t>Incidents.State</t>
        </is>
      </c>
      <c r="E85" s="44" t="inlineStr">
        <is>
          <t>TDC_HET_THOI_HIEU là terminal</t>
        </is>
      </c>
      <c r="F85" s="41" t="inlineStr">
        <is>
          <t>REQ-INC-ST-13</t>
        </is>
      </c>
      <c r="G85" s="41" t="inlineStr">
        <is>
          <t>State</t>
        </is>
      </c>
      <c r="H85" s="41" t="inlineStr">
        <is>
          <t>TB</t>
        </is>
      </c>
      <c r="I85" s="44" t="inlineStr">
        <is>
          <t>status=TDC_HET_THOI_HIEU</t>
        </is>
      </c>
      <c r="J85" s="44" t="inlineStr">
        <is>
          <t>1. PATCH bất kỳ</t>
        </is>
      </c>
      <c r="K85" s="44" t="inlineStr"/>
      <c r="L85" s="44" t="inlineStr"/>
      <c r="M85" s="44" t="inlineStr"/>
      <c r="N85" s="44" t="inlineStr">
        <is>
          <t>422</t>
        </is>
      </c>
      <c r="O85" s="44" t="inlineStr"/>
      <c r="P85" s="41" t="inlineStr">
        <is>
          <t>High</t>
        </is>
      </c>
      <c r="Q85" s="44" t="inlineStr"/>
      <c r="R85" s="41" t="inlineStr"/>
      <c r="S85" s="41" t="inlineStr"/>
      <c r="T85" s="41" t="inlineStr"/>
      <c r="U85" s="41" t="inlineStr"/>
      <c r="V85" s="44" t="inlineStr"/>
      <c r="W85" s="41" t="inlineStr"/>
      <c r="X85" s="44" t="inlineStr"/>
    </row>
    <row r="86" ht="80" customHeight="1">
      <c r="A86" s="41" t="inlineStr">
        <is>
          <t>TC-083</t>
        </is>
      </c>
      <c r="B86" s="49" t="inlineStr">
        <is>
          <t>STATE</t>
        </is>
      </c>
      <c r="C86" s="45" t="inlineStr">
        <is>
          <t>P1</t>
        </is>
      </c>
      <c r="D86" s="44" t="inlineStr">
        <is>
          <t>Incidents.State</t>
        </is>
      </c>
      <c r="E86" s="44" t="inlineStr">
        <is>
          <t>DA_NHAP_VU_KHAC sau merge — không edit</t>
        </is>
      </c>
      <c r="F86" s="41" t="inlineStr">
        <is>
          <t>REQ-INC-ST-14</t>
        </is>
      </c>
      <c r="G86" s="41" t="inlineStr">
        <is>
          <t>State</t>
        </is>
      </c>
      <c r="H86" s="41" t="inlineStr">
        <is>
          <t>TB</t>
        </is>
      </c>
      <c r="I86" s="44" t="inlineStr"/>
      <c r="J86" s="44" t="inlineStr">
        <is>
          <t>1. PUT update</t>
        </is>
      </c>
      <c r="K86" s="44" t="inlineStr"/>
      <c r="L86" s="44" t="inlineStr"/>
      <c r="M86" s="44" t="inlineStr">
        <is>
          <t>Disable form</t>
        </is>
      </c>
      <c r="N86" s="44" t="inlineStr">
        <is>
          <t>422</t>
        </is>
      </c>
      <c r="O86" s="44" t="inlineStr"/>
      <c r="P86" s="41" t="inlineStr">
        <is>
          <t>Medium</t>
        </is>
      </c>
      <c r="Q86" s="44" t="inlineStr"/>
      <c r="R86" s="41" t="inlineStr"/>
      <c r="S86" s="41" t="inlineStr"/>
      <c r="T86" s="41" t="inlineStr"/>
      <c r="U86" s="41" t="inlineStr"/>
      <c r="V86" s="44" t="inlineStr"/>
      <c r="W86" s="41" t="inlineStr"/>
      <c r="X86" s="44" t="inlineStr"/>
    </row>
    <row r="87" ht="80" customHeight="1">
      <c r="A87" s="41" t="inlineStr">
        <is>
          <t>TC-084</t>
        </is>
      </c>
      <c r="B87" s="50" t="inlineStr">
        <is>
          <t>DECISION</t>
        </is>
      </c>
      <c r="C87" s="43" t="inlineStr">
        <is>
          <t>P0</t>
        </is>
      </c>
      <c r="D87" s="44" t="inlineStr">
        <is>
          <t>Incidents.Decision</t>
        </is>
      </c>
      <c r="E87" s="44" t="inlineStr">
        <is>
          <t>Phase mapping cho từng status</t>
        </is>
      </c>
      <c r="F87" s="41" t="inlineStr">
        <is>
          <t>REQ-INC-DT-01</t>
        </is>
      </c>
      <c r="G87" s="41" t="inlineStr">
        <is>
          <t>Decision Table</t>
        </is>
      </c>
      <c r="H87" s="41" t="inlineStr">
        <is>
          <t>Cao</t>
        </is>
      </c>
      <c r="I87" s="44" t="inlineStr"/>
      <c r="J87" s="44" t="inlineStr">
        <is>
          <t>1. Tạo 14 incident mỗi status, kiểm tra phase return đúng</t>
        </is>
      </c>
      <c r="K87" s="44" t="inlineStr"/>
      <c r="L87" s="44" t="inlineStr"/>
      <c r="M87" s="44" t="inlineStr"/>
      <c r="N87" s="44" t="inlineStr"/>
      <c r="O87" s="44" t="inlineStr"/>
      <c r="P87" s="41" t="inlineStr">
        <is>
          <t>High</t>
        </is>
      </c>
      <c r="Q87" s="44" t="inlineStr"/>
      <c r="R87" s="41" t="inlineStr"/>
      <c r="S87" s="41" t="inlineStr"/>
      <c r="T87" s="41" t="inlineStr"/>
      <c r="U87" s="41" t="inlineStr"/>
      <c r="V87" s="44" t="inlineStr"/>
      <c r="W87" s="41" t="inlineStr"/>
      <c r="X87" s="44" t="inlineStr"/>
    </row>
    <row r="88" ht="80" customHeight="1">
      <c r="A88" s="41" t="inlineStr">
        <is>
          <t>TC-085</t>
        </is>
      </c>
      <c r="B88" s="50" t="inlineStr">
        <is>
          <t>DECISION</t>
        </is>
      </c>
      <c r="C88" s="43" t="inlineStr">
        <is>
          <t>P0</t>
        </is>
      </c>
      <c r="D88" s="44" t="inlineStr">
        <is>
          <t>Incidents.Decision</t>
        </is>
      </c>
      <c r="E88" s="44" t="inlineStr">
        <is>
          <t>DataScope rules — dispatcher/ĐTV/ward</t>
        </is>
      </c>
      <c r="F88" s="41" t="inlineStr">
        <is>
          <t>REQ-INC-DT-02</t>
        </is>
      </c>
      <c r="G88" s="41" t="inlineStr">
        <is>
          <t>Decision Table</t>
        </is>
      </c>
      <c r="H88" s="41" t="inlineStr">
        <is>
          <t>Cao</t>
        </is>
      </c>
      <c r="I88" s="44" t="inlineStr"/>
      <c r="J88" s="44" t="inlineStr">
        <is>
          <t>1. 3 user role, kiểm tra list visible</t>
        </is>
      </c>
      <c r="K88" s="44" t="inlineStr"/>
      <c r="L88" s="44" t="inlineStr"/>
      <c r="M88" s="44" t="inlineStr"/>
      <c r="N88" s="44" t="inlineStr"/>
      <c r="O88" s="44" t="inlineStr"/>
      <c r="P88" s="41" t="inlineStr">
        <is>
          <t>Critical</t>
        </is>
      </c>
      <c r="Q88" s="44" t="inlineStr"/>
      <c r="R88" s="41" t="inlineStr"/>
      <c r="S88" s="41" t="inlineStr"/>
      <c r="T88" s="41" t="inlineStr"/>
      <c r="U88" s="41" t="inlineStr"/>
      <c r="V88" s="44" t="inlineStr"/>
      <c r="W88" s="41" t="inlineStr"/>
      <c r="X88" s="44" t="inlineStr"/>
    </row>
    <row r="89" ht="80" customHeight="1">
      <c r="A89" s="41" t="inlineStr">
        <is>
          <t>TC-086</t>
        </is>
      </c>
      <c r="B89" s="51" t="inlineStr">
        <is>
          <t>SECURITY</t>
        </is>
      </c>
      <c r="C89" s="43" t="inlineStr">
        <is>
          <t>P0</t>
        </is>
      </c>
      <c r="D89" s="44" t="inlineStr">
        <is>
          <t>Incidents.Security</t>
        </is>
      </c>
      <c r="E89" s="44" t="inlineStr">
        <is>
          <t>SQL Injection trong search</t>
        </is>
      </c>
      <c r="F89" s="41" t="inlineStr">
        <is>
          <t>REQ-INC-SEC-01</t>
        </is>
      </c>
      <c r="G89" s="41" t="inlineStr">
        <is>
          <t>OWASP A03</t>
        </is>
      </c>
      <c r="H89" s="41" t="inlineStr">
        <is>
          <t>Cao</t>
        </is>
      </c>
      <c r="I89" s="44" t="inlineStr"/>
      <c r="J89" s="44" t="inlineStr">
        <is>
          <t>1. ?search=' OR 1=1 --</t>
        </is>
      </c>
      <c r="K89" s="44" t="inlineStr"/>
      <c r="L89" s="44" t="inlineStr"/>
      <c r="M89" s="44" t="inlineStr"/>
      <c r="N89" s="44" t="inlineStr">
        <is>
          <t>200 không leak</t>
        </is>
      </c>
      <c r="O89" s="44" t="inlineStr"/>
      <c r="P89" s="41" t="inlineStr">
        <is>
          <t>Critical</t>
        </is>
      </c>
      <c r="Q89" s="44" t="inlineStr"/>
      <c r="R89" s="41" t="inlineStr"/>
      <c r="S89" s="41" t="inlineStr"/>
      <c r="T89" s="41" t="inlineStr"/>
      <c r="U89" s="41" t="inlineStr"/>
      <c r="V89" s="44" t="inlineStr"/>
      <c r="W89" s="41" t="inlineStr"/>
      <c r="X89" s="44" t="inlineStr"/>
    </row>
    <row r="90" ht="80" customHeight="1">
      <c r="A90" s="41" t="inlineStr">
        <is>
          <t>TC-087</t>
        </is>
      </c>
      <c r="B90" s="51" t="inlineStr">
        <is>
          <t>SECURITY</t>
        </is>
      </c>
      <c r="C90" s="43" t="inlineStr">
        <is>
          <t>P0</t>
        </is>
      </c>
      <c r="D90" s="44" t="inlineStr">
        <is>
          <t>Incidents.Security</t>
        </is>
      </c>
      <c r="E90" s="44" t="inlineStr">
        <is>
          <t>XSS trong name + description</t>
        </is>
      </c>
      <c r="F90" s="41" t="inlineStr">
        <is>
          <t>REQ-INC-SEC-02</t>
        </is>
      </c>
      <c r="G90" s="41" t="inlineStr">
        <is>
          <t>OWASP A03</t>
        </is>
      </c>
      <c r="H90" s="41" t="inlineStr">
        <is>
          <t>Cao</t>
        </is>
      </c>
      <c r="I90" s="44" t="inlineStr"/>
      <c r="J90" s="44" t="inlineStr">
        <is>
          <t>1. name='&lt;svg onload=alert(1)&gt;'</t>
        </is>
      </c>
      <c r="K90" s="44" t="inlineStr"/>
      <c r="L90" s="44" t="inlineStr"/>
      <c r="M90" s="44" t="inlineStr">
        <is>
          <t>Escape</t>
        </is>
      </c>
      <c r="N90" s="44" t="inlineStr">
        <is>
          <t>201</t>
        </is>
      </c>
      <c r="O90" s="44" t="inlineStr"/>
      <c r="P90" s="41" t="inlineStr">
        <is>
          <t>Critical</t>
        </is>
      </c>
      <c r="Q90" s="44" t="inlineStr"/>
      <c r="R90" s="41" t="inlineStr"/>
      <c r="S90" s="41" t="inlineStr"/>
      <c r="T90" s="41" t="inlineStr"/>
      <c r="U90" s="41" t="inlineStr"/>
      <c r="V90" s="44" t="inlineStr"/>
      <c r="W90" s="41" t="inlineStr"/>
      <c r="X90" s="44" t="inlineStr"/>
    </row>
    <row r="91" ht="80" customHeight="1">
      <c r="A91" s="41" t="inlineStr">
        <is>
          <t>TC-088</t>
        </is>
      </c>
      <c r="B91" s="51" t="inlineStr">
        <is>
          <t>SECURITY</t>
        </is>
      </c>
      <c r="C91" s="43" t="inlineStr">
        <is>
          <t>P0</t>
        </is>
      </c>
      <c r="D91" s="44" t="inlineStr">
        <is>
          <t>Incidents.Security</t>
        </is>
      </c>
      <c r="E91" s="44" t="inlineStr">
        <is>
          <t>IDOR PATCH /:id/status incident khác team</t>
        </is>
      </c>
      <c r="F91" s="41" t="inlineStr">
        <is>
          <t>REQ-INC-SEC-03</t>
        </is>
      </c>
      <c r="G91" s="41" t="inlineStr">
        <is>
          <t>OWASP A01</t>
        </is>
      </c>
      <c r="H91" s="41" t="inlineStr">
        <is>
          <t>Cao</t>
        </is>
      </c>
      <c r="I91" s="44" t="inlineStr"/>
      <c r="J91" s="44" t="inlineStr">
        <is>
          <t>1. PATCH ngoài scope</t>
        </is>
      </c>
      <c r="K91" s="44" t="inlineStr"/>
      <c r="L91" s="44" t="inlineStr"/>
      <c r="M91" s="44" t="inlineStr"/>
      <c r="N91" s="44" t="inlineStr">
        <is>
          <t>404</t>
        </is>
      </c>
      <c r="O91" s="44" t="inlineStr"/>
      <c r="P91" s="41" t="inlineStr">
        <is>
          <t>Critical</t>
        </is>
      </c>
      <c r="Q91" s="44" t="inlineStr"/>
      <c r="R91" s="41" t="inlineStr"/>
      <c r="S91" s="41" t="inlineStr"/>
      <c r="T91" s="41" t="inlineStr"/>
      <c r="U91" s="41" t="inlineStr"/>
      <c r="V91" s="44" t="inlineStr"/>
      <c r="W91" s="41" t="inlineStr"/>
      <c r="X91" s="44" t="inlineStr"/>
    </row>
    <row r="92" ht="80" customHeight="1">
      <c r="A92" s="41" t="inlineStr">
        <is>
          <t>TC-089</t>
        </is>
      </c>
      <c r="B92" s="51" t="inlineStr">
        <is>
          <t>SECURITY</t>
        </is>
      </c>
      <c r="C92" s="43" t="inlineStr">
        <is>
          <t>P0</t>
        </is>
      </c>
      <c r="D92" s="44" t="inlineStr">
        <is>
          <t>Incidents.Security</t>
        </is>
      </c>
      <c r="E92" s="44" t="inlineStr">
        <is>
          <t>Mass assignment createdById</t>
        </is>
      </c>
      <c r="F92" s="41" t="inlineStr">
        <is>
          <t>REQ-INC-SEC-04</t>
        </is>
      </c>
      <c r="G92" s="41" t="inlineStr">
        <is>
          <t>OWASP A08</t>
        </is>
      </c>
      <c r="H92" s="41" t="inlineStr">
        <is>
          <t>Cao</t>
        </is>
      </c>
      <c r="I92" s="44" t="inlineStr"/>
      <c r="J92" s="44" t="inlineStr">
        <is>
          <t>1. body có createdById khác</t>
        </is>
      </c>
      <c r="K92" s="44" t="inlineStr"/>
      <c r="L92" s="44" t="inlineStr"/>
      <c r="M92" s="44" t="inlineStr"/>
      <c r="N92" s="44" t="inlineStr">
        <is>
          <t>201, server set actor thật</t>
        </is>
      </c>
      <c r="O92" s="44" t="inlineStr"/>
      <c r="P92" s="41" t="inlineStr">
        <is>
          <t>Critical</t>
        </is>
      </c>
      <c r="Q92" s="44" t="inlineStr"/>
      <c r="R92" s="41" t="inlineStr"/>
      <c r="S92" s="41" t="inlineStr"/>
      <c r="T92" s="41" t="inlineStr"/>
      <c r="U92" s="41" t="inlineStr"/>
      <c r="V92" s="44" t="inlineStr"/>
      <c r="W92" s="41" t="inlineStr"/>
      <c r="X92" s="44" t="inlineStr"/>
    </row>
    <row r="93" ht="80" customHeight="1">
      <c r="A93" s="41" t="inlineStr">
        <is>
          <t>TC-090</t>
        </is>
      </c>
      <c r="B93" s="51" t="inlineStr">
        <is>
          <t>SECURITY</t>
        </is>
      </c>
      <c r="C93" s="43" t="inlineStr">
        <is>
          <t>P0</t>
        </is>
      </c>
      <c r="D93" s="44" t="inlineStr">
        <is>
          <t>Incidents.Security</t>
        </is>
      </c>
      <c r="E93" s="44" t="inlineStr">
        <is>
          <t>CSRF POST cross-origin</t>
        </is>
      </c>
      <c r="F93" s="41" t="inlineStr">
        <is>
          <t>REQ-INC-SEC-05</t>
        </is>
      </c>
      <c r="G93" s="41" t="inlineStr">
        <is>
          <t>OWASP A01</t>
        </is>
      </c>
      <c r="H93" s="41" t="inlineStr">
        <is>
          <t>Cao</t>
        </is>
      </c>
      <c r="I93" s="44" t="inlineStr"/>
      <c r="J93" s="44" t="inlineStr"/>
      <c r="K93" s="44" t="inlineStr"/>
      <c r="L93" s="44" t="inlineStr"/>
      <c r="M93" s="44" t="inlineStr"/>
      <c r="N93" s="44" t="inlineStr">
        <is>
          <t>CORS reject</t>
        </is>
      </c>
      <c r="O93" s="44" t="inlineStr"/>
      <c r="P93" s="41" t="inlineStr">
        <is>
          <t>Critical</t>
        </is>
      </c>
      <c r="Q93" s="44" t="inlineStr"/>
      <c r="R93" s="41" t="inlineStr"/>
      <c r="S93" s="41" t="inlineStr"/>
      <c r="T93" s="41" t="inlineStr"/>
      <c r="U93" s="41" t="inlineStr"/>
      <c r="V93" s="44" t="inlineStr"/>
      <c r="W93" s="41" t="inlineStr"/>
      <c r="X93" s="44" t="inlineStr"/>
    </row>
    <row r="94" ht="80" customHeight="1">
      <c r="A94" s="41" t="inlineStr">
        <is>
          <t>TC-091</t>
        </is>
      </c>
      <c r="B94" s="51" t="inlineStr">
        <is>
          <t>SECURITY</t>
        </is>
      </c>
      <c r="C94" s="45" t="inlineStr">
        <is>
          <t>P1</t>
        </is>
      </c>
      <c r="D94" s="44" t="inlineStr">
        <is>
          <t>Incidents.Security</t>
        </is>
      </c>
      <c r="E94" s="44" t="inlineStr">
        <is>
          <t>Insecure direct file path trong export</t>
        </is>
      </c>
      <c r="F94" s="41" t="inlineStr">
        <is>
          <t>REQ-INC-SEC-06</t>
        </is>
      </c>
      <c r="G94" s="41" t="inlineStr">
        <is>
          <t>OWASP A01</t>
        </is>
      </c>
      <c r="H94" s="41" t="inlineStr">
        <is>
          <t>TB</t>
        </is>
      </c>
      <c r="I94" s="44" t="inlineStr"/>
      <c r="J94" s="44" t="inlineStr">
        <is>
          <t>1. ?fileName=../../etc/passwd</t>
        </is>
      </c>
      <c r="K94" s="44" t="inlineStr"/>
      <c r="L94" s="44" t="inlineStr"/>
      <c r="M94" s="44" t="inlineStr"/>
      <c r="N94" s="44" t="inlineStr">
        <is>
          <t>400</t>
        </is>
      </c>
      <c r="O94" s="44" t="inlineStr"/>
      <c r="P94" s="41" t="inlineStr">
        <is>
          <t>High</t>
        </is>
      </c>
      <c r="Q94" s="44" t="inlineStr"/>
      <c r="R94" s="41" t="inlineStr"/>
      <c r="S94" s="41" t="inlineStr"/>
      <c r="T94" s="41" t="inlineStr"/>
      <c r="U94" s="41" t="inlineStr"/>
      <c r="V94" s="44" t="inlineStr"/>
      <c r="W94" s="41" t="inlineStr"/>
      <c r="X94" s="44" t="inlineStr"/>
    </row>
    <row r="95" ht="80" customHeight="1">
      <c r="A95" s="41" t="inlineStr">
        <is>
          <t>TC-092</t>
        </is>
      </c>
      <c r="B95" s="51" t="inlineStr">
        <is>
          <t>SECURITY</t>
        </is>
      </c>
      <c r="C95" s="45" t="inlineStr">
        <is>
          <t>P1</t>
        </is>
      </c>
      <c r="D95" s="44" t="inlineStr">
        <is>
          <t>Incidents.Security</t>
        </is>
      </c>
      <c r="E95" s="44" t="inlineStr">
        <is>
          <t>Tampering Authorization header</t>
        </is>
      </c>
      <c r="F95" s="41" t="inlineStr">
        <is>
          <t>REQ-INC-SEC-07</t>
        </is>
      </c>
      <c r="G95" s="41" t="inlineStr">
        <is>
          <t>OWASP A07</t>
        </is>
      </c>
      <c r="H95" s="41" t="inlineStr">
        <is>
          <t>TB</t>
        </is>
      </c>
      <c r="I95" s="44" t="inlineStr"/>
      <c r="J95" s="44" t="inlineStr">
        <is>
          <t>1. Token sửa userId</t>
        </is>
      </c>
      <c r="K95" s="44" t="inlineStr"/>
      <c r="L95" s="44" t="inlineStr"/>
      <c r="M95" s="44" t="inlineStr"/>
      <c r="N95" s="44" t="inlineStr">
        <is>
          <t>401</t>
        </is>
      </c>
      <c r="O95" s="44" t="inlineStr"/>
      <c r="P95" s="41" t="inlineStr">
        <is>
          <t>Critical</t>
        </is>
      </c>
      <c r="Q95" s="44" t="inlineStr"/>
      <c r="R95" s="41" t="inlineStr"/>
      <c r="S95" s="41" t="inlineStr"/>
      <c r="T95" s="41" t="inlineStr"/>
      <c r="U95" s="41" t="inlineStr"/>
      <c r="V95" s="44" t="inlineStr"/>
      <c r="W95" s="41" t="inlineStr"/>
      <c r="X95" s="44" t="inlineStr"/>
    </row>
    <row r="96" ht="80" customHeight="1">
      <c r="A96" s="41" t="inlineStr">
        <is>
          <t>TC-093</t>
        </is>
      </c>
      <c r="B96" s="51" t="inlineStr">
        <is>
          <t>SECURITY</t>
        </is>
      </c>
      <c r="C96" s="45" t="inlineStr">
        <is>
          <t>P1</t>
        </is>
      </c>
      <c r="D96" s="44" t="inlineStr">
        <is>
          <t>Incidents.Security</t>
        </is>
      </c>
      <c r="E96" s="44" t="inlineStr">
        <is>
          <t>Privilege escalation qua assign endpoint</t>
        </is>
      </c>
      <c r="F96" s="41" t="inlineStr">
        <is>
          <t>REQ-INC-SEC-08</t>
        </is>
      </c>
      <c r="G96" s="41" t="inlineStr">
        <is>
          <t>OWASP A01</t>
        </is>
      </c>
      <c r="H96" s="41" t="inlineStr">
        <is>
          <t>TB</t>
        </is>
      </c>
      <c r="I96" s="44" t="inlineStr"/>
      <c r="J96" s="44" t="inlineStr">
        <is>
          <t>1. PATCH /assign by non-dispatcher</t>
        </is>
      </c>
      <c r="K96" s="44" t="inlineStr"/>
      <c r="L96" s="44" t="inlineStr"/>
      <c r="M96" s="44" t="inlineStr"/>
      <c r="N96" s="44" t="inlineStr">
        <is>
          <t>403</t>
        </is>
      </c>
      <c r="O96" s="44" t="inlineStr"/>
      <c r="P96" s="41" t="inlineStr">
        <is>
          <t>Critical</t>
        </is>
      </c>
      <c r="Q96" s="44" t="inlineStr"/>
      <c r="R96" s="41" t="inlineStr"/>
      <c r="S96" s="41" t="inlineStr"/>
      <c r="T96" s="41" t="inlineStr"/>
      <c r="U96" s="41" t="inlineStr"/>
      <c r="V96" s="44" t="inlineStr"/>
      <c r="W96" s="41" t="inlineStr"/>
      <c r="X96" s="44" t="inlineStr"/>
    </row>
    <row r="97" ht="80" customHeight="1">
      <c r="A97" s="41" t="inlineStr">
        <is>
          <t>TC-094</t>
        </is>
      </c>
      <c r="B97" s="51" t="inlineStr">
        <is>
          <t>SECURITY</t>
        </is>
      </c>
      <c r="C97" s="45" t="inlineStr">
        <is>
          <t>P1</t>
        </is>
      </c>
      <c r="D97" s="44" t="inlineStr">
        <is>
          <t>Incidents.Security</t>
        </is>
      </c>
      <c r="E97" s="44" t="inlineStr">
        <is>
          <t>Rate limit list endpoint</t>
        </is>
      </c>
      <c r="F97" s="41" t="inlineStr">
        <is>
          <t>REQ-INC-SEC-09</t>
        </is>
      </c>
      <c r="G97" s="41" t="inlineStr">
        <is>
          <t>OWASP A04</t>
        </is>
      </c>
      <c r="H97" s="41" t="inlineStr">
        <is>
          <t>TB</t>
        </is>
      </c>
      <c r="I97" s="44" t="inlineStr"/>
      <c r="J97" s="44" t="inlineStr">
        <is>
          <t>1. 200 req/min</t>
        </is>
      </c>
      <c r="K97" s="44" t="inlineStr"/>
      <c r="L97" s="44" t="inlineStr"/>
      <c r="M97" s="44" t="inlineStr"/>
      <c r="N97" s="44" t="inlineStr">
        <is>
          <t>429</t>
        </is>
      </c>
      <c r="O97" s="44" t="inlineStr"/>
      <c r="P97" s="41" t="inlineStr">
        <is>
          <t>High</t>
        </is>
      </c>
      <c r="Q97" s="44" t="inlineStr"/>
      <c r="R97" s="41" t="inlineStr"/>
      <c r="S97" s="41" t="inlineStr"/>
      <c r="T97" s="41" t="inlineStr"/>
      <c r="U97" s="41" t="inlineStr"/>
      <c r="V97" s="44" t="inlineStr"/>
      <c r="W97" s="41" t="inlineStr"/>
      <c r="X97" s="44" t="inlineStr"/>
    </row>
    <row r="98" ht="80" customHeight="1">
      <c r="A98" s="41" t="inlineStr">
        <is>
          <t>TC-095</t>
        </is>
      </c>
      <c r="B98" s="51" t="inlineStr">
        <is>
          <t>SECURITY</t>
        </is>
      </c>
      <c r="C98" s="45" t="inlineStr">
        <is>
          <t>P1</t>
        </is>
      </c>
      <c r="D98" s="44" t="inlineStr">
        <is>
          <t>Incidents.Security</t>
        </is>
      </c>
      <c r="E98" s="44" t="inlineStr">
        <is>
          <t>Sensitive PII leak — sdt + cmnd trong journey API</t>
        </is>
      </c>
      <c r="F98" s="41" t="inlineStr">
        <is>
          <t>REQ-INC-SEC-10</t>
        </is>
      </c>
      <c r="G98" s="41" t="inlineStr">
        <is>
          <t>OWASP A02</t>
        </is>
      </c>
      <c r="H98" s="41" t="inlineStr">
        <is>
          <t>Cao</t>
        </is>
      </c>
      <c r="I98" s="44" t="inlineStr"/>
      <c r="J98" s="44" t="inlineStr">
        <is>
          <t>1. GET /journey trong vai trò xem khác đơn vị</t>
        </is>
      </c>
      <c r="K98" s="44" t="inlineStr"/>
      <c r="L98" s="44" t="inlineStr"/>
      <c r="M98" s="44" t="inlineStr"/>
      <c r="N98" s="44" t="inlineStr">
        <is>
          <t>404/mask</t>
        </is>
      </c>
      <c r="O98" s="44" t="inlineStr"/>
      <c r="P98" s="41" t="inlineStr">
        <is>
          <t>Critical</t>
        </is>
      </c>
      <c r="Q98" s="44" t="inlineStr"/>
      <c r="R98" s="41" t="inlineStr"/>
      <c r="S98" s="41" t="inlineStr"/>
      <c r="T98" s="41" t="inlineStr"/>
      <c r="U98" s="41" t="inlineStr"/>
      <c r="V98" s="44" t="inlineStr"/>
      <c r="W98" s="41" t="inlineStr"/>
      <c r="X98" s="44" t="inlineStr"/>
    </row>
    <row r="99" ht="80" customHeight="1">
      <c r="A99" s="41" t="inlineStr">
        <is>
          <t>TC-096</t>
        </is>
      </c>
      <c r="B99" s="51" t="inlineStr">
        <is>
          <t>SECURITY</t>
        </is>
      </c>
      <c r="C99" s="45" t="inlineStr">
        <is>
          <t>P1</t>
        </is>
      </c>
      <c r="D99" s="44" t="inlineStr">
        <is>
          <t>Incidents.Security</t>
        </is>
      </c>
      <c r="E99" s="44" t="inlineStr">
        <is>
          <t>Open redirect qua returnPath param</t>
        </is>
      </c>
      <c r="F99" s="41" t="inlineStr">
        <is>
          <t>REQ-INC-SEC-11</t>
        </is>
      </c>
      <c r="G99" s="41" t="inlineStr">
        <is>
          <t>OWASP A05</t>
        </is>
      </c>
      <c r="H99" s="41" t="inlineStr">
        <is>
          <t>TB</t>
        </is>
      </c>
      <c r="I99" s="44" t="inlineStr"/>
      <c r="J99" s="44" t="inlineStr">
        <is>
          <t>1. /incidents?returnPath=http://evil.com</t>
        </is>
      </c>
      <c r="K99" s="44" t="inlineStr"/>
      <c r="L99" s="44" t="inlineStr"/>
      <c r="M99" s="44" t="inlineStr"/>
      <c r="N99" s="44" t="inlineStr"/>
      <c r="O99" s="44" t="inlineStr">
        <is>
          <t>Front-end whitelist</t>
        </is>
      </c>
      <c r="P99" s="41" t="inlineStr">
        <is>
          <t>Medium</t>
        </is>
      </c>
      <c r="Q99" s="44" t="inlineStr"/>
      <c r="R99" s="41" t="inlineStr"/>
      <c r="S99" s="41" t="inlineStr"/>
      <c r="T99" s="41" t="inlineStr"/>
      <c r="U99" s="41" t="inlineStr"/>
      <c r="V99" s="44" t="inlineStr"/>
      <c r="W99" s="41" t="inlineStr"/>
      <c r="X99" s="44" t="inlineStr"/>
    </row>
    <row r="100" ht="80" customHeight="1">
      <c r="A100" s="41" t="inlineStr">
        <is>
          <t>TC-097</t>
        </is>
      </c>
      <c r="B100" s="51" t="inlineStr">
        <is>
          <t>SECURITY</t>
        </is>
      </c>
      <c r="C100" s="45" t="inlineStr">
        <is>
          <t>P1</t>
        </is>
      </c>
      <c r="D100" s="44" t="inlineStr">
        <is>
          <t>Incidents.Security</t>
        </is>
      </c>
      <c r="E100" s="44" t="inlineStr">
        <is>
          <t>Tampering with expectedUpdatedAt to force overwrite</t>
        </is>
      </c>
      <c r="F100" s="41" t="inlineStr">
        <is>
          <t>REQ-INC-SEC-12</t>
        </is>
      </c>
      <c r="G100" s="41" t="inlineStr">
        <is>
          <t>OWASP A01</t>
        </is>
      </c>
      <c r="H100" s="41" t="inlineStr">
        <is>
          <t>TB</t>
        </is>
      </c>
      <c r="I100" s="44" t="inlineStr"/>
      <c r="J100" s="44" t="inlineStr">
        <is>
          <t>1. PUT expectedUpdatedAt='9999-12-31'</t>
        </is>
      </c>
      <c r="K100" s="44" t="inlineStr"/>
      <c r="L100" s="44" t="inlineStr"/>
      <c r="M100" s="44" t="inlineStr"/>
      <c r="N100" s="44" t="inlineStr">
        <is>
          <t>409</t>
        </is>
      </c>
      <c r="O100" s="44" t="inlineStr"/>
      <c r="P100" s="41" t="inlineStr">
        <is>
          <t>High</t>
        </is>
      </c>
      <c r="Q100" s="44" t="inlineStr"/>
      <c r="R100" s="41" t="inlineStr"/>
      <c r="S100" s="41" t="inlineStr"/>
      <c r="T100" s="41" t="inlineStr"/>
      <c r="U100" s="41" t="inlineStr"/>
      <c r="V100" s="44" t="inlineStr"/>
      <c r="W100" s="41" t="inlineStr"/>
      <c r="X100" s="44" t="inlineStr"/>
    </row>
    <row r="101" ht="80" customHeight="1">
      <c r="A101" s="41" t="inlineStr">
        <is>
          <t>TC-098</t>
        </is>
      </c>
      <c r="B101" s="52" t="inlineStr">
        <is>
          <t>DATA</t>
        </is>
      </c>
      <c r="C101" s="45" t="inlineStr">
        <is>
          <t>P1</t>
        </is>
      </c>
      <c r="D101" s="44" t="inlineStr">
        <is>
          <t>Incidents.Data</t>
        </is>
      </c>
      <c r="E101" s="44" t="inlineStr">
        <is>
          <t>Unicode + diacritics trong name</t>
        </is>
      </c>
      <c r="F101" s="41" t="inlineStr">
        <is>
          <t>REQ-INC-DATA-01</t>
        </is>
      </c>
      <c r="G101" s="41" t="inlineStr">
        <is>
          <t>i18n</t>
        </is>
      </c>
      <c r="H101" s="41" t="inlineStr">
        <is>
          <t>TB</t>
        </is>
      </c>
      <c r="I101" s="44" t="inlineStr"/>
      <c r="J101" s="44" t="inlineStr">
        <is>
          <t>1. name='Vụ trộm xe đạp ÀẢẠ'</t>
        </is>
      </c>
      <c r="K101" s="44" t="inlineStr"/>
      <c r="L101" s="44" t="inlineStr"/>
      <c r="M101" s="44" t="inlineStr"/>
      <c r="N101" s="44" t="inlineStr">
        <is>
          <t>201</t>
        </is>
      </c>
      <c r="O101" s="44" t="inlineStr"/>
      <c r="P101" s="41" t="inlineStr">
        <is>
          <t>Medium</t>
        </is>
      </c>
      <c r="Q101" s="44" t="inlineStr"/>
      <c r="R101" s="41" t="inlineStr"/>
      <c r="S101" s="41" t="inlineStr"/>
      <c r="T101" s="41" t="inlineStr"/>
      <c r="U101" s="41" t="inlineStr"/>
      <c r="V101" s="44" t="inlineStr"/>
      <c r="W101" s="41" t="inlineStr"/>
      <c r="X101" s="44" t="inlineStr"/>
    </row>
    <row r="102" ht="80" customHeight="1">
      <c r="A102" s="41" t="inlineStr">
        <is>
          <t>TC-099</t>
        </is>
      </c>
      <c r="B102" s="52" t="inlineStr">
        <is>
          <t>DATA</t>
        </is>
      </c>
      <c r="C102" s="45" t="inlineStr">
        <is>
          <t>P1</t>
        </is>
      </c>
      <c r="D102" s="44" t="inlineStr">
        <is>
          <t>Incidents.Data</t>
        </is>
      </c>
      <c r="E102" s="44" t="inlineStr">
        <is>
          <t>Trim space leading/trailing</t>
        </is>
      </c>
      <c r="F102" s="41" t="inlineStr">
        <is>
          <t>REQ-INC-DATA-02</t>
        </is>
      </c>
      <c r="G102" s="41" t="inlineStr">
        <is>
          <t>Sanitization</t>
        </is>
      </c>
      <c r="H102" s="41" t="inlineStr">
        <is>
          <t>Thấp</t>
        </is>
      </c>
      <c r="I102" s="44" t="inlineStr"/>
      <c r="J102" s="44" t="inlineStr">
        <is>
          <t>1. name='  abc  '</t>
        </is>
      </c>
      <c r="K102" s="44" t="inlineStr"/>
      <c r="L102" s="44" t="inlineStr"/>
      <c r="M102" s="44" t="inlineStr"/>
      <c r="N102" s="44" t="inlineStr">
        <is>
          <t>201 trimmed</t>
        </is>
      </c>
      <c r="O102" s="44" t="inlineStr"/>
      <c r="P102" s="41" t="inlineStr">
        <is>
          <t>Low</t>
        </is>
      </c>
      <c r="Q102" s="44" t="inlineStr"/>
      <c r="R102" s="41" t="inlineStr"/>
      <c r="S102" s="41" t="inlineStr"/>
      <c r="T102" s="41" t="inlineStr"/>
      <c r="U102" s="41" t="inlineStr"/>
      <c r="V102" s="44" t="inlineStr"/>
      <c r="W102" s="41" t="inlineStr"/>
      <c r="X102" s="44" t="inlineStr"/>
    </row>
    <row r="103" ht="80" customHeight="1">
      <c r="A103" s="41" t="inlineStr">
        <is>
          <t>TC-100</t>
        </is>
      </c>
      <c r="B103" s="52" t="inlineStr">
        <is>
          <t>DATA</t>
        </is>
      </c>
      <c r="C103" s="45" t="inlineStr">
        <is>
          <t>P1</t>
        </is>
      </c>
      <c r="D103" s="44" t="inlineStr">
        <is>
          <t>Incidents.Data</t>
        </is>
      </c>
      <c r="E103" s="44" t="inlineStr">
        <is>
          <t>Date format trả về UTC+7 frontend</t>
        </is>
      </c>
      <c r="F103" s="41" t="inlineStr">
        <is>
          <t>REQ-INC-DATA-03</t>
        </is>
      </c>
      <c r="G103" s="41" t="inlineStr">
        <is>
          <t>i18n</t>
        </is>
      </c>
      <c r="H103" s="41" t="inlineStr">
        <is>
          <t>Thấp</t>
        </is>
      </c>
      <c r="I103" s="44" t="inlineStr"/>
      <c r="J103" s="44" t="inlineStr">
        <is>
          <t>1. GET /incidents/X</t>
        </is>
      </c>
      <c r="K103" s="44" t="inlineStr"/>
      <c r="L103" s="44" t="inlineStr"/>
      <c r="M103" s="44" t="inlineStr">
        <is>
          <t>Hiển thị giờ VN</t>
        </is>
      </c>
      <c r="N103" s="44" t="inlineStr">
        <is>
          <t>deadline ISO</t>
        </is>
      </c>
      <c r="O103" s="44" t="inlineStr"/>
      <c r="P103" s="41" t="inlineStr">
        <is>
          <t>Medium</t>
        </is>
      </c>
      <c r="Q103" s="44" t="inlineStr"/>
      <c r="R103" s="41" t="inlineStr"/>
      <c r="S103" s="41" t="inlineStr"/>
      <c r="T103" s="41" t="inlineStr"/>
      <c r="U103" s="41" t="inlineStr"/>
      <c r="V103" s="44" t="inlineStr"/>
      <c r="W103" s="41" t="inlineStr"/>
      <c r="X103" s="44" t="inlineStr"/>
    </row>
    <row r="104" ht="80" customHeight="1">
      <c r="A104" s="41" t="inlineStr">
        <is>
          <t>TC-101</t>
        </is>
      </c>
      <c r="B104" s="52" t="inlineStr">
        <is>
          <t>DATA</t>
        </is>
      </c>
      <c r="C104" s="53" t="inlineStr">
        <is>
          <t>P2</t>
        </is>
      </c>
      <c r="D104" s="44" t="inlineStr">
        <is>
          <t>Incidents.Data</t>
        </is>
      </c>
      <c r="E104" s="44" t="inlineStr">
        <is>
          <t>Empty string vs null phân biệt</t>
        </is>
      </c>
      <c r="F104" s="41" t="inlineStr">
        <is>
          <t>REQ-INC-DATA-04</t>
        </is>
      </c>
      <c r="G104" s="41" t="inlineStr">
        <is>
          <t>Sanitization</t>
        </is>
      </c>
      <c r="H104" s="41" t="inlineStr">
        <is>
          <t>Thấp</t>
        </is>
      </c>
      <c r="I104" s="44" t="inlineStr"/>
      <c r="J104" s="44" t="inlineStr">
        <is>
          <t>1. description=''</t>
        </is>
      </c>
      <c r="K104" s="44" t="inlineStr"/>
      <c r="L104" s="44" t="inlineStr"/>
      <c r="M104" s="44" t="inlineStr"/>
      <c r="N104" s="44" t="inlineStr">
        <is>
          <t>201 null hoặc empty đồng nhất</t>
        </is>
      </c>
      <c r="O104" s="44" t="inlineStr"/>
      <c r="P104" s="41" t="inlineStr">
        <is>
          <t>Low</t>
        </is>
      </c>
      <c r="Q104" s="44" t="inlineStr"/>
      <c r="R104" s="41" t="inlineStr"/>
      <c r="S104" s="41" t="inlineStr"/>
      <c r="T104" s="41" t="inlineStr"/>
      <c r="U104" s="41" t="inlineStr"/>
      <c r="V104" s="44" t="inlineStr"/>
      <c r="W104" s="41" t="inlineStr"/>
      <c r="X104" s="44" t="inlineStr"/>
    </row>
    <row r="105" ht="80" customHeight="1">
      <c r="A105" s="41" t="inlineStr">
        <is>
          <t>TC-102</t>
        </is>
      </c>
      <c r="B105" s="52" t="inlineStr">
        <is>
          <t>DATA</t>
        </is>
      </c>
      <c r="C105" s="53" t="inlineStr">
        <is>
          <t>P2</t>
        </is>
      </c>
      <c r="D105" s="44" t="inlineStr">
        <is>
          <t>Incidents.Data</t>
        </is>
      </c>
      <c r="E105" s="44" t="inlineStr">
        <is>
          <t>Email format trong contact field</t>
        </is>
      </c>
      <c r="F105" s="41" t="inlineStr">
        <is>
          <t>REQ-INC-DATA-05</t>
        </is>
      </c>
      <c r="G105" s="41" t="inlineStr">
        <is>
          <t>Validation</t>
        </is>
      </c>
      <c r="H105" s="41" t="inlineStr">
        <is>
          <t>Thấp</t>
        </is>
      </c>
      <c r="I105" s="44" t="inlineStr"/>
      <c r="J105" s="44" t="inlineStr">
        <is>
          <t>1. invalid email format</t>
        </is>
      </c>
      <c r="K105" s="44" t="inlineStr"/>
      <c r="L105" s="44" t="inlineStr"/>
      <c r="M105" s="44" t="inlineStr"/>
      <c r="N105" s="44" t="inlineStr">
        <is>
          <t>400</t>
        </is>
      </c>
      <c r="O105" s="44" t="inlineStr"/>
      <c r="P105" s="41" t="inlineStr">
        <is>
          <t>Low</t>
        </is>
      </c>
      <c r="Q105" s="44" t="inlineStr"/>
      <c r="R105" s="41" t="inlineStr"/>
      <c r="S105" s="41" t="inlineStr"/>
      <c r="T105" s="41" t="inlineStr"/>
      <c r="U105" s="41" t="inlineStr"/>
      <c r="V105" s="44" t="inlineStr"/>
      <c r="W105" s="41" t="inlineStr"/>
      <c r="X105" s="44" t="inlineStr"/>
    </row>
    <row r="106" ht="80" customHeight="1">
      <c r="A106" s="41" t="inlineStr">
        <is>
          <t>TC-103</t>
        </is>
      </c>
      <c r="B106" s="54" t="inlineStr">
        <is>
          <t>EDGE</t>
        </is>
      </c>
      <c r="C106" s="45" t="inlineStr">
        <is>
          <t>P1</t>
        </is>
      </c>
      <c r="D106" s="44" t="inlineStr">
        <is>
          <t>Incidents.Race</t>
        </is>
      </c>
      <c r="E106" s="44" t="inlineStr">
        <is>
          <t>2 user concurrent prosecute cùng incident</t>
        </is>
      </c>
      <c r="F106" s="41" t="inlineStr">
        <is>
          <t>REQ-INC-EDGE-01</t>
        </is>
      </c>
      <c r="G106" s="41" t="inlineStr">
        <is>
          <t>Race</t>
        </is>
      </c>
      <c r="H106" s="41" t="inlineStr">
        <is>
          <t>Cao</t>
        </is>
      </c>
      <c r="I106" s="44" t="inlineStr"/>
      <c r="J106" s="44" t="inlineStr">
        <is>
          <t>1. Concurrent POST /prosecute</t>
        </is>
      </c>
      <c r="K106" s="44" t="inlineStr"/>
      <c r="L106" s="44" t="inlineStr"/>
      <c r="M106" s="44" t="inlineStr"/>
      <c r="N106" s="44" t="inlineStr">
        <is>
          <t>1 thành công, 1 409/422</t>
        </is>
      </c>
      <c r="O106" s="44" t="inlineStr">
        <is>
          <t>Không tạo 2 Case</t>
        </is>
      </c>
      <c r="P106" s="41" t="inlineStr">
        <is>
          <t>Critical</t>
        </is>
      </c>
      <c r="Q106" s="44" t="inlineStr"/>
      <c r="R106" s="41" t="inlineStr"/>
      <c r="S106" s="41" t="inlineStr"/>
      <c r="T106" s="41" t="inlineStr"/>
      <c r="U106" s="41" t="inlineStr"/>
      <c r="V106" s="44" t="inlineStr"/>
      <c r="W106" s="41" t="inlineStr"/>
      <c r="X106" s="44" t="inlineStr"/>
    </row>
    <row r="107" ht="80" customHeight="1">
      <c r="A107" s="41" t="inlineStr">
        <is>
          <t>TC-104</t>
        </is>
      </c>
      <c r="B107" s="54" t="inlineStr">
        <is>
          <t>EDGE</t>
        </is>
      </c>
      <c r="C107" s="45" t="inlineStr">
        <is>
          <t>P1</t>
        </is>
      </c>
      <c r="D107" s="44" t="inlineStr">
        <is>
          <t>Incidents.Merge</t>
        </is>
      </c>
      <c r="E107" s="44" t="inlineStr">
        <is>
          <t>Merge khi target đang được edit</t>
        </is>
      </c>
      <c r="F107" s="41" t="inlineStr">
        <is>
          <t>REQ-INC-EDGE-02</t>
        </is>
      </c>
      <c r="G107" s="41" t="inlineStr">
        <is>
          <t>Race</t>
        </is>
      </c>
      <c r="H107" s="41" t="inlineStr">
        <is>
          <t>TB</t>
        </is>
      </c>
      <c r="I107" s="44" t="inlineStr"/>
      <c r="J107" s="44" t="inlineStr">
        <is>
          <t>1. Merge song song edit target</t>
        </is>
      </c>
      <c r="K107" s="44" t="inlineStr"/>
      <c r="L107" s="44" t="inlineStr"/>
      <c r="M107" s="44" t="inlineStr"/>
      <c r="N107" s="44" t="inlineStr">
        <is>
          <t>409</t>
        </is>
      </c>
      <c r="O107" s="44" t="inlineStr"/>
      <c r="P107" s="41" t="inlineStr">
        <is>
          <t>High</t>
        </is>
      </c>
      <c r="Q107" s="44" t="inlineStr"/>
      <c r="R107" s="41" t="inlineStr"/>
      <c r="S107" s="41" t="inlineStr"/>
      <c r="T107" s="41" t="inlineStr"/>
      <c r="U107" s="41" t="inlineStr"/>
      <c r="V107" s="44" t="inlineStr"/>
      <c r="W107" s="41" t="inlineStr"/>
      <c r="X107" s="44" t="inlineStr"/>
    </row>
    <row r="108" ht="80" customHeight="1">
      <c r="A108" s="41" t="inlineStr">
        <is>
          <t>TC-105</t>
        </is>
      </c>
      <c r="B108" s="54" t="inlineStr">
        <is>
          <t>EDGE</t>
        </is>
      </c>
      <c r="C108" s="53" t="inlineStr">
        <is>
          <t>P2</t>
        </is>
      </c>
      <c r="D108" s="44" t="inlineStr">
        <is>
          <t>Incidents.Read</t>
        </is>
      </c>
      <c r="E108" s="44" t="inlineStr">
        <is>
          <t>Stats khi DB rỗng</t>
        </is>
      </c>
      <c r="F108" s="41" t="inlineStr">
        <is>
          <t>REQ-INC-EDGE-03</t>
        </is>
      </c>
      <c r="G108" s="41" t="inlineStr">
        <is>
          <t>Empty</t>
        </is>
      </c>
      <c r="H108" s="41" t="inlineStr">
        <is>
          <t>Thấp</t>
        </is>
      </c>
      <c r="I108" s="44" t="inlineStr"/>
      <c r="J108" s="44" t="inlineStr">
        <is>
          <t>1. GET /stats</t>
        </is>
      </c>
      <c r="K108" s="44" t="inlineStr"/>
      <c r="L108" s="44" t="inlineStr"/>
      <c r="M108" s="44" t="inlineStr">
        <is>
          <t>All chips=0</t>
        </is>
      </c>
      <c r="N108" s="44" t="inlineStr">
        <is>
          <t>200 mọi key=0</t>
        </is>
      </c>
      <c r="O108" s="44" t="inlineStr"/>
      <c r="P108" s="41" t="inlineStr">
        <is>
          <t>Low</t>
        </is>
      </c>
      <c r="Q108" s="44" t="inlineStr"/>
      <c r="R108" s="41" t="inlineStr"/>
      <c r="S108" s="41" t="inlineStr"/>
      <c r="T108" s="41" t="inlineStr"/>
      <c r="U108" s="41" t="inlineStr"/>
      <c r="V108" s="44" t="inlineStr"/>
      <c r="W108" s="41" t="inlineStr"/>
      <c r="X108" s="44" t="inlineStr"/>
    </row>
    <row r="109" ht="80" customHeight="1">
      <c r="A109" s="41" t="inlineStr">
        <is>
          <t>TC-106</t>
        </is>
      </c>
      <c r="B109" s="55" t="inlineStr">
        <is>
          <t>A11Y</t>
        </is>
      </c>
      <c r="C109" s="45" t="inlineStr">
        <is>
          <t>P1</t>
        </is>
      </c>
      <c r="D109" s="44" t="inlineStr">
        <is>
          <t>Incidents.UI</t>
        </is>
      </c>
      <c r="E109" s="44" t="inlineStr">
        <is>
          <t>Form keyboard navigation</t>
        </is>
      </c>
      <c r="F109" s="41" t="inlineStr">
        <is>
          <t>REQ-INC-A11Y-01</t>
        </is>
      </c>
      <c r="G109" s="41" t="inlineStr">
        <is>
          <t>WCAG 2.1.1</t>
        </is>
      </c>
      <c r="H109" s="41" t="inlineStr">
        <is>
          <t>TB</t>
        </is>
      </c>
      <c r="I109" s="44" t="inlineStr"/>
      <c r="J109" s="44" t="inlineStr">
        <is>
          <t>1. Tab xuyên form</t>
        </is>
      </c>
      <c r="K109" s="44" t="inlineStr"/>
      <c r="L109" s="44" t="inlineStr"/>
      <c r="M109" s="44" t="inlineStr">
        <is>
          <t>Focus ring</t>
        </is>
      </c>
      <c r="N109" s="44" t="inlineStr"/>
      <c r="O109" s="44" t="inlineStr"/>
      <c r="P109" s="41" t="inlineStr">
        <is>
          <t>High</t>
        </is>
      </c>
      <c r="Q109" s="44" t="inlineStr"/>
      <c r="R109" s="41" t="inlineStr"/>
      <c r="S109" s="41" t="inlineStr"/>
      <c r="T109" s="41" t="inlineStr"/>
      <c r="U109" s="41" t="inlineStr"/>
      <c r="V109" s="44" t="inlineStr"/>
      <c r="W109" s="41" t="inlineStr"/>
      <c r="X109" s="44" t="inlineStr"/>
    </row>
    <row r="110" ht="80" customHeight="1">
      <c r="A110" s="41" t="inlineStr">
        <is>
          <t>TC-107</t>
        </is>
      </c>
      <c r="B110" s="55" t="inlineStr">
        <is>
          <t>A11Y</t>
        </is>
      </c>
      <c r="C110" s="45" t="inlineStr">
        <is>
          <t>P1</t>
        </is>
      </c>
      <c r="D110" s="44" t="inlineStr">
        <is>
          <t>Incidents.UI</t>
        </is>
      </c>
      <c r="E110" s="44" t="inlineStr">
        <is>
          <t>Label đầy đủ cho enum select</t>
        </is>
      </c>
      <c r="F110" s="41" t="inlineStr">
        <is>
          <t>REQ-INC-A11Y-02</t>
        </is>
      </c>
      <c r="G110" s="41" t="inlineStr">
        <is>
          <t>WCAG 1.3.1</t>
        </is>
      </c>
      <c r="H110" s="41" t="inlineStr">
        <is>
          <t>TB</t>
        </is>
      </c>
      <c r="I110" s="44" t="inlineStr"/>
      <c r="J110" s="44" t="inlineStr"/>
      <c r="K110" s="44" t="inlineStr"/>
      <c r="L110" s="44" t="inlineStr"/>
      <c r="M110" s="44" t="inlineStr">
        <is>
          <t>&lt;label htmlFor&gt;</t>
        </is>
      </c>
      <c r="N110" s="44" t="inlineStr"/>
      <c r="O110" s="44" t="inlineStr"/>
      <c r="P110" s="41" t="inlineStr">
        <is>
          <t>High</t>
        </is>
      </c>
      <c r="Q110" s="44" t="inlineStr"/>
      <c r="R110" s="41" t="inlineStr"/>
      <c r="S110" s="41" t="inlineStr"/>
      <c r="T110" s="41" t="inlineStr"/>
      <c r="U110" s="41" t="inlineStr"/>
      <c r="V110" s="44" t="inlineStr"/>
      <c r="W110" s="41" t="inlineStr"/>
      <c r="X110" s="44" t="inlineStr"/>
    </row>
    <row r="111" ht="80" customHeight="1">
      <c r="A111" s="41" t="inlineStr">
        <is>
          <t>TC-108</t>
        </is>
      </c>
      <c r="B111" s="55" t="inlineStr">
        <is>
          <t>A11Y</t>
        </is>
      </c>
      <c r="C111" s="45" t="inlineStr">
        <is>
          <t>P1</t>
        </is>
      </c>
      <c r="D111" s="44" t="inlineStr">
        <is>
          <t>Incidents.UI</t>
        </is>
      </c>
      <c r="E111" s="44" t="inlineStr">
        <is>
          <t>Contrast 14 status badge ≥ 4.5:1</t>
        </is>
      </c>
      <c r="F111" s="41" t="inlineStr">
        <is>
          <t>REQ-INC-A11Y-03</t>
        </is>
      </c>
      <c r="G111" s="41" t="inlineStr">
        <is>
          <t>WCAG 1.4.3</t>
        </is>
      </c>
      <c r="H111" s="41" t="inlineStr">
        <is>
          <t>TB</t>
        </is>
      </c>
      <c r="I111" s="44" t="inlineStr"/>
      <c r="J111" s="44" t="inlineStr"/>
      <c r="K111" s="44" t="inlineStr"/>
      <c r="L111" s="44" t="inlineStr"/>
      <c r="M111" s="44" t="inlineStr">
        <is>
          <t>Pass AA</t>
        </is>
      </c>
      <c r="N111" s="44" t="inlineStr"/>
      <c r="O111" s="44" t="inlineStr"/>
      <c r="P111" s="41" t="inlineStr">
        <is>
          <t>Medium</t>
        </is>
      </c>
      <c r="Q111" s="44" t="inlineStr"/>
      <c r="R111" s="41" t="inlineStr"/>
      <c r="S111" s="41" t="inlineStr"/>
      <c r="T111" s="41" t="inlineStr"/>
      <c r="U111" s="41" t="inlineStr"/>
      <c r="V111" s="44" t="inlineStr"/>
      <c r="W111" s="41" t="inlineStr"/>
      <c r="X111" s="44" t="inlineStr"/>
    </row>
    <row r="112" ht="80" customHeight="1">
      <c r="A112" s="41" t="inlineStr">
        <is>
          <t>TC-109</t>
        </is>
      </c>
      <c r="B112" s="55" t="inlineStr">
        <is>
          <t>A11Y</t>
        </is>
      </c>
      <c r="C112" s="53" t="inlineStr">
        <is>
          <t>P2</t>
        </is>
      </c>
      <c r="D112" s="44" t="inlineStr">
        <is>
          <t>Incidents.UI</t>
        </is>
      </c>
      <c r="E112" s="44" t="inlineStr">
        <is>
          <t>Confirm dialog merge có aria-modal</t>
        </is>
      </c>
      <c r="F112" s="41" t="inlineStr">
        <is>
          <t>REQ-INC-A11Y-04</t>
        </is>
      </c>
      <c r="G112" s="41" t="inlineStr">
        <is>
          <t>WCAG 4.1.3</t>
        </is>
      </c>
      <c r="H112" s="41" t="inlineStr">
        <is>
          <t>Thấp</t>
        </is>
      </c>
      <c r="I112" s="44" t="inlineStr"/>
      <c r="J112" s="44" t="inlineStr"/>
      <c r="K112" s="44" t="inlineStr"/>
      <c r="L112" s="44" t="inlineStr"/>
      <c r="M112" s="44" t="inlineStr"/>
      <c r="N112" s="44" t="inlineStr"/>
      <c r="O112" s="44" t="inlineStr"/>
      <c r="P112" s="41" t="inlineStr">
        <is>
          <t>Medium</t>
        </is>
      </c>
      <c r="Q112" s="44" t="inlineStr"/>
      <c r="R112" s="41" t="inlineStr"/>
      <c r="S112" s="41" t="inlineStr"/>
      <c r="T112" s="41" t="inlineStr"/>
      <c r="U112" s="41" t="inlineStr"/>
      <c r="V112" s="44" t="inlineStr"/>
      <c r="W112" s="41" t="inlineStr"/>
      <c r="X112" s="44" t="inlineStr"/>
    </row>
    <row r="113" ht="80" customHeight="1">
      <c r="A113" s="41" t="inlineStr">
        <is>
          <t>TC-110</t>
        </is>
      </c>
      <c r="B113" s="55" t="inlineStr">
        <is>
          <t>A11Y</t>
        </is>
      </c>
      <c r="C113" s="53" t="inlineStr">
        <is>
          <t>P2</t>
        </is>
      </c>
      <c r="D113" s="44" t="inlineStr">
        <is>
          <t>Incidents.UI</t>
        </is>
      </c>
      <c r="E113" s="44" t="inlineStr">
        <is>
          <t>Error live region announce</t>
        </is>
      </c>
      <c r="F113" s="41" t="inlineStr">
        <is>
          <t>REQ-INC-A11Y-05</t>
        </is>
      </c>
      <c r="G113" s="41" t="inlineStr">
        <is>
          <t>WCAG 4.1.3</t>
        </is>
      </c>
      <c r="H113" s="41" t="inlineStr">
        <is>
          <t>Thấp</t>
        </is>
      </c>
      <c r="I113" s="44" t="inlineStr"/>
      <c r="J113" s="44" t="inlineStr"/>
      <c r="K113" s="44" t="inlineStr"/>
      <c r="L113" s="44" t="inlineStr"/>
      <c r="M113" s="44" t="inlineStr">
        <is>
          <t>aria-live=assertive cho server error</t>
        </is>
      </c>
      <c r="N113" s="44" t="inlineStr"/>
      <c r="O113" s="44" t="inlineStr"/>
      <c r="P113" s="41" t="inlineStr">
        <is>
          <t>Medium</t>
        </is>
      </c>
      <c r="Q113" s="44" t="inlineStr"/>
      <c r="R113" s="41" t="inlineStr"/>
      <c r="S113" s="41" t="inlineStr"/>
      <c r="T113" s="41" t="inlineStr"/>
      <c r="U113" s="41" t="inlineStr"/>
      <c r="V113" s="44" t="inlineStr"/>
      <c r="W113" s="41" t="inlineStr"/>
      <c r="X113" s="44" t="inlineStr"/>
    </row>
    <row r="114" ht="80" customHeight="1">
      <c r="A114" s="41" t="inlineStr">
        <is>
          <t>TC-111</t>
        </is>
      </c>
      <c r="B114" s="55" t="inlineStr">
        <is>
          <t>A11Y</t>
        </is>
      </c>
      <c r="C114" s="53" t="inlineStr">
        <is>
          <t>P2</t>
        </is>
      </c>
      <c r="D114" s="44" t="inlineStr">
        <is>
          <t>Incidents.UI</t>
        </is>
      </c>
      <c r="E114" s="44" t="inlineStr">
        <is>
          <t>Icon-only buttons có aria-label</t>
        </is>
      </c>
      <c r="F114" s="41" t="inlineStr">
        <is>
          <t>REQ-INC-A11Y-06</t>
        </is>
      </c>
      <c r="G114" s="41" t="inlineStr">
        <is>
          <t>WCAG 4.1.2</t>
        </is>
      </c>
      <c r="H114" s="41" t="inlineStr">
        <is>
          <t>Thấp</t>
        </is>
      </c>
      <c r="I114" s="44" t="inlineStr"/>
      <c r="J114" s="44" t="inlineStr"/>
      <c r="K114" s="44" t="inlineStr"/>
      <c r="L114" s="44" t="inlineStr"/>
      <c r="M114" s="44" t="inlineStr"/>
      <c r="N114" s="44" t="inlineStr"/>
      <c r="O114" s="44" t="inlineStr"/>
      <c r="P114" s="41" t="inlineStr">
        <is>
          <t>Medium</t>
        </is>
      </c>
      <c r="Q114" s="44" t="inlineStr"/>
      <c r="R114" s="41" t="inlineStr"/>
      <c r="S114" s="41" t="inlineStr"/>
      <c r="T114" s="41" t="inlineStr"/>
      <c r="U114" s="41" t="inlineStr"/>
      <c r="V114" s="44" t="inlineStr"/>
      <c r="W114" s="41" t="inlineStr"/>
      <c r="X114" s="44" t="inlineStr"/>
    </row>
    <row r="115" ht="80" customHeight="1">
      <c r="A115" s="41" t="inlineStr">
        <is>
          <t>TC-112</t>
        </is>
      </c>
      <c r="B115" s="56" t="inlineStr">
        <is>
          <t>COMPAT</t>
        </is>
      </c>
      <c r="C115" s="45" t="inlineStr">
        <is>
          <t>P1</t>
        </is>
      </c>
      <c r="D115" s="44" t="inlineStr">
        <is>
          <t>Incidents.UI</t>
        </is>
      </c>
      <c r="E115" s="44" t="inlineStr">
        <is>
          <t>Chrome 130 Win</t>
        </is>
      </c>
      <c r="F115" s="41" t="inlineStr">
        <is>
          <t>REQ-INC-COMPAT-01</t>
        </is>
      </c>
      <c r="G115" s="41" t="inlineStr">
        <is>
          <t>Cross-browser</t>
        </is>
      </c>
      <c r="H115" s="41" t="inlineStr">
        <is>
          <t>TB</t>
        </is>
      </c>
      <c r="I115" s="44" t="inlineStr"/>
      <c r="J115" s="44" t="inlineStr"/>
      <c r="K115" s="44" t="inlineStr"/>
      <c r="L115" s="44" t="inlineStr"/>
      <c r="M115" s="44" t="inlineStr"/>
      <c r="N115" s="44" t="inlineStr"/>
      <c r="O115" s="44" t="inlineStr"/>
      <c r="P115" s="41" t="inlineStr">
        <is>
          <t>High</t>
        </is>
      </c>
      <c r="Q115" s="44" t="inlineStr"/>
      <c r="R115" s="41" t="inlineStr"/>
      <c r="S115" s="41" t="inlineStr"/>
      <c r="T115" s="41" t="inlineStr"/>
      <c r="U115" s="41" t="inlineStr"/>
      <c r="V115" s="44" t="inlineStr"/>
      <c r="W115" s="41" t="inlineStr"/>
      <c r="X115" s="44" t="inlineStr"/>
    </row>
    <row r="116" ht="80" customHeight="1">
      <c r="A116" s="41" t="inlineStr">
        <is>
          <t>TC-113</t>
        </is>
      </c>
      <c r="B116" s="56" t="inlineStr">
        <is>
          <t>COMPAT</t>
        </is>
      </c>
      <c r="C116" s="45" t="inlineStr">
        <is>
          <t>P1</t>
        </is>
      </c>
      <c r="D116" s="44" t="inlineStr">
        <is>
          <t>Incidents.UI</t>
        </is>
      </c>
      <c r="E116" s="44" t="inlineStr">
        <is>
          <t>Firefox 130 macOS</t>
        </is>
      </c>
      <c r="F116" s="41" t="inlineStr">
        <is>
          <t>REQ-INC-COMPAT-02</t>
        </is>
      </c>
      <c r="G116" s="41" t="inlineStr">
        <is>
          <t>Cross-browser</t>
        </is>
      </c>
      <c r="H116" s="41" t="inlineStr">
        <is>
          <t>TB</t>
        </is>
      </c>
      <c r="I116" s="44" t="inlineStr"/>
      <c r="J116" s="44" t="inlineStr"/>
      <c r="K116" s="44" t="inlineStr"/>
      <c r="L116" s="44" t="inlineStr"/>
      <c r="M116" s="44" t="inlineStr"/>
      <c r="N116" s="44" t="inlineStr"/>
      <c r="O116" s="44" t="inlineStr"/>
      <c r="P116" s="41" t="inlineStr">
        <is>
          <t>Medium</t>
        </is>
      </c>
      <c r="Q116" s="44" t="inlineStr"/>
      <c r="R116" s="41" t="inlineStr"/>
      <c r="S116" s="41" t="inlineStr"/>
      <c r="T116" s="41" t="inlineStr"/>
      <c r="U116" s="41" t="inlineStr"/>
      <c r="V116" s="44" t="inlineStr"/>
      <c r="W116" s="41" t="inlineStr"/>
      <c r="X116" s="44" t="inlineStr"/>
    </row>
    <row r="117" ht="80" customHeight="1">
      <c r="A117" s="41" t="inlineStr">
        <is>
          <t>TC-114</t>
        </is>
      </c>
      <c r="B117" s="56" t="inlineStr">
        <is>
          <t>COMPAT</t>
        </is>
      </c>
      <c r="C117" s="45" t="inlineStr">
        <is>
          <t>P1</t>
        </is>
      </c>
      <c r="D117" s="44" t="inlineStr">
        <is>
          <t>Incidents.UI</t>
        </is>
      </c>
      <c r="E117" s="44" t="inlineStr">
        <is>
          <t>Edge 130</t>
        </is>
      </c>
      <c r="F117" s="41" t="inlineStr">
        <is>
          <t>REQ-INC-COMPAT-03</t>
        </is>
      </c>
      <c r="G117" s="41" t="inlineStr">
        <is>
          <t>Cross-browser</t>
        </is>
      </c>
      <c r="H117" s="41" t="inlineStr">
        <is>
          <t>TB</t>
        </is>
      </c>
      <c r="I117" s="44" t="inlineStr"/>
      <c r="J117" s="44" t="inlineStr"/>
      <c r="K117" s="44" t="inlineStr"/>
      <c r="L117" s="44" t="inlineStr"/>
      <c r="M117" s="44" t="inlineStr"/>
      <c r="N117" s="44" t="inlineStr"/>
      <c r="O117" s="44" t="inlineStr"/>
      <c r="P117" s="41" t="inlineStr">
        <is>
          <t>Medium</t>
        </is>
      </c>
      <c r="Q117" s="44" t="inlineStr"/>
      <c r="R117" s="41" t="inlineStr"/>
      <c r="S117" s="41" t="inlineStr"/>
      <c r="T117" s="41" t="inlineStr"/>
      <c r="U117" s="41" t="inlineStr"/>
      <c r="V117" s="44" t="inlineStr"/>
      <c r="W117" s="41" t="inlineStr"/>
      <c r="X117" s="44" t="inlineStr"/>
    </row>
    <row r="118" ht="80" customHeight="1">
      <c r="A118" s="41" t="inlineStr">
        <is>
          <t>TC-115</t>
        </is>
      </c>
      <c r="B118" s="56" t="inlineStr">
        <is>
          <t>COMPAT</t>
        </is>
      </c>
      <c r="C118" s="45" t="inlineStr">
        <is>
          <t>P1</t>
        </is>
      </c>
      <c r="D118" s="44" t="inlineStr">
        <is>
          <t>Incidents.UI</t>
        </is>
      </c>
      <c r="E118" s="44" t="inlineStr">
        <is>
          <t>Safari iOS</t>
        </is>
      </c>
      <c r="F118" s="41" t="inlineStr">
        <is>
          <t>REQ-INC-COMPAT-04</t>
        </is>
      </c>
      <c r="G118" s="41" t="inlineStr">
        <is>
          <t>Cross-browser</t>
        </is>
      </c>
      <c r="H118" s="41" t="inlineStr">
        <is>
          <t>TB</t>
        </is>
      </c>
      <c r="I118" s="44" t="inlineStr"/>
      <c r="J118" s="44" t="inlineStr"/>
      <c r="K118" s="44" t="inlineStr"/>
      <c r="L118" s="44" t="inlineStr"/>
      <c r="M118" s="44" t="inlineStr"/>
      <c r="N118" s="44" t="inlineStr"/>
      <c r="O118" s="44" t="inlineStr"/>
      <c r="P118" s="41" t="inlineStr">
        <is>
          <t>Medium</t>
        </is>
      </c>
      <c r="Q118" s="44" t="inlineStr"/>
      <c r="R118" s="41" t="inlineStr"/>
      <c r="S118" s="41" t="inlineStr"/>
      <c r="T118" s="41" t="inlineStr"/>
      <c r="U118" s="41" t="inlineStr"/>
      <c r="V118" s="44" t="inlineStr"/>
      <c r="W118" s="41" t="inlineStr"/>
      <c r="X118" s="44" t="inlineStr"/>
    </row>
    <row r="119" ht="80" customHeight="1">
      <c r="A119" s="41" t="inlineStr">
        <is>
          <t>TC-116</t>
        </is>
      </c>
      <c r="B119" s="56" t="inlineStr">
        <is>
          <t>COMPAT</t>
        </is>
      </c>
      <c r="C119" s="45" t="inlineStr">
        <is>
          <t>P1</t>
        </is>
      </c>
      <c r="D119" s="44" t="inlineStr">
        <is>
          <t>Incidents.UI</t>
        </is>
      </c>
      <c r="E119" s="44" t="inlineStr">
        <is>
          <t>Mobile 375x667</t>
        </is>
      </c>
      <c r="F119" s="41" t="inlineStr">
        <is>
          <t>REQ-INC-COMPAT-05</t>
        </is>
      </c>
      <c r="G119" s="41" t="inlineStr">
        <is>
          <t>Responsive</t>
        </is>
      </c>
      <c r="H119" s="41" t="inlineStr">
        <is>
          <t>TB</t>
        </is>
      </c>
      <c r="I119" s="44" t="inlineStr"/>
      <c r="J119" s="44" t="inlineStr"/>
      <c r="K119" s="44" t="inlineStr"/>
      <c r="L119" s="44" t="inlineStr"/>
      <c r="M119" s="44" t="inlineStr">
        <is>
          <t>Drawer + form fits</t>
        </is>
      </c>
      <c r="N119" s="44" t="inlineStr"/>
      <c r="O119" s="44" t="inlineStr"/>
      <c r="P119" s="41" t="inlineStr">
        <is>
          <t>High</t>
        </is>
      </c>
      <c r="Q119" s="44" t="inlineStr"/>
      <c r="R119" s="41" t="inlineStr"/>
      <c r="S119" s="41" t="inlineStr"/>
      <c r="T119" s="41" t="inlineStr"/>
      <c r="U119" s="41" t="inlineStr"/>
      <c r="V119" s="44" t="inlineStr"/>
      <c r="W119" s="41" t="inlineStr"/>
      <c r="X119" s="44" t="inlineStr"/>
    </row>
    <row r="120" ht="80" customHeight="1">
      <c r="A120" s="41" t="inlineStr">
        <is>
          <t>TC-117</t>
        </is>
      </c>
      <c r="B120" s="56" t="inlineStr">
        <is>
          <t>COMPAT</t>
        </is>
      </c>
      <c r="C120" s="53" t="inlineStr">
        <is>
          <t>P2</t>
        </is>
      </c>
      <c r="D120" s="44" t="inlineStr">
        <is>
          <t>Incidents.UI</t>
        </is>
      </c>
      <c r="E120" s="44" t="inlineStr">
        <is>
          <t>Tablet 768x1024</t>
        </is>
      </c>
      <c r="F120" s="41" t="inlineStr">
        <is>
          <t>REQ-INC-COMPAT-06</t>
        </is>
      </c>
      <c r="G120" s="41" t="inlineStr">
        <is>
          <t>Responsive</t>
        </is>
      </c>
      <c r="H120" s="41" t="inlineStr">
        <is>
          <t>Thấp</t>
        </is>
      </c>
      <c r="I120" s="44" t="inlineStr"/>
      <c r="J120" s="44" t="inlineStr"/>
      <c r="K120" s="44" t="inlineStr"/>
      <c r="L120" s="44" t="inlineStr"/>
      <c r="M120" s="44" t="inlineStr"/>
      <c r="N120" s="44" t="inlineStr"/>
      <c r="O120" s="44" t="inlineStr"/>
      <c r="P120" s="41" t="inlineStr">
        <is>
          <t>Low</t>
        </is>
      </c>
      <c r="Q120" s="44" t="inlineStr"/>
      <c r="R120" s="41" t="inlineStr"/>
      <c r="S120" s="41" t="inlineStr"/>
      <c r="T120" s="41" t="inlineStr"/>
      <c r="U120" s="41" t="inlineStr"/>
      <c r="V120" s="44" t="inlineStr"/>
      <c r="W120" s="41" t="inlineStr"/>
      <c r="X120" s="44" t="inlineStr"/>
    </row>
    <row r="121" ht="80" customHeight="1">
      <c r="A121" s="41" t="inlineStr">
        <is>
          <t>TC-118</t>
        </is>
      </c>
      <c r="B121" s="57" t="inlineStr">
        <is>
          <t>PERFORMANCE</t>
        </is>
      </c>
      <c r="C121" s="43" t="inlineStr">
        <is>
          <t>P0</t>
        </is>
      </c>
      <c r="D121" s="44" t="inlineStr">
        <is>
          <t>Incidents.Perf</t>
        </is>
      </c>
      <c r="E121" s="44" t="inlineStr">
        <is>
          <t>List 1000 incident &lt; 2s</t>
        </is>
      </c>
      <c r="F121" s="41" t="inlineStr">
        <is>
          <t>REQ-INC-PERF-01</t>
        </is>
      </c>
      <c r="G121" s="41" t="inlineStr">
        <is>
          <t>Performance</t>
        </is>
      </c>
      <c r="H121" s="41" t="inlineStr">
        <is>
          <t>Cao</t>
        </is>
      </c>
      <c r="I121" s="44" t="inlineStr">
        <is>
          <t>Seed 1000</t>
        </is>
      </c>
      <c r="J121" s="44" t="inlineStr">
        <is>
          <t>1. GET /incidents?limit=100</t>
        </is>
      </c>
      <c r="K121" s="44" t="inlineStr"/>
      <c r="L121" s="44" t="inlineStr"/>
      <c r="M121" s="44" t="inlineStr"/>
      <c r="N121" s="44" t="inlineStr">
        <is>
          <t>P95 &lt; 2s</t>
        </is>
      </c>
      <c r="O121" s="44" t="inlineStr"/>
      <c r="P121" s="41" t="inlineStr">
        <is>
          <t>High</t>
        </is>
      </c>
      <c r="Q121" s="44" t="inlineStr"/>
      <c r="R121" s="41" t="inlineStr"/>
      <c r="S121" s="41" t="inlineStr"/>
      <c r="T121" s="41" t="inlineStr"/>
      <c r="U121" s="41" t="inlineStr"/>
      <c r="V121" s="44" t="inlineStr"/>
      <c r="W121" s="41" t="inlineStr"/>
      <c r="X121" s="44" t="inlineStr"/>
    </row>
    <row r="122" ht="80" customHeight="1">
      <c r="A122" s="41" t="inlineStr">
        <is>
          <t>TC-119</t>
        </is>
      </c>
      <c r="B122" s="57" t="inlineStr">
        <is>
          <t>PERFORMANCE</t>
        </is>
      </c>
      <c r="C122" s="45" t="inlineStr">
        <is>
          <t>P1</t>
        </is>
      </c>
      <c r="D122" s="44" t="inlineStr">
        <is>
          <t>Incidents.Perf</t>
        </is>
      </c>
      <c r="E122" s="44" t="inlineStr">
        <is>
          <t>50 concurrent stats</t>
        </is>
      </c>
      <c r="F122" s="41" t="inlineStr">
        <is>
          <t>REQ-INC-PERF-02</t>
        </is>
      </c>
      <c r="G122" s="41" t="inlineStr">
        <is>
          <t>Load</t>
        </is>
      </c>
      <c r="H122" s="41" t="inlineStr">
        <is>
          <t>TB</t>
        </is>
      </c>
      <c r="I122" s="44" t="inlineStr"/>
      <c r="J122" s="44" t="inlineStr">
        <is>
          <t>1. K6 50 VU</t>
        </is>
      </c>
      <c r="K122" s="44" t="inlineStr"/>
      <c r="L122" s="44" t="inlineStr"/>
      <c r="M122" s="44" t="inlineStr"/>
      <c r="N122" s="44" t="inlineStr">
        <is>
          <t>P95 &lt; 1s</t>
        </is>
      </c>
      <c r="O122" s="44" t="inlineStr"/>
      <c r="P122" s="41" t="inlineStr">
        <is>
          <t>High</t>
        </is>
      </c>
      <c r="Q122" s="44" t="inlineStr"/>
      <c r="R122" s="41" t="inlineStr"/>
      <c r="S122" s="41" t="inlineStr"/>
      <c r="T122" s="41" t="inlineStr"/>
      <c r="U122" s="41" t="inlineStr"/>
      <c r="V122" s="44" t="inlineStr"/>
      <c r="W122" s="41" t="inlineStr"/>
      <c r="X122" s="44" t="inlineStr"/>
    </row>
    <row r="123" ht="80" customHeight="1">
      <c r="A123" s="41" t="inlineStr">
        <is>
          <t>TC-120</t>
        </is>
      </c>
      <c r="B123" s="57" t="inlineStr">
        <is>
          <t>PERFORMANCE</t>
        </is>
      </c>
      <c r="C123" s="53" t="inlineStr">
        <is>
          <t>P2</t>
        </is>
      </c>
      <c r="D123" s="44" t="inlineStr">
        <is>
          <t>Incidents.Perf</t>
        </is>
      </c>
      <c r="E123" s="44" t="inlineStr">
        <is>
          <t>Export ward 2000 record</t>
        </is>
      </c>
      <c r="F123" s="41" t="inlineStr">
        <is>
          <t>REQ-INC-PERF-03</t>
        </is>
      </c>
      <c r="G123" s="41" t="inlineStr">
        <is>
          <t>Stress</t>
        </is>
      </c>
      <c r="H123" s="41" t="inlineStr">
        <is>
          <t>TB</t>
        </is>
      </c>
      <c r="I123" s="44" t="inlineStr"/>
      <c r="J123" s="44" t="inlineStr">
        <is>
          <t>1. GET /export/ward</t>
        </is>
      </c>
      <c r="K123" s="44" t="inlineStr"/>
      <c r="L123" s="44" t="inlineStr"/>
      <c r="M123" s="44" t="inlineStr"/>
      <c r="N123" s="44" t="inlineStr">
        <is>
          <t>200, &lt; 30s</t>
        </is>
      </c>
      <c r="O123" s="44" t="inlineStr"/>
      <c r="P123" s="41" t="inlineStr">
        <is>
          <t>Medium</t>
        </is>
      </c>
      <c r="Q123" s="44" t="inlineStr"/>
      <c r="R123" s="41" t="inlineStr"/>
      <c r="S123" s="41" t="inlineStr"/>
      <c r="T123" s="41" t="inlineStr"/>
      <c r="U123" s="41" t="inlineStr"/>
      <c r="V123" s="44" t="inlineStr"/>
      <c r="W123" s="41" t="inlineStr"/>
      <c r="X123" s="44" t="inlineStr"/>
    </row>
    <row r="124" ht="80" customHeight="1">
      <c r="A124" s="41" t="inlineStr">
        <is>
          <t>TC-121</t>
        </is>
      </c>
      <c r="B124" s="58" t="inlineStr">
        <is>
          <t>INTEGRATION</t>
        </is>
      </c>
      <c r="C124" s="43" t="inlineStr">
        <is>
          <t>P0</t>
        </is>
      </c>
      <c r="D124" s="44" t="inlineStr">
        <is>
          <t>Incidents.Notify</t>
        </is>
      </c>
      <c r="E124" s="44" t="inlineStr">
        <is>
          <t>Assign → SSE notification investigator</t>
        </is>
      </c>
      <c r="F124" s="41" t="inlineStr">
        <is>
          <t>REQ-INC-INT-01</t>
        </is>
      </c>
      <c r="G124" s="41" t="inlineStr">
        <is>
          <t>Integration</t>
        </is>
      </c>
      <c r="H124" s="41" t="inlineStr">
        <is>
          <t>Cao</t>
        </is>
      </c>
      <c r="I124" s="44" t="inlineStr"/>
      <c r="J124" s="44" t="inlineStr">
        <is>
          <t>1. PATCH /assign</t>
        </is>
      </c>
      <c r="K124" s="44" t="inlineStr"/>
      <c r="L124" s="44" t="inlineStr"/>
      <c r="M124" s="44" t="inlineStr">
        <is>
          <t>Bell badge</t>
        </is>
      </c>
      <c r="N124" s="44" t="inlineStr">
        <is>
          <t>SSE event INCIDENT_ASSIGNED</t>
        </is>
      </c>
      <c r="O124" s="44" t="inlineStr">
        <is>
          <t>Notification row</t>
        </is>
      </c>
      <c r="P124" s="41" t="inlineStr">
        <is>
          <t>High</t>
        </is>
      </c>
      <c r="Q124" s="44" t="inlineStr"/>
      <c r="R124" s="41" t="inlineStr"/>
      <c r="S124" s="41" t="inlineStr"/>
      <c r="T124" s="41" t="inlineStr"/>
      <c r="U124" s="41" t="inlineStr"/>
      <c r="V124" s="44" t="inlineStr"/>
      <c r="W124" s="41" t="inlineStr"/>
      <c r="X124" s="44" t="inlineStr"/>
    </row>
    <row r="125" ht="80" customHeight="1">
      <c r="A125" s="41" t="inlineStr">
        <is>
          <t>TC-122</t>
        </is>
      </c>
      <c r="B125" s="58" t="inlineStr">
        <is>
          <t>INTEGRATION</t>
        </is>
      </c>
      <c r="C125" s="43" t="inlineStr">
        <is>
          <t>P0</t>
        </is>
      </c>
      <c r="D125" s="44" t="inlineStr">
        <is>
          <t>Incidents.Notify</t>
        </is>
      </c>
      <c r="E125" s="44" t="inlineStr">
        <is>
          <t>Escalate ward → non-ward emit event INCIDENT_ESCALATED_FROM_WARD</t>
        </is>
      </c>
      <c r="F125" s="41" t="inlineStr">
        <is>
          <t>REQ-INC-INT-02</t>
        </is>
      </c>
      <c r="G125" s="41" t="inlineStr">
        <is>
          <t>Integration</t>
        </is>
      </c>
      <c r="H125" s="41" t="inlineStr">
        <is>
          <t>Cao</t>
        </is>
      </c>
      <c r="I125" s="44" t="inlineStr"/>
      <c r="J125" s="44" t="inlineStr">
        <is>
          <t>1. Change assignedTeamId ward → non-ward</t>
        </is>
      </c>
      <c r="K125" s="44" t="inlineStr"/>
      <c r="L125" s="44" t="inlineStr"/>
      <c r="M125" s="44" t="inlineStr"/>
      <c r="N125" s="44" t="inlineStr">
        <is>
          <t>Event emitted</t>
        </is>
      </c>
      <c r="O125" s="44" t="inlineStr"/>
      <c r="P125" s="41" t="inlineStr">
        <is>
          <t>High</t>
        </is>
      </c>
      <c r="Q125" s="44" t="inlineStr"/>
      <c r="R125" s="41" t="inlineStr"/>
      <c r="S125" s="41" t="inlineStr"/>
      <c r="T125" s="41" t="inlineStr"/>
      <c r="U125" s="41" t="inlineStr"/>
      <c r="V125" s="44" t="inlineStr"/>
      <c r="W125" s="41" t="inlineStr"/>
      <c r="X125" s="44" t="inlineStr"/>
    </row>
    <row r="126" ht="80" customHeight="1">
      <c r="A126" s="41" t="inlineStr">
        <is>
          <t>TC-123</t>
        </is>
      </c>
      <c r="B126" s="58" t="inlineStr">
        <is>
          <t>INTEGRATION</t>
        </is>
      </c>
      <c r="C126" s="45" t="inlineStr">
        <is>
          <t>P1</t>
        </is>
      </c>
      <c r="D126" s="44" t="inlineStr">
        <is>
          <t>Incidents.Journey</t>
        </is>
      </c>
      <c r="E126" s="44" t="inlineStr">
        <is>
          <t>Journey combine statusHistory + AuditLog</t>
        </is>
      </c>
      <c r="F126" s="41" t="inlineStr">
        <is>
          <t>REQ-INC-INT-03</t>
        </is>
      </c>
      <c r="G126" s="41" t="inlineStr">
        <is>
          <t>Integration</t>
        </is>
      </c>
      <c r="H126" s="41" t="inlineStr">
        <is>
          <t>TB</t>
        </is>
      </c>
      <c r="I126" s="44" t="inlineStr"/>
      <c r="J126" s="44" t="inlineStr">
        <is>
          <t>1. GET /journey</t>
        </is>
      </c>
      <c r="K126" s="44" t="inlineStr"/>
      <c r="L126" s="44" t="inlineStr"/>
      <c r="M126" s="44" t="inlineStr">
        <is>
          <t>Timeline đầy đủ</t>
        </is>
      </c>
      <c r="N126" s="44" t="inlineStr">
        <is>
          <t>200 events sorted</t>
        </is>
      </c>
      <c r="O126" s="44" t="inlineStr"/>
      <c r="P126" s="41" t="inlineStr">
        <is>
          <t>High</t>
        </is>
      </c>
      <c r="Q126" s="44" t="inlineStr"/>
      <c r="R126" s="41" t="inlineStr"/>
      <c r="S126" s="41" t="inlineStr"/>
      <c r="T126" s="41" t="inlineStr"/>
      <c r="U126" s="41" t="inlineStr"/>
      <c r="V126" s="44" t="inlineStr"/>
      <c r="W126" s="41" t="inlineStr"/>
      <c r="X126" s="44" t="inlineStr"/>
    </row>
    <row r="127" ht="80" customHeight="1">
      <c r="A127" s="41" t="inlineStr">
        <is>
          <t>TC-124</t>
        </is>
      </c>
      <c r="B127" s="46" t="inlineStr">
        <is>
          <t>RED</t>
        </is>
      </c>
      <c r="C127" s="45" t="inlineStr">
        <is>
          <t>P1</t>
        </is>
      </c>
      <c r="D127" s="44" t="inlineStr">
        <is>
          <t>Incidents.Read</t>
        </is>
      </c>
      <c r="E127" s="44" t="inlineStr">
        <is>
          <t>GET /:id incident đã soft-delete bằng user thường</t>
        </is>
      </c>
      <c r="F127" s="41" t="inlineStr">
        <is>
          <t>REQ-INC-RD-11</t>
        </is>
      </c>
      <c r="G127" s="41" t="inlineStr">
        <is>
          <t>Negative</t>
        </is>
      </c>
      <c r="H127" s="41" t="inlineStr">
        <is>
          <t>TB</t>
        </is>
      </c>
      <c r="I127" s="44" t="inlineStr">
        <is>
          <t>deletedAt!=null</t>
        </is>
      </c>
      <c r="J127" s="44" t="inlineStr">
        <is>
          <t>1. GET /incidents/X</t>
        </is>
      </c>
      <c r="K127" s="44" t="inlineStr"/>
      <c r="L127" s="44" t="inlineStr"/>
      <c r="M127" s="44" t="inlineStr"/>
      <c r="N127" s="44" t="inlineStr">
        <is>
          <t>404</t>
        </is>
      </c>
      <c r="O127" s="44" t="inlineStr"/>
      <c r="P127" s="41" t="inlineStr">
        <is>
          <t>Medium</t>
        </is>
      </c>
      <c r="Q127" s="44" t="inlineStr"/>
      <c r="R127" s="41" t="inlineStr"/>
      <c r="S127" s="41" t="inlineStr"/>
      <c r="T127" s="41" t="inlineStr"/>
      <c r="U127" s="41" t="inlineStr"/>
      <c r="V127" s="44" t="inlineStr"/>
      <c r="W127" s="41" t="inlineStr"/>
      <c r="X127" s="44" t="inlineStr"/>
    </row>
    <row r="128" ht="80" customHeight="1">
      <c r="A128" s="41" t="inlineStr">
        <is>
          <t>TC-125</t>
        </is>
      </c>
      <c r="B128" s="46" t="inlineStr">
        <is>
          <t>RED</t>
        </is>
      </c>
      <c r="C128" s="45" t="inlineStr">
        <is>
          <t>P1</t>
        </is>
      </c>
      <c r="D128" s="44" t="inlineStr">
        <is>
          <t>Incidents.Prosecute</t>
        </is>
      </c>
      <c r="E128" s="44" t="inlineStr">
        <is>
          <t>Prosecute với prosecutionDecision không hợp lệ</t>
        </is>
      </c>
      <c r="F128" s="41" t="inlineStr">
        <is>
          <t>REQ-INC-PROS-04</t>
        </is>
      </c>
      <c r="G128" s="41" t="inlineStr">
        <is>
          <t>Negative</t>
        </is>
      </c>
      <c r="H128" s="41" t="inlineStr">
        <is>
          <t>TB</t>
        </is>
      </c>
      <c r="I128" s="44" t="inlineStr"/>
      <c r="J128" s="44" t="inlineStr">
        <is>
          <t>1. prosecutionDecision='XYZ'</t>
        </is>
      </c>
      <c r="K128" s="44" t="inlineStr"/>
      <c r="L128" s="44" t="inlineStr"/>
      <c r="M128" s="44" t="inlineStr"/>
      <c r="N128" s="44" t="inlineStr">
        <is>
          <t>400</t>
        </is>
      </c>
      <c r="O128" s="44" t="inlineStr"/>
      <c r="P128" s="41" t="inlineStr">
        <is>
          <t>High</t>
        </is>
      </c>
      <c r="Q128" s="44" t="inlineStr"/>
      <c r="R128" s="41" t="inlineStr"/>
      <c r="S128" s="41" t="inlineStr"/>
      <c r="T128" s="41" t="inlineStr"/>
      <c r="U128" s="41" t="inlineStr"/>
      <c r="V128" s="44" t="inlineStr"/>
      <c r="W128" s="41" t="inlineStr"/>
      <c r="X128" s="44" t="inlineStr"/>
    </row>
    <row r="129" ht="80" customHeight="1">
      <c r="A129" s="41" t="inlineStr">
        <is>
          <t>TC-126</t>
        </is>
      </c>
      <c r="B129" s="46" t="inlineStr">
        <is>
          <t>RED</t>
        </is>
      </c>
      <c r="C129" s="45" t="inlineStr">
        <is>
          <t>P1</t>
        </is>
      </c>
      <c r="D129" s="44" t="inlineStr">
        <is>
          <t>Incidents.Bulk</t>
        </is>
      </c>
      <c r="E129" s="44" t="inlineStr">
        <is>
          <t>Bulk delete ids gồm incident terminal</t>
        </is>
      </c>
      <c r="F129" s="41" t="inlineStr">
        <is>
          <t>REQ-INC-BULK-02</t>
        </is>
      </c>
      <c r="G129" s="41" t="inlineStr">
        <is>
          <t>Negative</t>
        </is>
      </c>
      <c r="H129" s="41" t="inlineStr">
        <is>
          <t>TB</t>
        </is>
      </c>
      <c r="I129" s="44" t="inlineStr"/>
      <c r="J129" s="44" t="inlineStr">
        <is>
          <t>1. POST /bulk-delete</t>
        </is>
      </c>
      <c r="K129" s="44" t="inlineStr"/>
      <c r="L129" s="44" t="inlineStr"/>
      <c r="M129" s="44" t="inlineStr"/>
      <c r="N129" s="44" t="inlineStr">
        <is>
          <t>422/partial</t>
        </is>
      </c>
      <c r="O129" s="44" t="inlineStr">
        <is>
          <t>Chỉ xóa TIEP_NHAN</t>
        </is>
      </c>
      <c r="P129" s="41" t="inlineStr">
        <is>
          <t>High</t>
        </is>
      </c>
      <c r="Q129" s="44" t="inlineStr"/>
      <c r="R129" s="41" t="inlineStr"/>
      <c r="S129" s="41" t="inlineStr"/>
      <c r="T129" s="41" t="inlineStr"/>
      <c r="U129" s="41" t="inlineStr"/>
      <c r="V129" s="44" t="inlineStr"/>
      <c r="W129" s="41" t="inlineStr"/>
      <c r="X129" s="44" t="inlineStr"/>
    </row>
    <row r="130" ht="80" customHeight="1">
      <c r="A130" s="41" t="inlineStr">
        <is>
          <t>TC-127</t>
        </is>
      </c>
      <c r="B130" s="46" t="inlineStr">
        <is>
          <t>RED</t>
        </is>
      </c>
      <c r="C130" s="45" t="inlineStr">
        <is>
          <t>P1</t>
        </is>
      </c>
      <c r="D130" s="44" t="inlineStr">
        <is>
          <t>Incidents.Create</t>
        </is>
      </c>
      <c r="E130" s="44" t="inlineStr">
        <is>
          <t>Body có field không tồn tại — strict mode</t>
        </is>
      </c>
      <c r="F130" s="41" t="inlineStr">
        <is>
          <t>REQ-INC-CR-16</t>
        </is>
      </c>
      <c r="G130" s="41" t="inlineStr">
        <is>
          <t>Negative</t>
        </is>
      </c>
      <c r="H130" s="41" t="inlineStr">
        <is>
          <t>Thấp</t>
        </is>
      </c>
      <c r="I130" s="44" t="inlineStr"/>
      <c r="J130" s="44" t="inlineStr">
        <is>
          <t>1. body có field 'unknown'</t>
        </is>
      </c>
      <c r="K130" s="44" t="inlineStr"/>
      <c r="L130" s="44" t="inlineStr"/>
      <c r="M130" s="44" t="inlineStr"/>
      <c r="N130" s="44" t="inlineStr">
        <is>
          <t>400 hoặc bỏ qua</t>
        </is>
      </c>
      <c r="O130" s="44" t="inlineStr"/>
      <c r="P130" s="41" t="inlineStr">
        <is>
          <t>Low</t>
        </is>
      </c>
      <c r="Q130" s="44" t="inlineStr"/>
      <c r="R130" s="41" t="inlineStr"/>
      <c r="S130" s="41" t="inlineStr"/>
      <c r="T130" s="41" t="inlineStr"/>
      <c r="U130" s="41" t="inlineStr"/>
      <c r="V130" s="44" t="inlineStr"/>
      <c r="W130" s="41" t="inlineStr"/>
      <c r="X130" s="44" t="inlineStr"/>
    </row>
    <row r="131" ht="80" customHeight="1">
      <c r="A131" s="41" t="inlineStr">
        <is>
          <t>TC-128</t>
        </is>
      </c>
      <c r="B131" s="46" t="inlineStr">
        <is>
          <t>RED</t>
        </is>
      </c>
      <c r="C131" s="45" t="inlineStr">
        <is>
          <t>P1</t>
        </is>
      </c>
      <c r="D131" s="44" t="inlineStr">
        <is>
          <t>Incidents.Merge</t>
        </is>
      </c>
      <c r="E131" s="44" t="inlineStr">
        <is>
          <t>Merge khi A và B khác đơn vị</t>
        </is>
      </c>
      <c r="F131" s="41" t="inlineStr">
        <is>
          <t>REQ-INC-MRG-04</t>
        </is>
      </c>
      <c r="G131" s="41" t="inlineStr">
        <is>
          <t>Negative</t>
        </is>
      </c>
      <c r="H131" s="41" t="inlineStr">
        <is>
          <t>TB</t>
        </is>
      </c>
      <c r="I131" s="44" t="inlineStr"/>
      <c r="J131" s="44" t="inlineStr">
        <is>
          <t>1. PATCH /A/merge target khác đơn vị</t>
        </is>
      </c>
      <c r="K131" s="44" t="inlineStr"/>
      <c r="L131" s="44" t="inlineStr"/>
      <c r="M131" s="44" t="inlineStr"/>
      <c r="N131" s="44" t="inlineStr">
        <is>
          <t>403/422</t>
        </is>
      </c>
      <c r="O131" s="44" t="inlineStr"/>
      <c r="P131" s="41" t="inlineStr">
        <is>
          <t>High</t>
        </is>
      </c>
      <c r="Q131" s="44" t="inlineStr"/>
      <c r="R131" s="41" t="inlineStr"/>
      <c r="S131" s="41" t="inlineStr"/>
      <c r="T131" s="41" t="inlineStr"/>
      <c r="U131" s="41" t="inlineStr"/>
      <c r="V131" s="44" t="inlineStr"/>
      <c r="W131" s="41" t="inlineStr"/>
      <c r="X131" s="44" t="inlineStr"/>
    </row>
    <row r="132" ht="80" customHeight="1">
      <c r="A132" s="41" t="inlineStr">
        <is>
          <t>TC-129</t>
        </is>
      </c>
      <c r="B132" s="46" t="inlineStr">
        <is>
          <t>RED</t>
        </is>
      </c>
      <c r="C132" s="45" t="inlineStr">
        <is>
          <t>P1</t>
        </is>
      </c>
      <c r="D132" s="44" t="inlineStr">
        <is>
          <t>Incidents.Read</t>
        </is>
      </c>
      <c r="E132" s="44" t="inlineStr">
        <is>
          <t>Search SQL keyword UNION</t>
        </is>
      </c>
      <c r="F132" s="41" t="inlineStr">
        <is>
          <t>REQ-INC-RD-12</t>
        </is>
      </c>
      <c r="G132" s="41" t="inlineStr">
        <is>
          <t>Negative</t>
        </is>
      </c>
      <c r="H132" s="41" t="inlineStr">
        <is>
          <t>TB</t>
        </is>
      </c>
      <c r="I132" s="44" t="inlineStr"/>
      <c r="J132" s="44" t="inlineStr">
        <is>
          <t>1. ?search='UNION SELECT'</t>
        </is>
      </c>
      <c r="K132" s="44" t="inlineStr"/>
      <c r="L132" s="44" t="inlineStr"/>
      <c r="M132" s="44" t="inlineStr"/>
      <c r="N132" s="44" t="inlineStr">
        <is>
          <t>200 không leak</t>
        </is>
      </c>
      <c r="O132" s="44" t="inlineStr"/>
      <c r="P132" s="41" t="inlineStr">
        <is>
          <t>Medium</t>
        </is>
      </c>
      <c r="Q132" s="44" t="inlineStr"/>
      <c r="R132" s="41" t="inlineStr"/>
      <c r="S132" s="41" t="inlineStr"/>
      <c r="T132" s="41" t="inlineStr"/>
      <c r="U132" s="41" t="inlineStr"/>
      <c r="V132" s="44" t="inlineStr"/>
      <c r="W132" s="41" t="inlineStr"/>
      <c r="X132" s="44" t="inlineStr"/>
    </row>
    <row r="133" ht="80" customHeight="1">
      <c r="A133" s="41" t="inlineStr">
        <is>
          <t>TC-130</t>
        </is>
      </c>
      <c r="B133" s="51" t="inlineStr">
        <is>
          <t>SECURITY</t>
        </is>
      </c>
      <c r="C133" s="45" t="inlineStr">
        <is>
          <t>P1</t>
        </is>
      </c>
      <c r="D133" s="44" t="inlineStr">
        <is>
          <t>Incidents.Security</t>
        </is>
      </c>
      <c r="E133" s="44" t="inlineStr">
        <is>
          <t>Insufficient logging — không log failed assign attempt</t>
        </is>
      </c>
      <c r="F133" s="41" t="inlineStr">
        <is>
          <t>REQ-INC-SEC-13</t>
        </is>
      </c>
      <c r="G133" s="41" t="inlineStr">
        <is>
          <t>OWASP A09</t>
        </is>
      </c>
      <c r="H133" s="41" t="inlineStr">
        <is>
          <t>TB</t>
        </is>
      </c>
      <c r="I133" s="44" t="inlineStr"/>
      <c r="J133" s="44" t="inlineStr">
        <is>
          <t>1. PATCH /assign by non-dispatcher</t>
        </is>
      </c>
      <c r="K133" s="44" t="inlineStr"/>
      <c r="L133" s="44" t="inlineStr"/>
      <c r="M133" s="44" t="inlineStr"/>
      <c r="N133" s="44" t="inlineStr">
        <is>
          <t>403</t>
        </is>
      </c>
      <c r="O133" s="44" t="inlineStr">
        <is>
          <t>AuditLog ghi attempt</t>
        </is>
      </c>
      <c r="P133" s="41" t="inlineStr">
        <is>
          <t>High</t>
        </is>
      </c>
      <c r="Q133" s="44" t="inlineStr"/>
      <c r="R133" s="41" t="inlineStr"/>
      <c r="S133" s="41" t="inlineStr"/>
      <c r="T133" s="41" t="inlineStr"/>
      <c r="U133" s="41" t="inlineStr"/>
      <c r="V133" s="44" t="inlineStr"/>
      <c r="W133" s="41" t="inlineStr"/>
      <c r="X133" s="44" t="inlineStr"/>
    </row>
    <row r="134" ht="80" customHeight="1">
      <c r="A134" s="41" t="inlineStr">
        <is>
          <t>TC-131</t>
        </is>
      </c>
      <c r="B134" s="55" t="inlineStr">
        <is>
          <t>A11Y</t>
        </is>
      </c>
      <c r="C134" s="45" t="inlineStr">
        <is>
          <t>P1</t>
        </is>
      </c>
      <c r="D134" s="44" t="inlineStr">
        <is>
          <t>Incidents.UI</t>
        </is>
      </c>
      <c r="E134" s="44" t="inlineStr">
        <is>
          <t>Tab order trong form Phase 4 sections logic</t>
        </is>
      </c>
      <c r="F134" s="41" t="inlineStr">
        <is>
          <t>REQ-INC-A11Y-07</t>
        </is>
      </c>
      <c r="G134" s="41" t="inlineStr">
        <is>
          <t>WCAG 2.4.3</t>
        </is>
      </c>
      <c r="H134" s="41" t="inlineStr">
        <is>
          <t>TB</t>
        </is>
      </c>
      <c r="I134" s="44" t="inlineStr"/>
      <c r="J134" s="44" t="inlineStr">
        <is>
          <t>1. Tab xuyên 4 section</t>
        </is>
      </c>
      <c r="K134" s="44" t="inlineStr"/>
      <c r="L134" s="44" t="inlineStr"/>
      <c r="M134" s="44" t="inlineStr">
        <is>
          <t>Thứ tự đúng</t>
        </is>
      </c>
      <c r="N134" s="44" t="inlineStr"/>
      <c r="O134" s="44" t="inlineStr"/>
      <c r="P134" s="41" t="inlineStr">
        <is>
          <t>Medium</t>
        </is>
      </c>
      <c r="Q134" s="44" t="inlineStr"/>
      <c r="R134" s="41" t="inlineStr"/>
      <c r="S134" s="41" t="inlineStr"/>
      <c r="T134" s="41" t="inlineStr"/>
      <c r="U134" s="41" t="inlineStr"/>
      <c r="V134" s="44" t="inlineStr"/>
      <c r="W134" s="41" t="inlineStr"/>
      <c r="X134" s="44" t="inlineStr"/>
    </row>
    <row r="135" ht="80" customHeight="1">
      <c r="A135" s="41" t="inlineStr">
        <is>
          <t>TC-132</t>
        </is>
      </c>
      <c r="B135" s="56" t="inlineStr">
        <is>
          <t>COMPAT</t>
        </is>
      </c>
      <c r="C135" s="53" t="inlineStr">
        <is>
          <t>P2</t>
        </is>
      </c>
      <c r="D135" s="44" t="inlineStr">
        <is>
          <t>Incidents.UI</t>
        </is>
      </c>
      <c r="E135" s="44" t="inlineStr">
        <is>
          <t>Android Chrome 5'' viewport</t>
        </is>
      </c>
      <c r="F135" s="41" t="inlineStr">
        <is>
          <t>REQ-INC-COMPAT-07</t>
        </is>
      </c>
      <c r="G135" s="41" t="inlineStr">
        <is>
          <t>Responsive</t>
        </is>
      </c>
      <c r="H135" s="41" t="inlineStr">
        <is>
          <t>Thấp</t>
        </is>
      </c>
      <c r="I135" s="44" t="inlineStr"/>
      <c r="J135" s="44" t="inlineStr"/>
      <c r="K135" s="44" t="inlineStr"/>
      <c r="L135" s="44" t="inlineStr"/>
      <c r="M135" s="44" t="inlineStr"/>
      <c r="N135" s="44" t="inlineStr"/>
      <c r="O135" s="44" t="inlineStr"/>
      <c r="P135" s="41" t="inlineStr">
        <is>
          <t>Low</t>
        </is>
      </c>
      <c r="Q135" s="44" t="inlineStr"/>
      <c r="R135" s="41" t="inlineStr"/>
      <c r="S135" s="41" t="inlineStr"/>
      <c r="T135" s="41" t="inlineStr"/>
      <c r="U135" s="41" t="inlineStr"/>
      <c r="V135" s="44" t="inlineStr"/>
      <c r="W135" s="41" t="inlineStr"/>
      <c r="X135" s="44" t="inlineStr"/>
    </row>
    <row r="136" ht="80" customHeight="1">
      <c r="A136" s="41" t="inlineStr">
        <is>
          <t>TC-133</t>
        </is>
      </c>
      <c r="B136" s="46" t="inlineStr">
        <is>
          <t>RED</t>
        </is>
      </c>
      <c r="C136" s="45" t="inlineStr">
        <is>
          <t>P1</t>
        </is>
      </c>
      <c r="D136" s="44" t="inlineStr">
        <is>
          <t>Incidents.Create</t>
        </is>
      </c>
      <c r="E136" s="44" t="inlineStr">
        <is>
          <t>deadline trong quá khứ</t>
        </is>
      </c>
      <c r="F136" s="41" t="inlineStr">
        <is>
          <t>REQ-INC-CR-17</t>
        </is>
      </c>
      <c r="G136" s="41" t="inlineStr">
        <is>
          <t>Negative</t>
        </is>
      </c>
      <c r="H136" s="41" t="inlineStr">
        <is>
          <t>TB</t>
        </is>
      </c>
      <c r="I136" s="44" t="inlineStr"/>
      <c r="J136" s="44" t="inlineStr">
        <is>
          <t>1. deadline=2020-01-01</t>
        </is>
      </c>
      <c r="K136" s="44" t="inlineStr"/>
      <c r="L136" s="44" t="inlineStr"/>
      <c r="M136" s="44" t="inlineStr">
        <is>
          <t>Cảnh báo / lỗi</t>
        </is>
      </c>
      <c r="N136" s="44" t="inlineStr">
        <is>
          <t>400 hoặc flag overdue</t>
        </is>
      </c>
      <c r="O136" s="44" t="inlineStr"/>
      <c r="P136" s="41" t="inlineStr">
        <is>
          <t>Medium</t>
        </is>
      </c>
      <c r="Q136" s="44" t="inlineStr"/>
      <c r="R136" s="41" t="inlineStr"/>
      <c r="S136" s="41" t="inlineStr"/>
      <c r="T136" s="41" t="inlineStr"/>
      <c r="U136" s="41" t="inlineStr"/>
      <c r="V136" s="44" t="inlineStr"/>
      <c r="W136" s="41" t="inlineStr"/>
      <c r="X136" s="44" t="inlineStr"/>
    </row>
    <row r="137" ht="80" customHeight="1">
      <c r="A137" s="41" t="inlineStr">
        <is>
          <t>TC-134</t>
        </is>
      </c>
      <c r="B137" s="46" t="inlineStr">
        <is>
          <t>RED</t>
        </is>
      </c>
      <c r="C137" s="45" t="inlineStr">
        <is>
          <t>P1</t>
        </is>
      </c>
      <c r="D137" s="44" t="inlineStr">
        <is>
          <t>Incidents.Read</t>
        </is>
      </c>
      <c r="E137" s="44" t="inlineStr">
        <is>
          <t>Filter trangThaiThoiHieu enum không hợp lệ</t>
        </is>
      </c>
      <c r="F137" s="41" t="inlineStr">
        <is>
          <t>REQ-INC-RD-13</t>
        </is>
      </c>
      <c r="G137" s="41" t="inlineStr">
        <is>
          <t>Negative</t>
        </is>
      </c>
      <c r="H137" s="41" t="inlineStr">
        <is>
          <t>Thấp</t>
        </is>
      </c>
      <c r="I137" s="44" t="inlineStr"/>
      <c r="J137" s="44" t="inlineStr">
        <is>
          <t>1. ?tinhTrangThoiHieu='X'</t>
        </is>
      </c>
      <c r="K137" s="44" t="inlineStr"/>
      <c r="L137" s="44" t="inlineStr"/>
      <c r="M137" s="44" t="inlineStr"/>
      <c r="N137" s="44" t="inlineStr">
        <is>
          <t>400</t>
        </is>
      </c>
      <c r="O137" s="44" t="inlineStr"/>
      <c r="P137" s="41" t="inlineStr">
        <is>
          <t>Low</t>
        </is>
      </c>
      <c r="Q137" s="44" t="inlineStr"/>
      <c r="R137" s="41" t="inlineStr"/>
      <c r="S137" s="41" t="inlineStr"/>
      <c r="T137" s="41" t="inlineStr"/>
      <c r="U137" s="41" t="inlineStr"/>
      <c r="V137" s="44" t="inlineStr"/>
      <c r="W137" s="41" t="inlineStr"/>
      <c r="X137" s="44" t="inlineStr"/>
    </row>
    <row r="138" ht="80" customHeight="1">
      <c r="A138" s="41" t="inlineStr">
        <is>
          <t>TC-135</t>
        </is>
      </c>
      <c r="B138" s="46" t="inlineStr">
        <is>
          <t>RED</t>
        </is>
      </c>
      <c r="C138" s="45" t="inlineStr">
        <is>
          <t>P1</t>
        </is>
      </c>
      <c r="D138" s="44" t="inlineStr">
        <is>
          <t>Incidents.Update</t>
        </is>
      </c>
      <c r="E138" s="44" t="inlineStr">
        <is>
          <t>Đổi status qua PUT thay vì PATCH /status</t>
        </is>
      </c>
      <c r="F138" s="41" t="inlineStr">
        <is>
          <t>REQ-INC-UP-04</t>
        </is>
      </c>
      <c r="G138" s="41" t="inlineStr">
        <is>
          <t>Negative</t>
        </is>
      </c>
      <c r="H138" s="41" t="inlineStr">
        <is>
          <t>TB</t>
        </is>
      </c>
      <c r="I138" s="44" t="inlineStr"/>
      <c r="J138" s="44" t="inlineStr">
        <is>
          <t>1. PUT body có status</t>
        </is>
      </c>
      <c r="K138" s="44" t="inlineStr"/>
      <c r="L138" s="44" t="inlineStr"/>
      <c r="M138" s="44" t="inlineStr"/>
      <c r="N138" s="44" t="inlineStr">
        <is>
          <t>200 ignore status field hoặc 400</t>
        </is>
      </c>
      <c r="O138" s="44" t="inlineStr">
        <is>
          <t>Không tạo statusHistory</t>
        </is>
      </c>
      <c r="P138" s="41" t="inlineStr">
        <is>
          <t>High</t>
        </is>
      </c>
      <c r="Q138" s="44" t="inlineStr"/>
      <c r="R138" s="41" t="inlineStr"/>
      <c r="S138" s="41" t="inlineStr"/>
      <c r="T138" s="41" t="inlineStr"/>
      <c r="U138" s="41" t="inlineStr"/>
      <c r="V138" s="44" t="inlineStr"/>
      <c r="W138" s="41" t="inlineStr"/>
      <c r="X138" s="44" t="inlineStr"/>
    </row>
    <row r="139" ht="80" customHeight="1">
      <c r="A139" s="41" t="inlineStr">
        <is>
          <t>TC-136</t>
        </is>
      </c>
      <c r="B139" s="51" t="inlineStr">
        <is>
          <t>SECURITY</t>
        </is>
      </c>
      <c r="C139" s="45" t="inlineStr">
        <is>
          <t>P1</t>
        </is>
      </c>
      <c r="D139" s="44" t="inlineStr">
        <is>
          <t>Incidents.Security</t>
        </is>
      </c>
      <c r="E139" s="44" t="inlineStr">
        <is>
          <t>Time-based timing attack — phân biệt 404 vs 403</t>
        </is>
      </c>
      <c r="F139" s="41" t="inlineStr">
        <is>
          <t>REQ-INC-SEC-14</t>
        </is>
      </c>
      <c r="G139" s="41" t="inlineStr">
        <is>
          <t>OWASP A01</t>
        </is>
      </c>
      <c r="H139" s="41" t="inlineStr">
        <is>
          <t>TB</t>
        </is>
      </c>
      <c r="I139" s="44" t="inlineStr"/>
      <c r="J139" s="44" t="inlineStr">
        <is>
          <t>1. GET id tồn tại khác scope vs id không tồn tại — đo response time</t>
        </is>
      </c>
      <c r="K139" s="44" t="inlineStr"/>
      <c r="L139" s="44" t="inlineStr"/>
      <c r="M139" s="44" t="inlineStr"/>
      <c r="N139" s="44" t="inlineStr">
        <is>
          <t>Cả 2 ≈ 404 same timing</t>
        </is>
      </c>
      <c r="O139" s="44" t="inlineStr">
        <is>
          <t>Không leak existence</t>
        </is>
      </c>
      <c r="P139" s="41" t="inlineStr">
        <is>
          <t>High</t>
        </is>
      </c>
      <c r="Q139" s="44" t="inlineStr"/>
      <c r="R139" s="41" t="inlineStr"/>
      <c r="S139" s="41" t="inlineStr"/>
      <c r="T139" s="41" t="inlineStr"/>
      <c r="U139" s="41" t="inlineStr"/>
      <c r="V139" s="44" t="inlineStr"/>
      <c r="W139" s="41" t="inlineStr"/>
      <c r="X139" s="44" t="inlineStr"/>
    </row>
    <row r="140" ht="80" customHeight="1">
      <c r="A140" s="41" t="inlineStr">
        <is>
          <t>TC-137</t>
        </is>
      </c>
      <c r="B140" s="46" t="inlineStr">
        <is>
          <t>RED</t>
        </is>
      </c>
      <c r="C140" s="45" t="inlineStr">
        <is>
          <t>P1</t>
        </is>
      </c>
      <c r="D140" s="44" t="inlineStr">
        <is>
          <t>Incidents.Create</t>
        </is>
      </c>
      <c r="E140" s="44" t="inlineStr">
        <is>
          <t>Tạo incident với canBoNhapId user khác đơn vị</t>
        </is>
      </c>
      <c r="F140" s="41" t="inlineStr">
        <is>
          <t>REQ-INC-CR-18</t>
        </is>
      </c>
      <c r="G140" s="41" t="inlineStr">
        <is>
          <t>Negative</t>
        </is>
      </c>
      <c r="H140" s="41" t="inlineStr">
        <is>
          <t>TB</t>
        </is>
      </c>
      <c r="I140" s="44" t="inlineStr"/>
      <c r="J140" s="44" t="inlineStr">
        <is>
          <t>1. canBoNhapId outside scope</t>
        </is>
      </c>
      <c r="K140" s="44" t="inlineStr"/>
      <c r="L140" s="44" t="inlineStr"/>
      <c r="M140" s="44" t="inlineStr"/>
      <c r="N140" s="44" t="inlineStr">
        <is>
          <t>400/403</t>
        </is>
      </c>
      <c r="O140" s="44" t="inlineStr"/>
      <c r="P140" s="41" t="inlineStr">
        <is>
          <t>High</t>
        </is>
      </c>
      <c r="Q140" s="44" t="inlineStr"/>
      <c r="R140" s="41" t="inlineStr"/>
      <c r="S140" s="41" t="inlineStr"/>
      <c r="T140" s="41" t="inlineStr"/>
      <c r="U140" s="41" t="inlineStr"/>
      <c r="V140" s="44" t="inlineStr"/>
      <c r="W140" s="41" t="inlineStr"/>
      <c r="X140" s="44" t="inlineStr"/>
    </row>
    <row r="141" ht="80" customHeight="1">
      <c r="A141" s="41" t="inlineStr">
        <is>
          <t>TC-138</t>
        </is>
      </c>
      <c r="B141" s="46" t="inlineStr">
        <is>
          <t>RED</t>
        </is>
      </c>
      <c r="C141" s="45" t="inlineStr">
        <is>
          <t>P1</t>
        </is>
      </c>
      <c r="D141" s="44" t="inlineStr">
        <is>
          <t>Incidents.Status</t>
        </is>
      </c>
      <c r="E141" s="44" t="inlineStr">
        <is>
          <t>PATCH /status request body rỗng</t>
        </is>
      </c>
      <c r="F141" s="41" t="inlineStr">
        <is>
          <t>REQ-INC-ST-15</t>
        </is>
      </c>
      <c r="G141" s="41" t="inlineStr">
        <is>
          <t>Negative</t>
        </is>
      </c>
      <c r="H141" s="41" t="inlineStr">
        <is>
          <t>Thấp</t>
        </is>
      </c>
      <c r="I141" s="44" t="inlineStr"/>
      <c r="J141" s="44" t="inlineStr">
        <is>
          <t>1. PATCH /status body={}</t>
        </is>
      </c>
      <c r="K141" s="44" t="inlineStr"/>
      <c r="L141" s="44" t="inlineStr"/>
      <c r="M141" s="44" t="inlineStr"/>
      <c r="N141" s="44" t="inlineStr">
        <is>
          <t>400</t>
        </is>
      </c>
      <c r="O141" s="44" t="inlineStr"/>
      <c r="P141" s="41" t="inlineStr">
        <is>
          <t>Low</t>
        </is>
      </c>
      <c r="Q141" s="44" t="inlineStr"/>
      <c r="R141" s="41" t="inlineStr"/>
      <c r="S141" s="41" t="inlineStr"/>
      <c r="T141" s="41" t="inlineStr"/>
      <c r="U141" s="41" t="inlineStr"/>
      <c r="V141" s="44" t="inlineStr"/>
      <c r="W141" s="41" t="inlineStr"/>
      <c r="X141" s="44" t="inlineStr"/>
    </row>
  </sheetData>
  <autoFilter ref="A3:X141"/>
  <mergeCells count="2">
    <mergeCell ref="A2:X2"/>
    <mergeCell ref="A1:X1"/>
  </mergeCells>
  <conditionalFormatting sqref="R4:R141">
    <cfRule type="cellIs" priority="1" operator="equal" dxfId="2">
      <formula>"Đạt"</formula>
    </cfRule>
    <cfRule type="cellIs" priority="2" operator="equal" dxfId="3">
      <formula>"Không đạt"</formula>
    </cfRule>
    <cfRule type="cellIs" priority="3" operator="equal" dxfId="4">
      <formula>"Bị chặn"</formula>
    </cfRule>
    <cfRule type="cellIs" priority="4" operator="equal" dxfId="5">
      <formula>"Bỏ qua"</formula>
    </cfRule>
  </conditionalFormatting>
  <conditionalFormatting sqref="S4:S141">
    <cfRule type="cellIs" priority="5" operator="equal" dxfId="2">
      <formula>"Đạt"</formula>
    </cfRule>
    <cfRule type="cellIs" priority="6" operator="equal" dxfId="3">
      <formula>"Không đạt"</formula>
    </cfRule>
    <cfRule type="cellIs" priority="7" operator="equal" dxfId="4">
      <formula>"Bị chặn"</formula>
    </cfRule>
    <cfRule type="cellIs" priority="8" operator="equal" dxfId="5">
      <formula>"Bỏ qua"</formula>
    </cfRule>
  </conditionalFormatting>
  <conditionalFormatting sqref="W4:W141">
    <cfRule type="cellIs" priority="9" operator="equal" dxfId="6">
      <formula>"⚠️ REGRESSION"</formula>
    </cfRule>
    <cfRule type="cellIs" priority="10" operator="equal" dxfId="2">
      <formula>"✓ Đã fix"</formula>
    </cfRule>
  </conditionalFormatting>
  <dataValidations count="3">
    <dataValidation sqref="R4:R141" showDropDown="0" showInputMessage="0" showErrorMessage="0" allowBlank="1" error="Chọn một trạng thái hợp lệ" prompt="Layer 1 - API smoke gate" type="list">
      <formula1>"Chưa chạy,Đang chạy,Đạt,Không đạt,Bị chặn,Bỏ qua"</formula1>
    </dataValidation>
    <dataValidation sqref="S4:S141" showDropDown="0" showInputMessage="0" showErrorMessage="0" allowBlank="1" error="Chọn một trạng thái hợp lệ" prompt="Layer 2 - UI E2E (Chromium). 'Bỏ qua' nếu API smoke fail" type="list">
      <formula1>"Chưa chạy,Đang chạy,Đạt,Không đạt,Bị chặn,Bỏ qua"</formula1>
    </dataValidation>
    <dataValidation sqref="W4:W141" showDropDown="0" showInputMessage="0" showErrorMessage="0" allowBlank="1" prompt="Tự động đánh dấu nếu TC từng Đạt nay Không đạt" type="list">
      <formula1>"⚠️ REGRESSION,✓ Đã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8" customWidth="1" min="5" max="5"/>
    <col width="35" customWidth="1" min="6" max="6"/>
    <col width="25" customWidth="1" min="7" max="7"/>
  </cols>
  <sheetData>
    <row r="1" ht="25" customHeight="1">
      <c r="A1" s="59" t="inlineStr">
        <is>
          <t>1. TÀI KHOẢN KIỂM THỬ</t>
        </is>
      </c>
    </row>
    <row r="2">
      <c r="A2" s="11" t="inlineStr">
        <is>
          <t>ID</t>
        </is>
      </c>
      <c r="B2" s="11" t="inlineStr">
        <is>
          <t>Email</t>
        </is>
      </c>
      <c r="C2" s="11" t="inlineStr">
        <is>
          <t>Mật khẩu</t>
        </is>
      </c>
      <c r="D2" s="11" t="inlineStr">
        <is>
          <t>Vai trò</t>
        </is>
      </c>
      <c r="E2" s="11" t="inlineStr">
        <is>
          <t>Trạng thái</t>
        </is>
      </c>
      <c r="F2" s="11" t="inlineStr">
        <is>
          <t>Mục đích</t>
        </is>
      </c>
      <c r="G2" s="11" t="inlineStr">
        <is>
          <t>Ghi chú</t>
        </is>
      </c>
    </row>
    <row r="3">
      <c r="A3" s="44" t="inlineStr">
        <is>
          <t>A-01</t>
        </is>
      </c>
      <c r="B3" s="44" t="inlineStr">
        <is>
          <t>dtv.incident.a@pc02hcm.com</t>
        </is>
      </c>
      <c r="C3" s="44" t="inlineStr">
        <is>
          <t>Pa$$w0rd!</t>
        </is>
      </c>
      <c r="D3" s="44" t="inlineStr">
        <is>
          <t>ĐTV Team A</t>
        </is>
      </c>
      <c r="E3" s="44" t="inlineStr">
        <is>
          <t>ACTIVE</t>
        </is>
      </c>
      <c r="F3" s="44" t="inlineStr">
        <is>
          <t>DataScope test</t>
        </is>
      </c>
      <c r="G3" s="44" t="inlineStr"/>
    </row>
    <row r="4">
      <c r="A4" s="44" t="inlineStr">
        <is>
          <t>A-02</t>
        </is>
      </c>
      <c r="B4" s="44" t="inlineStr">
        <is>
          <t>dtv.incident.b@pc02hcm.com</t>
        </is>
      </c>
      <c r="C4" s="44" t="inlineStr">
        <is>
          <t>Pa$$w0rd!</t>
        </is>
      </c>
      <c r="D4" s="44" t="inlineStr">
        <is>
          <t>ĐTV Team B</t>
        </is>
      </c>
      <c r="E4" s="44" t="inlineStr">
        <is>
          <t>ACTIVE</t>
        </is>
      </c>
      <c r="F4" s="44" t="inlineStr">
        <is>
          <t>IDOR test</t>
        </is>
      </c>
      <c r="G4" s="44" t="inlineStr"/>
    </row>
    <row r="5">
      <c r="A5" s="44" t="inlineStr">
        <is>
          <t>A-03</t>
        </is>
      </c>
      <c r="B5" s="44" t="inlineStr">
        <is>
          <t>dispatcher.inc@pc02hcm.com</t>
        </is>
      </c>
      <c r="C5" s="44" t="inlineStr">
        <is>
          <t>Pa$$w0rd!</t>
        </is>
      </c>
      <c r="D5" s="44" t="inlineStr">
        <is>
          <t>Dispatcher</t>
        </is>
      </c>
      <c r="E5" s="44" t="inlineStr">
        <is>
          <t>ACTIVE</t>
        </is>
      </c>
      <c r="F5" s="44" t="inlineStr">
        <is>
          <t>Assign</t>
        </is>
      </c>
      <c r="G5" s="44" t="inlineStr"/>
    </row>
    <row r="6">
      <c r="A6" s="44" t="inlineStr">
        <is>
          <t>A-04</t>
        </is>
      </c>
      <c r="B6" s="44" t="inlineStr">
        <is>
          <t>admin@pc02.local</t>
        </is>
      </c>
      <c r="C6" s="44" t="inlineStr">
        <is>
          <t>Admin@2026</t>
        </is>
      </c>
      <c r="D6" s="44" t="inlineStr">
        <is>
          <t>ADMIN</t>
        </is>
      </c>
      <c r="E6" s="44" t="inlineStr">
        <is>
          <t>ACTIVE</t>
        </is>
      </c>
      <c r="F6" s="44" t="inlineStr">
        <is>
          <t>Restore</t>
        </is>
      </c>
      <c r="G6" s="44" t="inlineStr"/>
    </row>
    <row r="7">
      <c r="A7" s="44" t="inlineStr">
        <is>
          <t>A-05</t>
        </is>
      </c>
      <c r="B7" s="44" t="inlineStr">
        <is>
          <t>ward.officer.inc@pc02hcm.com</t>
        </is>
      </c>
      <c r="C7" s="44" t="inlineStr">
        <is>
          <t>Pa$$w0rd!</t>
        </is>
      </c>
      <c r="D7" s="44" t="inlineStr">
        <is>
          <t>Cán bộ phường</t>
        </is>
      </c>
      <c r="E7" s="44" t="inlineStr">
        <is>
          <t>ACTIVE</t>
        </is>
      </c>
      <c r="F7" s="44" t="inlineStr">
        <is>
          <t>Ward auto-assign</t>
        </is>
      </c>
      <c r="G7" s="44" t="inlineStr"/>
    </row>
    <row r="10" ht="25" customHeight="1">
      <c r="A10" s="59" t="inlineStr">
        <is>
          <t>2. BOUNDARY VALUES (BVA)</t>
        </is>
      </c>
    </row>
    <row r="11">
      <c r="A11" s="11" t="inlineStr">
        <is>
          <t>Field</t>
        </is>
      </c>
      <c r="B11" s="11" t="inlineStr">
        <is>
          <t>Giá trị</t>
        </is>
      </c>
      <c r="C11" s="11" t="inlineStr">
        <is>
          <t>Loại</t>
        </is>
      </c>
      <c r="D11" s="11" t="inlineStr">
        <is>
          <t>Kỳ vọng</t>
        </is>
      </c>
      <c r="E11" s="11" t="inlineStr">
        <is>
          <t>Ghi chú</t>
        </is>
      </c>
    </row>
    <row r="12">
      <c r="A12" s="44" t="inlineStr">
        <is>
          <t>name</t>
        </is>
      </c>
      <c r="B12" s="44" t="inlineStr">
        <is>
          <t>&lt;5 chars&gt;</t>
        </is>
      </c>
      <c r="C12" s="44" t="inlineStr">
        <is>
          <t>min</t>
        </is>
      </c>
      <c r="D12" s="44" t="inlineStr">
        <is>
          <t>OK</t>
        </is>
      </c>
      <c r="E12" s="44" t="inlineStr"/>
    </row>
    <row r="13">
      <c r="A13" s="44" t="inlineStr">
        <is>
          <t>name</t>
        </is>
      </c>
      <c r="B13" s="44" t="inlineStr">
        <is>
          <t>&lt;4 chars&gt;</t>
        </is>
      </c>
      <c r="C13" s="44" t="inlineStr">
        <is>
          <t>min-1</t>
        </is>
      </c>
      <c r="D13" s="44" t="inlineStr">
        <is>
          <t>400</t>
        </is>
      </c>
      <c r="E13" s="44" t="inlineStr"/>
    </row>
    <row r="14">
      <c r="A14" s="44" t="inlineStr">
        <is>
          <t>name</t>
        </is>
      </c>
      <c r="B14" s="44" t="inlineStr">
        <is>
          <t>&lt;255 chars&gt;</t>
        </is>
      </c>
      <c r="C14" s="44" t="inlineStr">
        <is>
          <t>max</t>
        </is>
      </c>
      <c r="D14" s="44" t="inlineStr">
        <is>
          <t>OK</t>
        </is>
      </c>
      <c r="E14" s="44" t="inlineStr"/>
    </row>
    <row r="15">
      <c r="A15" s="44" t="inlineStr">
        <is>
          <t>name</t>
        </is>
      </c>
      <c r="B15" s="44" t="inlineStr">
        <is>
          <t>&lt;256 chars&gt;</t>
        </is>
      </c>
      <c r="C15" s="44" t="inlineStr">
        <is>
          <t>max+1</t>
        </is>
      </c>
      <c r="D15" s="44" t="inlineStr">
        <is>
          <t>400</t>
        </is>
      </c>
      <c r="E15" s="44" t="inlineStr"/>
    </row>
    <row r="16">
      <c r="A16" s="44" t="inlineStr">
        <is>
          <t>limit</t>
        </is>
      </c>
      <c r="B16" s="44" t="inlineStr">
        <is>
          <t>1</t>
        </is>
      </c>
      <c r="C16" s="44" t="inlineStr">
        <is>
          <t>min</t>
        </is>
      </c>
      <c r="D16" s="44" t="inlineStr">
        <is>
          <t>OK</t>
        </is>
      </c>
      <c r="E16" s="44" t="inlineStr"/>
    </row>
    <row r="17">
      <c r="A17" s="44" t="inlineStr">
        <is>
          <t>limit</t>
        </is>
      </c>
      <c r="B17" s="44" t="inlineStr">
        <is>
          <t>100</t>
        </is>
      </c>
      <c r="C17" s="44" t="inlineStr">
        <is>
          <t>max</t>
        </is>
      </c>
      <c r="D17" s="44" t="inlineStr">
        <is>
          <t>OK</t>
        </is>
      </c>
      <c r="E17" s="44" t="inlineStr"/>
    </row>
    <row r="18">
      <c r="A18" s="44" t="inlineStr">
        <is>
          <t>limit</t>
        </is>
      </c>
      <c r="B18" s="44" t="inlineStr">
        <is>
          <t>101</t>
        </is>
      </c>
      <c r="C18" s="44" t="inlineStr">
        <is>
          <t>max+1</t>
        </is>
      </c>
      <c r="D18" s="44" t="inlineStr">
        <is>
          <t>400</t>
        </is>
      </c>
      <c r="E18" s="44" t="inlineStr"/>
    </row>
    <row r="19">
      <c r="A19" s="44" t="inlineStr">
        <is>
          <t>số lần gia hạn</t>
        </is>
      </c>
      <c r="B19" s="44" t="inlineStr">
        <is>
          <t>2</t>
        </is>
      </c>
      <c r="C19" s="44" t="inlineStr">
        <is>
          <t>max</t>
        </is>
      </c>
      <c r="D19" s="44" t="inlineStr">
        <is>
          <t>OK</t>
        </is>
      </c>
      <c r="E19" s="44" t="inlineStr">
        <is>
          <t>Đ.147.3</t>
        </is>
      </c>
    </row>
    <row r="20">
      <c r="A20" s="44" t="inlineStr">
        <is>
          <t>số lần gia hạn</t>
        </is>
      </c>
      <c r="B20" s="44" t="inlineStr">
        <is>
          <t>3</t>
        </is>
      </c>
      <c r="C20" s="44" t="inlineStr">
        <is>
          <t>max+1</t>
        </is>
      </c>
      <c r="D20" s="44" t="inlineStr">
        <is>
          <t>422</t>
        </is>
      </c>
      <c r="E20" s="44" t="inlineStr"/>
    </row>
    <row r="21">
      <c r="A21" s="44" t="inlineStr">
        <is>
          <t>reason xóa</t>
        </is>
      </c>
      <c r="B21" s="44" t="inlineStr">
        <is>
          <t>10</t>
        </is>
      </c>
      <c r="C21" s="44" t="inlineStr">
        <is>
          <t>min</t>
        </is>
      </c>
      <c r="D21" s="44" t="inlineStr">
        <is>
          <t>OK</t>
        </is>
      </c>
      <c r="E21" s="44" t="inlineStr"/>
    </row>
    <row r="22">
      <c r="A22" s="44" t="inlineStr">
        <is>
          <t>reason xóa</t>
        </is>
      </c>
      <c r="B22" s="44" t="inlineStr">
        <is>
          <t>9</t>
        </is>
      </c>
      <c r="C22" s="44" t="inlineStr">
        <is>
          <t>min-1</t>
        </is>
      </c>
      <c r="D22" s="44" t="inlineStr">
        <is>
          <t>400</t>
        </is>
      </c>
      <c r="E22" s="44" t="inlineStr"/>
    </row>
    <row r="23">
      <c r="A23" s="44" t="inlineStr">
        <is>
          <t>thời gian xóa từ create</t>
        </is>
      </c>
      <c r="B23" s="44" t="inlineStr">
        <is>
          <t>72h</t>
        </is>
      </c>
      <c r="C23" s="44" t="inlineStr">
        <is>
          <t>boundary</t>
        </is>
      </c>
      <c r="D23" s="44" t="inlineStr">
        <is>
          <t>allow</t>
        </is>
      </c>
      <c r="E23" s="44" t="inlineStr"/>
    </row>
    <row r="24">
      <c r="A24" s="44" t="inlineStr">
        <is>
          <t>thời gian xóa từ create</t>
        </is>
      </c>
      <c r="B24" s="44" t="inlineStr">
        <is>
          <t>72h+1s</t>
        </is>
      </c>
      <c r="C24" s="44" t="inlineStr">
        <is>
          <t>boundary+</t>
        </is>
      </c>
      <c r="D24" s="44" t="inlineStr">
        <is>
          <t>422</t>
        </is>
      </c>
      <c r="E24" s="44" t="inlineStr"/>
    </row>
    <row r="27" ht="25" customHeight="1">
      <c r="A27" s="59" t="inlineStr">
        <is>
          <t>3. SECURITY PAYLOADS (OWASP)</t>
        </is>
      </c>
    </row>
    <row r="28">
      <c r="A28" s="11" t="inlineStr">
        <is>
          <t>Field/Endpoint</t>
        </is>
      </c>
      <c r="B28" s="11" t="inlineStr">
        <is>
          <t>Payload</t>
        </is>
      </c>
      <c r="C28" s="11" t="inlineStr">
        <is>
          <t>Loại tấn công</t>
        </is>
      </c>
      <c r="D28" s="11" t="inlineStr">
        <is>
          <t>Kỳ vọng</t>
        </is>
      </c>
      <c r="E28" s="11" t="inlineStr">
        <is>
          <t>OWASP Reference</t>
        </is>
      </c>
    </row>
    <row r="29">
      <c r="A29" s="44" t="inlineStr"/>
      <c r="B29" s="44" t="inlineStr">
        <is>
          <t>' OR 1=1 --</t>
        </is>
      </c>
      <c r="C29" s="44" t="inlineStr"/>
      <c r="D29" s="44" t="inlineStr">
        <is>
          <t>200 không leak</t>
        </is>
      </c>
      <c r="E29" s="44" t="inlineStr"/>
    </row>
    <row r="30">
      <c r="A30" s="44" t="inlineStr"/>
      <c r="B30" s="44" t="inlineStr">
        <is>
          <t>&lt;svg onload=alert(1)&gt;</t>
        </is>
      </c>
      <c r="C30" s="44" t="inlineStr"/>
      <c r="D30" s="44" t="inlineStr">
        <is>
          <t>Escape</t>
        </is>
      </c>
      <c r="E30" s="44" t="inlineStr"/>
    </row>
    <row r="31">
      <c r="A31" s="44" t="inlineStr"/>
      <c r="B31" s="44" t="inlineStr">
        <is>
          <t>name; SELECT *</t>
        </is>
      </c>
      <c r="C31" s="44" t="inlineStr"/>
      <c r="D31" s="44" t="inlineStr">
        <is>
          <t>400</t>
        </is>
      </c>
      <c r="E31" s="44" t="inlineStr"/>
    </row>
    <row r="32">
      <c r="A32" s="44" t="inlineStr"/>
      <c r="B32" s="44" t="inlineStr">
        <is>
          <t>&lt;other-id&gt;</t>
        </is>
      </c>
      <c r="C32" s="44" t="inlineStr"/>
      <c r="D32" s="44" t="inlineStr">
        <is>
          <t>Ignored</t>
        </is>
      </c>
      <c r="E32" s="44" t="inlineStr"/>
    </row>
    <row r="33">
      <c r="A33" s="44" t="inlineStr"/>
      <c r="B33" s="44" t="inlineStr">
        <is>
          <t>http://evil.com</t>
        </is>
      </c>
      <c r="C33" s="44" t="inlineStr"/>
      <c r="D33" s="44" t="inlineStr">
        <is>
          <t>Block</t>
        </is>
      </c>
      <c r="E33" s="44" t="inlineStr"/>
    </row>
    <row r="34">
      <c r="A34" s="44" t="inlineStr"/>
      <c r="B34" s="44" t="inlineStr">
        <is>
          <t>Bearer &lt;tampered&gt;</t>
        </is>
      </c>
      <c r="C34" s="44" t="inlineStr"/>
      <c r="D34" s="44" t="inlineStr">
        <is>
          <t>401</t>
        </is>
      </c>
      <c r="E34" s="44" t="inlineStr"/>
    </row>
    <row r="35">
      <c r="A35" s="44" t="inlineStr"/>
      <c r="B35" s="44" t="inlineStr">
        <is>
          <t>&lt;!DOCTYPE foo [&lt;!ENTITY x SYSTEM 'file:///etc/passwd'&gt;]&gt;</t>
        </is>
      </c>
      <c r="C35" s="44" t="inlineStr"/>
      <c r="D35" s="44" t="inlineStr">
        <is>
          <t>Strip</t>
        </is>
      </c>
      <c r="E35" s="44" t="inlineStr"/>
    </row>
  </sheetData>
  <mergeCells count="3">
    <mergeCell ref="A27:G27"/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14" customWidth="1" min="5" max="5"/>
    <col width="40" customWidth="1" min="6" max="6"/>
    <col width="12" customWidth="1" min="7" max="7"/>
    <col width="50" customWidth="1" min="8" max="8"/>
    <col width="30" customWidth="1" min="9" max="9"/>
    <col width="25" customWidth="1" min="10" max="10"/>
    <col width="25" customWidth="1" min="11" max="11"/>
  </cols>
  <sheetData>
    <row r="1" ht="30" customHeight="1">
      <c r="A1" s="38" t="inlineStr">
        <is>
          <t>🗂️ DATA MATURITY MATRIX — Fixtures runner seed tự động trước mỗi test</t>
        </is>
      </c>
    </row>
    <row r="2" ht="35" customHeight="1">
      <c r="A2" s="60" t="inlineStr">
        <is>
          <t>Mỗi fixture có ID format &lt;entity&gt;.&lt;state&gt;.&lt;lifecycle&gt;.&lt;shape&gt;. Runner đọc setup_recipe → tự seed data trước test, KHÔNG cần human chạy SQL. Cleanup tự động sau test.</t>
        </is>
      </c>
    </row>
    <row r="3" ht="35" customHeight="1">
      <c r="A3" s="40" t="inlineStr">
        <is>
          <t>Fixture ID</t>
        </is>
      </c>
      <c r="B3" s="40" t="inlineStr">
        <is>
          <t>Entity</t>
        </is>
      </c>
      <c r="C3" s="40" t="inlineStr">
        <is>
          <t>State</t>
        </is>
      </c>
      <c r="D3" s="40" t="inlineStr">
        <is>
          <t>Lifecycle</t>
        </is>
      </c>
      <c r="E3" s="40" t="inlineStr">
        <is>
          <t>Shape</t>
        </is>
      </c>
      <c r="F3" s="40" t="inlineStr">
        <is>
          <t>Mô tả</t>
        </is>
      </c>
      <c r="G3" s="40" t="inlineStr">
        <is>
          <t>Setup type</t>
        </is>
      </c>
      <c r="H3" s="40" t="inlineStr">
        <is>
          <t>Setup recipe</t>
        </is>
      </c>
      <c r="I3" s="40" t="inlineStr">
        <is>
          <t>Cleanup recipe</t>
        </is>
      </c>
      <c r="J3" s="40" t="inlineStr">
        <is>
          <t>Outputs</t>
        </is>
      </c>
      <c r="K3" s="40" t="inlineStr">
        <is>
          <t>TC sử dụng</t>
        </is>
      </c>
    </row>
    <row r="4">
      <c r="A4" s="61" t="inlineStr">
        <is>
          <t>⚠️ Chưa có fixture nào define</t>
        </is>
      </c>
      <c r="B4" t="inlineStr">
        <is>
          <t>Xem references/data-maturity-matrix.md để biết cách viết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0" customHeight="1">
      <c r="A1" s="38" t="inlineStr">
        <is>
          <t>🐛 BUG TRACKER</t>
        </is>
      </c>
    </row>
    <row r="2">
      <c r="A2" s="62" t="inlineStr">
        <is>
          <t>Workflow: Open → Fixing → Fixed → Verified → Closed. Mỗi lần TC fail tự động tạo bug record.</t>
        </is>
      </c>
    </row>
    <row r="3" ht="35" customHeight="1">
      <c r="A3" s="40" t="inlineStr">
        <is>
          <t>Bug ID</t>
        </is>
      </c>
      <c r="B3" s="40" t="inlineStr">
        <is>
          <t>TC ID liên kết</t>
        </is>
      </c>
      <c r="C3" s="40" t="inlineStr">
        <is>
          <t>Mô tả bug</t>
        </is>
      </c>
      <c r="D3" s="40" t="inlineStr">
        <is>
          <t>Severity</t>
        </is>
      </c>
      <c r="E3" s="40" t="inlineStr">
        <is>
          <t>Status</t>
        </is>
      </c>
      <c r="F3" s="40" t="inlineStr">
        <is>
          <t>Ngày phát hiện</t>
        </is>
      </c>
      <c r="G3" s="40" t="inlineStr">
        <is>
          <t>Lần fix gần nhất</t>
        </is>
      </c>
      <c r="H3" s="40" t="inlineStr">
        <is>
          <t>Re-test kết quả</t>
        </is>
      </c>
      <c r="I3" s="40" t="inlineStr">
        <is>
          <t>Ghi chú</t>
        </is>
      </c>
    </row>
    <row r="4" ht="30" customHeight="1">
      <c r="A4" s="41" t="inlineStr"/>
      <c r="B4" s="41" t="inlineStr"/>
      <c r="C4" s="44" t="inlineStr"/>
      <c r="D4" s="41" t="inlineStr"/>
      <c r="E4" s="41" t="inlineStr"/>
      <c r="F4" s="41" t="inlineStr"/>
      <c r="G4" s="41" t="inlineStr"/>
      <c r="H4" s="41" t="inlineStr"/>
      <c r="I4" s="44" t="inlineStr"/>
    </row>
    <row r="5" ht="30" customHeight="1">
      <c r="A5" s="41" t="inlineStr"/>
      <c r="B5" s="41" t="inlineStr"/>
      <c r="C5" s="44" t="inlineStr"/>
      <c r="D5" s="41" t="inlineStr"/>
      <c r="E5" s="41" t="inlineStr"/>
      <c r="F5" s="41" t="inlineStr"/>
      <c r="G5" s="41" t="inlineStr"/>
      <c r="H5" s="41" t="inlineStr"/>
      <c r="I5" s="44" t="inlineStr"/>
    </row>
    <row r="6" ht="30" customHeight="1">
      <c r="A6" s="41" t="inlineStr"/>
      <c r="B6" s="41" t="inlineStr"/>
      <c r="C6" s="44" t="inlineStr"/>
      <c r="D6" s="41" t="inlineStr"/>
      <c r="E6" s="41" t="inlineStr"/>
      <c r="F6" s="41" t="inlineStr"/>
      <c r="G6" s="41" t="inlineStr"/>
      <c r="H6" s="41" t="inlineStr"/>
      <c r="I6" s="44" t="inlineStr"/>
    </row>
    <row r="7" ht="30" customHeight="1">
      <c r="A7" s="41" t="inlineStr"/>
      <c r="B7" s="41" t="inlineStr"/>
      <c r="C7" s="44" t="inlineStr"/>
      <c r="D7" s="41" t="inlineStr"/>
      <c r="E7" s="41" t="inlineStr"/>
      <c r="F7" s="41" t="inlineStr"/>
      <c r="G7" s="41" t="inlineStr"/>
      <c r="H7" s="41" t="inlineStr"/>
      <c r="I7" s="44" t="inlineStr"/>
    </row>
    <row r="8" ht="30" customHeight="1">
      <c r="A8" s="41" t="inlineStr"/>
      <c r="B8" s="41" t="inlineStr"/>
      <c r="C8" s="44" t="inlineStr"/>
      <c r="D8" s="41" t="inlineStr"/>
      <c r="E8" s="41" t="inlineStr"/>
      <c r="F8" s="41" t="inlineStr"/>
      <c r="G8" s="41" t="inlineStr"/>
      <c r="H8" s="41" t="inlineStr"/>
      <c r="I8" s="44" t="inlineStr"/>
    </row>
    <row r="9" ht="30" customHeight="1">
      <c r="A9" s="41" t="inlineStr"/>
      <c r="B9" s="41" t="inlineStr"/>
      <c r="C9" s="44" t="inlineStr"/>
      <c r="D9" s="41" t="inlineStr"/>
      <c r="E9" s="41" t="inlineStr"/>
      <c r="F9" s="41" t="inlineStr"/>
      <c r="G9" s="41" t="inlineStr"/>
      <c r="H9" s="41" t="inlineStr"/>
      <c r="I9" s="44" t="inlineStr"/>
    </row>
    <row r="10" ht="30" customHeight="1">
      <c r="A10" s="41" t="inlineStr"/>
      <c r="B10" s="41" t="inlineStr"/>
      <c r="C10" s="44" t="inlineStr"/>
      <c r="D10" s="41" t="inlineStr"/>
      <c r="E10" s="41" t="inlineStr"/>
      <c r="F10" s="41" t="inlineStr"/>
      <c r="G10" s="41" t="inlineStr"/>
      <c r="H10" s="41" t="inlineStr"/>
      <c r="I10" s="44" t="inlineStr"/>
    </row>
    <row r="11" ht="30" customHeight="1">
      <c r="A11" s="41" t="inlineStr"/>
      <c r="B11" s="41" t="inlineStr"/>
      <c r="C11" s="44" t="inlineStr"/>
      <c r="D11" s="41" t="inlineStr"/>
      <c r="E11" s="41" t="inlineStr"/>
      <c r="F11" s="41" t="inlineStr"/>
      <c r="G11" s="41" t="inlineStr"/>
      <c r="H11" s="41" t="inlineStr"/>
      <c r="I11" s="44" t="inlineStr"/>
    </row>
    <row r="12" ht="30" customHeight="1">
      <c r="A12" s="41" t="inlineStr"/>
      <c r="B12" s="41" t="inlineStr"/>
      <c r="C12" s="44" t="inlineStr"/>
      <c r="D12" s="41" t="inlineStr"/>
      <c r="E12" s="41" t="inlineStr"/>
      <c r="F12" s="41" t="inlineStr"/>
      <c r="G12" s="41" t="inlineStr"/>
      <c r="H12" s="41" t="inlineStr"/>
      <c r="I12" s="44" t="inlineStr"/>
    </row>
    <row r="13" ht="30" customHeight="1">
      <c r="A13" s="41" t="inlineStr"/>
      <c r="B13" s="41" t="inlineStr"/>
      <c r="C13" s="44" t="inlineStr"/>
      <c r="D13" s="41" t="inlineStr"/>
      <c r="E13" s="41" t="inlineStr"/>
      <c r="F13" s="41" t="inlineStr"/>
      <c r="G13" s="41" t="inlineStr"/>
      <c r="H13" s="41" t="inlineStr"/>
      <c r="I13" s="44" t="inlineStr"/>
    </row>
    <row r="14" ht="30" customHeight="1">
      <c r="A14" s="41" t="inlineStr"/>
      <c r="B14" s="41" t="inlineStr"/>
      <c r="C14" s="44" t="inlineStr"/>
      <c r="D14" s="41" t="inlineStr"/>
      <c r="E14" s="41" t="inlineStr"/>
      <c r="F14" s="41" t="inlineStr"/>
      <c r="G14" s="41" t="inlineStr"/>
      <c r="H14" s="41" t="inlineStr"/>
      <c r="I14" s="44" t="inlineStr"/>
    </row>
    <row r="15" ht="30" customHeight="1">
      <c r="A15" s="41" t="inlineStr"/>
      <c r="B15" s="41" t="inlineStr"/>
      <c r="C15" s="44" t="inlineStr"/>
      <c r="D15" s="41" t="inlineStr"/>
      <c r="E15" s="41" t="inlineStr"/>
      <c r="F15" s="41" t="inlineStr"/>
      <c r="G15" s="41" t="inlineStr"/>
      <c r="H15" s="41" t="inlineStr"/>
      <c r="I15" s="44" t="inlineStr"/>
    </row>
    <row r="16" ht="30" customHeight="1">
      <c r="A16" s="41" t="inlineStr"/>
      <c r="B16" s="41" t="inlineStr"/>
      <c r="C16" s="44" t="inlineStr"/>
      <c r="D16" s="41" t="inlineStr"/>
      <c r="E16" s="41" t="inlineStr"/>
      <c r="F16" s="41" t="inlineStr"/>
      <c r="G16" s="41" t="inlineStr"/>
      <c r="H16" s="41" t="inlineStr"/>
      <c r="I16" s="44" t="inlineStr"/>
    </row>
    <row r="17" ht="30" customHeight="1">
      <c r="A17" s="41" t="inlineStr"/>
      <c r="B17" s="41" t="inlineStr"/>
      <c r="C17" s="44" t="inlineStr"/>
      <c r="D17" s="41" t="inlineStr"/>
      <c r="E17" s="41" t="inlineStr"/>
      <c r="F17" s="41" t="inlineStr"/>
      <c r="G17" s="41" t="inlineStr"/>
      <c r="H17" s="41" t="inlineStr"/>
      <c r="I17" s="44" t="inlineStr"/>
    </row>
    <row r="18" ht="30" customHeight="1">
      <c r="A18" s="41" t="inlineStr"/>
      <c r="B18" s="41" t="inlineStr"/>
      <c r="C18" s="44" t="inlineStr"/>
      <c r="D18" s="41" t="inlineStr"/>
      <c r="E18" s="41" t="inlineStr"/>
      <c r="F18" s="41" t="inlineStr"/>
      <c r="G18" s="41" t="inlineStr"/>
      <c r="H18" s="41" t="inlineStr"/>
      <c r="I18" s="44" t="inlineStr"/>
    </row>
    <row r="19" ht="30" customHeight="1">
      <c r="A19" s="41" t="inlineStr"/>
      <c r="B19" s="41" t="inlineStr"/>
      <c r="C19" s="44" t="inlineStr"/>
      <c r="D19" s="41" t="inlineStr"/>
      <c r="E19" s="41" t="inlineStr"/>
      <c r="F19" s="41" t="inlineStr"/>
      <c r="G19" s="41" t="inlineStr"/>
      <c r="H19" s="41" t="inlineStr"/>
      <c r="I19" s="44" t="inlineStr"/>
    </row>
    <row r="20" ht="30" customHeight="1">
      <c r="A20" s="41" t="inlineStr"/>
      <c r="B20" s="41" t="inlineStr"/>
      <c r="C20" s="44" t="inlineStr"/>
      <c r="D20" s="41" t="inlineStr"/>
      <c r="E20" s="41" t="inlineStr"/>
      <c r="F20" s="41" t="inlineStr"/>
      <c r="G20" s="41" t="inlineStr"/>
      <c r="H20" s="41" t="inlineStr"/>
      <c r="I20" s="44" t="inlineStr"/>
    </row>
    <row r="21" ht="30" customHeight="1">
      <c r="A21" s="41" t="inlineStr"/>
      <c r="B21" s="41" t="inlineStr"/>
      <c r="C21" s="44" t="inlineStr"/>
      <c r="D21" s="41" t="inlineStr"/>
      <c r="E21" s="41" t="inlineStr"/>
      <c r="F21" s="41" t="inlineStr"/>
      <c r="G21" s="41" t="inlineStr"/>
      <c r="H21" s="41" t="inlineStr"/>
      <c r="I21" s="44" t="inlineStr"/>
    </row>
    <row r="22" ht="30" customHeight="1">
      <c r="A22" s="41" t="inlineStr"/>
      <c r="B22" s="41" t="inlineStr"/>
      <c r="C22" s="44" t="inlineStr"/>
      <c r="D22" s="41" t="inlineStr"/>
      <c r="E22" s="41" t="inlineStr"/>
      <c r="F22" s="41" t="inlineStr"/>
      <c r="G22" s="41" t="inlineStr"/>
      <c r="H22" s="41" t="inlineStr"/>
      <c r="I22" s="44" t="inlineStr"/>
    </row>
    <row r="23" ht="30" customHeight="1">
      <c r="A23" s="41" t="inlineStr"/>
      <c r="B23" s="41" t="inlineStr"/>
      <c r="C23" s="44" t="inlineStr"/>
      <c r="D23" s="41" t="inlineStr"/>
      <c r="E23" s="41" t="inlineStr"/>
      <c r="F23" s="41" t="inlineStr"/>
      <c r="G23" s="41" t="inlineStr"/>
      <c r="H23" s="41" t="inlineStr"/>
      <c r="I23" s="44" t="inlineStr"/>
    </row>
    <row r="24" ht="30" customHeight="1">
      <c r="A24" s="41" t="inlineStr"/>
      <c r="B24" s="41" t="inlineStr"/>
      <c r="C24" s="44" t="inlineStr"/>
      <c r="D24" s="41" t="inlineStr"/>
      <c r="E24" s="41" t="inlineStr"/>
      <c r="F24" s="41" t="inlineStr"/>
      <c r="G24" s="41" t="inlineStr"/>
      <c r="H24" s="41" t="inlineStr"/>
      <c r="I24" s="44" t="inlineStr"/>
    </row>
    <row r="25" ht="30" customHeight="1">
      <c r="A25" s="41" t="inlineStr"/>
      <c r="B25" s="41" t="inlineStr"/>
      <c r="C25" s="44" t="inlineStr"/>
      <c r="D25" s="41" t="inlineStr"/>
      <c r="E25" s="41" t="inlineStr"/>
      <c r="F25" s="41" t="inlineStr"/>
      <c r="G25" s="41" t="inlineStr"/>
      <c r="H25" s="41" t="inlineStr"/>
      <c r="I25" s="44" t="inlineStr"/>
    </row>
    <row r="26" ht="30" customHeight="1">
      <c r="A26" s="41" t="inlineStr"/>
      <c r="B26" s="41" t="inlineStr"/>
      <c r="C26" s="44" t="inlineStr"/>
      <c r="D26" s="41" t="inlineStr"/>
      <c r="E26" s="41" t="inlineStr"/>
      <c r="F26" s="41" t="inlineStr"/>
      <c r="G26" s="41" t="inlineStr"/>
      <c r="H26" s="41" t="inlineStr"/>
      <c r="I26" s="44" t="inlineStr"/>
    </row>
    <row r="27" ht="30" customHeight="1">
      <c r="A27" s="41" t="inlineStr"/>
      <c r="B27" s="41" t="inlineStr"/>
      <c r="C27" s="44" t="inlineStr"/>
      <c r="D27" s="41" t="inlineStr"/>
      <c r="E27" s="41" t="inlineStr"/>
      <c r="F27" s="41" t="inlineStr"/>
      <c r="G27" s="41" t="inlineStr"/>
      <c r="H27" s="41" t="inlineStr"/>
      <c r="I27" s="44" t="inlineStr"/>
    </row>
    <row r="28" ht="30" customHeight="1">
      <c r="A28" s="41" t="inlineStr"/>
      <c r="B28" s="41" t="inlineStr"/>
      <c r="C28" s="44" t="inlineStr"/>
      <c r="D28" s="41" t="inlineStr"/>
      <c r="E28" s="41" t="inlineStr"/>
      <c r="F28" s="41" t="inlineStr"/>
      <c r="G28" s="41" t="inlineStr"/>
      <c r="H28" s="41" t="inlineStr"/>
      <c r="I28" s="44" t="inlineStr"/>
    </row>
    <row r="29" ht="30" customHeight="1">
      <c r="A29" s="41" t="inlineStr"/>
      <c r="B29" s="41" t="inlineStr"/>
      <c r="C29" s="44" t="inlineStr"/>
      <c r="D29" s="41" t="inlineStr"/>
      <c r="E29" s="41" t="inlineStr"/>
      <c r="F29" s="41" t="inlineStr"/>
      <c r="G29" s="41" t="inlineStr"/>
      <c r="H29" s="41" t="inlineStr"/>
      <c r="I29" s="44" t="inlineStr"/>
    </row>
    <row r="30" ht="30" customHeight="1">
      <c r="A30" s="41" t="inlineStr"/>
      <c r="B30" s="41" t="inlineStr"/>
      <c r="C30" s="44" t="inlineStr"/>
      <c r="D30" s="41" t="inlineStr"/>
      <c r="E30" s="41" t="inlineStr"/>
      <c r="F30" s="41" t="inlineStr"/>
      <c r="G30" s="41" t="inlineStr"/>
      <c r="H30" s="41" t="inlineStr"/>
      <c r="I30" s="44" t="inlineStr"/>
    </row>
    <row r="31" ht="30" customHeight="1">
      <c r="A31" s="41" t="inlineStr"/>
      <c r="B31" s="41" t="inlineStr"/>
      <c r="C31" s="44" t="inlineStr"/>
      <c r="D31" s="41" t="inlineStr"/>
      <c r="E31" s="41" t="inlineStr"/>
      <c r="F31" s="41" t="inlineStr"/>
      <c r="G31" s="41" t="inlineStr"/>
      <c r="H31" s="41" t="inlineStr"/>
      <c r="I31" s="44" t="inlineStr"/>
    </row>
    <row r="32" ht="30" customHeight="1">
      <c r="A32" s="41" t="inlineStr"/>
      <c r="B32" s="41" t="inlineStr"/>
      <c r="C32" s="44" t="inlineStr"/>
      <c r="D32" s="41" t="inlineStr"/>
      <c r="E32" s="41" t="inlineStr"/>
      <c r="F32" s="41" t="inlineStr"/>
      <c r="G32" s="41" t="inlineStr"/>
      <c r="H32" s="41" t="inlineStr"/>
      <c r="I32" s="44" t="inlineStr"/>
    </row>
    <row r="33" ht="30" customHeight="1">
      <c r="A33" s="41" t="inlineStr"/>
      <c r="B33" s="41" t="inlineStr"/>
      <c r="C33" s="44" t="inlineStr"/>
      <c r="D33" s="41" t="inlineStr"/>
      <c r="E33" s="41" t="inlineStr"/>
      <c r="F33" s="41" t="inlineStr"/>
      <c r="G33" s="41" t="inlineStr"/>
      <c r="H33" s="41" t="inlineStr"/>
      <c r="I33" s="44" t="inlineStr"/>
    </row>
    <row r="34" ht="30" customHeight="1">
      <c r="A34" s="41" t="inlineStr"/>
      <c r="B34" s="41" t="inlineStr"/>
      <c r="C34" s="44" t="inlineStr"/>
      <c r="D34" s="41" t="inlineStr"/>
      <c r="E34" s="41" t="inlineStr"/>
      <c r="F34" s="41" t="inlineStr"/>
      <c r="G34" s="41" t="inlineStr"/>
      <c r="H34" s="41" t="inlineStr"/>
      <c r="I34" s="44" t="inlineStr"/>
    </row>
    <row r="35" ht="30" customHeight="1">
      <c r="A35" s="41" t="inlineStr"/>
      <c r="B35" s="41" t="inlineStr"/>
      <c r="C35" s="44" t="inlineStr"/>
      <c r="D35" s="41" t="inlineStr"/>
      <c r="E35" s="41" t="inlineStr"/>
      <c r="F35" s="41" t="inlineStr"/>
      <c r="G35" s="41" t="inlineStr"/>
      <c r="H35" s="41" t="inlineStr"/>
      <c r="I35" s="44" t="inlineStr"/>
    </row>
    <row r="36" ht="30" customHeight="1">
      <c r="A36" s="41" t="inlineStr"/>
      <c r="B36" s="41" t="inlineStr"/>
      <c r="C36" s="44" t="inlineStr"/>
      <c r="D36" s="41" t="inlineStr"/>
      <c r="E36" s="41" t="inlineStr"/>
      <c r="F36" s="41" t="inlineStr"/>
      <c r="G36" s="41" t="inlineStr"/>
      <c r="H36" s="41" t="inlineStr"/>
      <c r="I36" s="44" t="inlineStr"/>
    </row>
    <row r="37" ht="30" customHeight="1">
      <c r="A37" s="41" t="inlineStr"/>
      <c r="B37" s="41" t="inlineStr"/>
      <c r="C37" s="44" t="inlineStr"/>
      <c r="D37" s="41" t="inlineStr"/>
      <c r="E37" s="41" t="inlineStr"/>
      <c r="F37" s="41" t="inlineStr"/>
      <c r="G37" s="41" t="inlineStr"/>
      <c r="H37" s="41" t="inlineStr"/>
      <c r="I37" s="44" t="inlineStr"/>
    </row>
    <row r="38" ht="30" customHeight="1">
      <c r="A38" s="41" t="inlineStr"/>
      <c r="B38" s="41" t="inlineStr"/>
      <c r="C38" s="44" t="inlineStr"/>
      <c r="D38" s="41" t="inlineStr"/>
      <c r="E38" s="41" t="inlineStr"/>
      <c r="F38" s="41" t="inlineStr"/>
      <c r="G38" s="41" t="inlineStr"/>
      <c r="H38" s="41" t="inlineStr"/>
      <c r="I38" s="44" t="inlineStr"/>
    </row>
    <row r="39" ht="30" customHeight="1">
      <c r="A39" s="41" t="inlineStr"/>
      <c r="B39" s="41" t="inlineStr"/>
      <c r="C39" s="44" t="inlineStr"/>
      <c r="D39" s="41" t="inlineStr"/>
      <c r="E39" s="41" t="inlineStr"/>
      <c r="F39" s="41" t="inlineStr"/>
      <c r="G39" s="41" t="inlineStr"/>
      <c r="H39" s="41" t="inlineStr"/>
      <c r="I39" s="44" t="inlineStr"/>
    </row>
    <row r="40" ht="30" customHeight="1">
      <c r="A40" s="41" t="inlineStr"/>
      <c r="B40" s="41" t="inlineStr"/>
      <c r="C40" s="44" t="inlineStr"/>
      <c r="D40" s="41" t="inlineStr"/>
      <c r="E40" s="41" t="inlineStr"/>
      <c r="F40" s="41" t="inlineStr"/>
      <c r="G40" s="41" t="inlineStr"/>
      <c r="H40" s="41" t="inlineStr"/>
      <c r="I40" s="44" t="inlineStr"/>
    </row>
    <row r="41" ht="30" customHeight="1">
      <c r="A41" s="41" t="inlineStr"/>
      <c r="B41" s="41" t="inlineStr"/>
      <c r="C41" s="44" t="inlineStr"/>
      <c r="D41" s="41" t="inlineStr"/>
      <c r="E41" s="41" t="inlineStr"/>
      <c r="F41" s="41" t="inlineStr"/>
      <c r="G41" s="41" t="inlineStr"/>
      <c r="H41" s="41" t="inlineStr"/>
      <c r="I41" s="44" t="inlineStr"/>
    </row>
    <row r="42" ht="30" customHeight="1">
      <c r="A42" s="41" t="inlineStr"/>
      <c r="B42" s="41" t="inlineStr"/>
      <c r="C42" s="44" t="inlineStr"/>
      <c r="D42" s="41" t="inlineStr"/>
      <c r="E42" s="41" t="inlineStr"/>
      <c r="F42" s="41" t="inlineStr"/>
      <c r="G42" s="41" t="inlineStr"/>
      <c r="H42" s="41" t="inlineStr"/>
      <c r="I42" s="44" t="inlineStr"/>
    </row>
    <row r="43" ht="30" customHeight="1">
      <c r="A43" s="41" t="inlineStr"/>
      <c r="B43" s="41" t="inlineStr"/>
      <c r="C43" s="44" t="inlineStr"/>
      <c r="D43" s="41" t="inlineStr"/>
      <c r="E43" s="41" t="inlineStr"/>
      <c r="F43" s="41" t="inlineStr"/>
      <c r="G43" s="41" t="inlineStr"/>
      <c r="H43" s="41" t="inlineStr"/>
      <c r="I43" s="44" t="inlineStr"/>
    </row>
    <row r="44" ht="30" customHeight="1">
      <c r="A44" s="41" t="inlineStr"/>
      <c r="B44" s="41" t="inlineStr"/>
      <c r="C44" s="44" t="inlineStr"/>
      <c r="D44" s="41" t="inlineStr"/>
      <c r="E44" s="41" t="inlineStr"/>
      <c r="F44" s="41" t="inlineStr"/>
      <c r="G44" s="41" t="inlineStr"/>
      <c r="H44" s="41" t="inlineStr"/>
      <c r="I44" s="44" t="inlineStr"/>
    </row>
    <row r="45" ht="30" customHeight="1">
      <c r="A45" s="41" t="inlineStr"/>
      <c r="B45" s="41" t="inlineStr"/>
      <c r="C45" s="44" t="inlineStr"/>
      <c r="D45" s="41" t="inlineStr"/>
      <c r="E45" s="41" t="inlineStr"/>
      <c r="F45" s="41" t="inlineStr"/>
      <c r="G45" s="41" t="inlineStr"/>
      <c r="H45" s="41" t="inlineStr"/>
      <c r="I45" s="44" t="inlineStr"/>
    </row>
    <row r="46" ht="30" customHeight="1">
      <c r="A46" s="41" t="inlineStr"/>
      <c r="B46" s="41" t="inlineStr"/>
      <c r="C46" s="44" t="inlineStr"/>
      <c r="D46" s="41" t="inlineStr"/>
      <c r="E46" s="41" t="inlineStr"/>
      <c r="F46" s="41" t="inlineStr"/>
      <c r="G46" s="41" t="inlineStr"/>
      <c r="H46" s="41" t="inlineStr"/>
      <c r="I46" s="44" t="inlineStr"/>
    </row>
    <row r="47" ht="30" customHeight="1">
      <c r="A47" s="41" t="inlineStr"/>
      <c r="B47" s="41" t="inlineStr"/>
      <c r="C47" s="44" t="inlineStr"/>
      <c r="D47" s="41" t="inlineStr"/>
      <c r="E47" s="41" t="inlineStr"/>
      <c r="F47" s="41" t="inlineStr"/>
      <c r="G47" s="41" t="inlineStr"/>
      <c r="H47" s="41" t="inlineStr"/>
      <c r="I47" s="44" t="inlineStr"/>
    </row>
    <row r="48" ht="30" customHeight="1">
      <c r="A48" s="41" t="inlineStr"/>
      <c r="B48" s="41" t="inlineStr"/>
      <c r="C48" s="44" t="inlineStr"/>
      <c r="D48" s="41" t="inlineStr"/>
      <c r="E48" s="41" t="inlineStr"/>
      <c r="F48" s="41" t="inlineStr"/>
      <c r="G48" s="41" t="inlineStr"/>
      <c r="H48" s="41" t="inlineStr"/>
      <c r="I48" s="44" t="inlineStr"/>
    </row>
    <row r="49" ht="30" customHeight="1">
      <c r="A49" s="41" t="inlineStr"/>
      <c r="B49" s="41" t="inlineStr"/>
      <c r="C49" s="44" t="inlineStr"/>
      <c r="D49" s="41" t="inlineStr"/>
      <c r="E49" s="41" t="inlineStr"/>
      <c r="F49" s="41" t="inlineStr"/>
      <c r="G49" s="41" t="inlineStr"/>
      <c r="H49" s="41" t="inlineStr"/>
      <c r="I49" s="44" t="inlineStr"/>
    </row>
    <row r="50" ht="30" customHeight="1">
      <c r="A50" s="41" t="inlineStr"/>
      <c r="B50" s="41" t="inlineStr"/>
      <c r="C50" s="44" t="inlineStr"/>
      <c r="D50" s="41" t="inlineStr"/>
      <c r="E50" s="41" t="inlineStr"/>
      <c r="F50" s="41" t="inlineStr"/>
      <c r="G50" s="41" t="inlineStr"/>
      <c r="H50" s="41" t="inlineStr"/>
      <c r="I50" s="44" t="inlineStr"/>
    </row>
    <row r="51" ht="30" customHeight="1">
      <c r="A51" s="41" t="inlineStr"/>
      <c r="B51" s="41" t="inlineStr"/>
      <c r="C51" s="44" t="inlineStr"/>
      <c r="D51" s="41" t="inlineStr"/>
      <c r="E51" s="41" t="inlineStr"/>
      <c r="F51" s="41" t="inlineStr"/>
      <c r="G51" s="41" t="inlineStr"/>
      <c r="H51" s="41" t="inlineStr"/>
      <c r="I51" s="44" t="inlineStr"/>
    </row>
    <row r="52" ht="30" customHeight="1">
      <c r="A52" s="41" t="inlineStr"/>
      <c r="B52" s="41" t="inlineStr"/>
      <c r="C52" s="44" t="inlineStr"/>
      <c r="D52" s="41" t="inlineStr"/>
      <c r="E52" s="41" t="inlineStr"/>
      <c r="F52" s="41" t="inlineStr"/>
      <c r="G52" s="41" t="inlineStr"/>
      <c r="H52" s="41" t="inlineStr"/>
      <c r="I52" s="44" t="inlineStr"/>
    </row>
    <row r="53" ht="30" customHeight="1">
      <c r="A53" s="41" t="inlineStr"/>
      <c r="B53" s="41" t="inlineStr"/>
      <c r="C53" s="44" t="inlineStr"/>
      <c r="D53" s="41" t="inlineStr"/>
      <c r="E53" s="41" t="inlineStr"/>
      <c r="F53" s="41" t="inlineStr"/>
      <c r="G53" s="41" t="inlineStr"/>
      <c r="H53" s="41" t="inlineStr"/>
      <c r="I53" s="44" t="inlineStr"/>
    </row>
  </sheetData>
  <autoFilter ref="A3:I53"/>
  <mergeCells count="2">
    <mergeCell ref="A1:I1"/>
    <mergeCell ref="A2:I2"/>
  </mergeCells>
  <conditionalFormatting sqref="E4:E54">
    <cfRule type="cellIs" priority="1" operator="equal" dxfId="3">
      <formula>"Open"</formula>
    </cfRule>
    <cfRule type="cellIs" priority="2" operator="equal" dxfId="4">
      <formula>"Fixing"</formula>
    </cfRule>
    <cfRule type="cellIs" priority="3" operator="equal" dxfId="7">
      <formula>"Fixed"</formula>
    </cfRule>
    <cfRule type="cellIs" priority="4" operator="equal" dxfId="2">
      <formula>"Verified"</formula>
    </cfRule>
    <cfRule type="cellIs" priority="5" operator="equal" dxfId="5">
      <formula>"Closed"</formula>
    </cfRule>
    <cfRule type="cellIs" priority="6" operator="equal" dxfId="8">
      <formula>"Reopened"</formula>
    </cfRule>
  </conditionalFormatting>
  <conditionalFormatting sqref="D4:D54">
    <cfRule type="cellIs" priority="7" operator="equal" dxfId="0">
      <formula>"Critical"</formula>
    </cfRule>
    <cfRule type="cellIs" priority="8" operator="equal" dxfId="9">
      <formula>"High"</formula>
    </cfRule>
    <cfRule type="cellIs" priority="9" operator="equal" dxfId="10">
      <formula>"Medium"</formula>
    </cfRule>
    <cfRule type="cellIs" priority="10" operator="equal" dxfId="11">
      <formula>"Low"</formula>
    </cfRule>
  </conditionalFormatting>
  <dataValidations count="3">
    <dataValidation sqref="D4:D54" showDropDown="0" showInputMessage="0" showErrorMessage="0" allowBlank="1" type="list">
      <formula1>"Critical,High,Medium,Low"</formula1>
    </dataValidation>
    <dataValidation sqref="E4:E54" showDropDown="0" showInputMessage="0" showErrorMessage="0" allowBlank="1" prompt="Open → Fixing → Fixed → Verified → Closed" type="list">
      <formula1>"Open,Fixing,Fixed,Verified,Closed,Reopened,Cannot Reproduce,Wont Fix"</formula1>
    </dataValidation>
    <dataValidation sqref="H4:H54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  <col width="14" customWidth="1" min="8" max="8"/>
    <col width="18" customWidth="1" min="9" max="9"/>
    <col width="50" customWidth="1" min="10" max="10"/>
    <col width="12" customWidth="1" min="11" max="11"/>
    <col width="16" customWidth="1" min="12" max="12"/>
    <col width="30" customWidth="1" min="13" max="13"/>
  </cols>
  <sheetData>
    <row r="1" ht="30" customHeight="1">
      <c r="A1" s="63" t="inlineStr">
        <is>
          <t>⚠️ REGRESSION LOG — Theo dõi lỗi level down (TC từng Đạt nay Không đạt)</t>
        </is>
      </c>
    </row>
    <row r="2" ht="35" customHeight="1">
      <c r="A2" s="60" t="inlineStr">
        <is>
          <t>Auto-generated bởi runner khi phát hiện TC từng Đạt giờ Không đạt sau khi fix bug khác. Severity tự động ESCALATE +1 level (High→Critical, Medium→High...). BẤT KỲ regression nào còn open đều BLOCK release.</t>
        </is>
      </c>
    </row>
    <row r="3" ht="35" customHeight="1">
      <c r="A3" s="64" t="inlineStr">
        <is>
          <t>Reg ID</t>
        </is>
      </c>
      <c r="B3" s="64" t="inlineStr">
        <is>
          <t>TC ID</t>
        </is>
      </c>
      <c r="C3" s="64" t="inlineStr">
        <is>
          <t>Module</t>
        </is>
      </c>
      <c r="D3" s="64" t="inlineStr">
        <is>
          <t>Lần phát hiện</t>
        </is>
      </c>
      <c r="E3" s="64" t="inlineStr">
        <is>
          <t>Bug gốc gây regression</t>
        </is>
      </c>
      <c r="F3" s="64" t="inlineStr">
        <is>
          <t>Status trước retest</t>
        </is>
      </c>
      <c r="G3" s="64" t="inlineStr">
        <is>
          <t>Status sau retest</t>
        </is>
      </c>
      <c r="H3" s="64" t="inlineStr">
        <is>
          <t>Severity gốc</t>
        </is>
      </c>
      <c r="I3" s="64" t="inlineStr">
        <is>
          <t>Severity regression</t>
        </is>
      </c>
      <c r="J3" s="64" t="inlineStr">
        <is>
          <t>Mô tả regression</t>
        </is>
      </c>
      <c r="K3" s="64" t="inlineStr">
        <is>
          <t>Đã fix?</t>
        </is>
      </c>
      <c r="L3" s="64" t="inlineStr">
        <is>
          <t>Ngày verify lại</t>
        </is>
      </c>
      <c r="M3" s="64" t="inlineStr">
        <is>
          <t>Ghi chú</t>
        </is>
      </c>
    </row>
    <row r="4" ht="35" customHeight="1">
      <c r="A4" s="41" t="inlineStr"/>
      <c r="B4" s="41" t="inlineStr"/>
      <c r="C4" s="44" t="inlineStr"/>
      <c r="D4" s="41" t="inlineStr"/>
      <c r="E4" s="44" t="inlineStr"/>
      <c r="F4" s="41" t="inlineStr"/>
      <c r="G4" s="41" t="inlineStr"/>
      <c r="H4" s="41" t="inlineStr"/>
      <c r="I4" s="41" t="inlineStr"/>
      <c r="J4" s="44" t="inlineStr"/>
      <c r="K4" s="41" t="inlineStr"/>
      <c r="L4" s="41" t="inlineStr"/>
      <c r="M4" s="44" t="inlineStr"/>
    </row>
    <row r="5" ht="35" customHeight="1">
      <c r="A5" s="41" t="inlineStr"/>
      <c r="B5" s="41" t="inlineStr"/>
      <c r="C5" s="44" t="inlineStr"/>
      <c r="D5" s="41" t="inlineStr"/>
      <c r="E5" s="44" t="inlineStr"/>
      <c r="F5" s="41" t="inlineStr"/>
      <c r="G5" s="41" t="inlineStr"/>
      <c r="H5" s="41" t="inlineStr"/>
      <c r="I5" s="41" t="inlineStr"/>
      <c r="J5" s="44" t="inlineStr"/>
      <c r="K5" s="41" t="inlineStr"/>
      <c r="L5" s="41" t="inlineStr"/>
      <c r="M5" s="44" t="inlineStr"/>
    </row>
    <row r="6" ht="35" customHeight="1">
      <c r="A6" s="41" t="inlineStr"/>
      <c r="B6" s="41" t="inlineStr"/>
      <c r="C6" s="44" t="inlineStr"/>
      <c r="D6" s="41" t="inlineStr"/>
      <c r="E6" s="44" t="inlineStr"/>
      <c r="F6" s="41" t="inlineStr"/>
      <c r="G6" s="41" t="inlineStr"/>
      <c r="H6" s="41" t="inlineStr"/>
      <c r="I6" s="41" t="inlineStr"/>
      <c r="J6" s="44" t="inlineStr"/>
      <c r="K6" s="41" t="inlineStr"/>
      <c r="L6" s="41" t="inlineStr"/>
      <c r="M6" s="44" t="inlineStr"/>
    </row>
    <row r="7" ht="35" customHeight="1">
      <c r="A7" s="41" t="inlineStr"/>
      <c r="B7" s="41" t="inlineStr"/>
      <c r="C7" s="44" t="inlineStr"/>
      <c r="D7" s="41" t="inlineStr"/>
      <c r="E7" s="44" t="inlineStr"/>
      <c r="F7" s="41" t="inlineStr"/>
      <c r="G7" s="41" t="inlineStr"/>
      <c r="H7" s="41" t="inlineStr"/>
      <c r="I7" s="41" t="inlineStr"/>
      <c r="J7" s="44" t="inlineStr"/>
      <c r="K7" s="41" t="inlineStr"/>
      <c r="L7" s="41" t="inlineStr"/>
      <c r="M7" s="44" t="inlineStr"/>
    </row>
    <row r="8" ht="35" customHeight="1">
      <c r="A8" s="41" t="inlineStr"/>
      <c r="B8" s="41" t="inlineStr"/>
      <c r="C8" s="44" t="inlineStr"/>
      <c r="D8" s="41" t="inlineStr"/>
      <c r="E8" s="44" t="inlineStr"/>
      <c r="F8" s="41" t="inlineStr"/>
      <c r="G8" s="41" t="inlineStr"/>
      <c r="H8" s="41" t="inlineStr"/>
      <c r="I8" s="41" t="inlineStr"/>
      <c r="J8" s="44" t="inlineStr"/>
      <c r="K8" s="41" t="inlineStr"/>
      <c r="L8" s="41" t="inlineStr"/>
      <c r="M8" s="44" t="inlineStr"/>
    </row>
    <row r="9" ht="35" customHeight="1">
      <c r="A9" s="41" t="inlineStr"/>
      <c r="B9" s="41" t="inlineStr"/>
      <c r="C9" s="44" t="inlineStr"/>
      <c r="D9" s="41" t="inlineStr"/>
      <c r="E9" s="44" t="inlineStr"/>
      <c r="F9" s="41" t="inlineStr"/>
      <c r="G9" s="41" t="inlineStr"/>
      <c r="H9" s="41" t="inlineStr"/>
      <c r="I9" s="41" t="inlineStr"/>
      <c r="J9" s="44" t="inlineStr"/>
      <c r="K9" s="41" t="inlineStr"/>
      <c r="L9" s="41" t="inlineStr"/>
      <c r="M9" s="44" t="inlineStr"/>
    </row>
    <row r="10" ht="35" customHeight="1">
      <c r="A10" s="41" t="inlineStr"/>
      <c r="B10" s="41" t="inlineStr"/>
      <c r="C10" s="44" t="inlineStr"/>
      <c r="D10" s="41" t="inlineStr"/>
      <c r="E10" s="44" t="inlineStr"/>
      <c r="F10" s="41" t="inlineStr"/>
      <c r="G10" s="41" t="inlineStr"/>
      <c r="H10" s="41" t="inlineStr"/>
      <c r="I10" s="41" t="inlineStr"/>
      <c r="J10" s="44" t="inlineStr"/>
      <c r="K10" s="41" t="inlineStr"/>
      <c r="L10" s="41" t="inlineStr"/>
      <c r="M10" s="44" t="inlineStr"/>
    </row>
    <row r="11" ht="35" customHeight="1">
      <c r="A11" s="41" t="inlineStr"/>
      <c r="B11" s="41" t="inlineStr"/>
      <c r="C11" s="44" t="inlineStr"/>
      <c r="D11" s="41" t="inlineStr"/>
      <c r="E11" s="44" t="inlineStr"/>
      <c r="F11" s="41" t="inlineStr"/>
      <c r="G11" s="41" t="inlineStr"/>
      <c r="H11" s="41" t="inlineStr"/>
      <c r="I11" s="41" t="inlineStr"/>
      <c r="J11" s="44" t="inlineStr"/>
      <c r="K11" s="41" t="inlineStr"/>
      <c r="L11" s="41" t="inlineStr"/>
      <c r="M11" s="44" t="inlineStr"/>
    </row>
    <row r="12" ht="35" customHeight="1">
      <c r="A12" s="41" t="inlineStr"/>
      <c r="B12" s="41" t="inlineStr"/>
      <c r="C12" s="44" t="inlineStr"/>
      <c r="D12" s="41" t="inlineStr"/>
      <c r="E12" s="44" t="inlineStr"/>
      <c r="F12" s="41" t="inlineStr"/>
      <c r="G12" s="41" t="inlineStr"/>
      <c r="H12" s="41" t="inlineStr"/>
      <c r="I12" s="41" t="inlineStr"/>
      <c r="J12" s="44" t="inlineStr"/>
      <c r="K12" s="41" t="inlineStr"/>
      <c r="L12" s="41" t="inlineStr"/>
      <c r="M12" s="44" t="inlineStr"/>
    </row>
    <row r="13" ht="35" customHeight="1">
      <c r="A13" s="41" t="inlineStr"/>
      <c r="B13" s="41" t="inlineStr"/>
      <c r="C13" s="44" t="inlineStr"/>
      <c r="D13" s="41" t="inlineStr"/>
      <c r="E13" s="44" t="inlineStr"/>
      <c r="F13" s="41" t="inlineStr"/>
      <c r="G13" s="41" t="inlineStr"/>
      <c r="H13" s="41" t="inlineStr"/>
      <c r="I13" s="41" t="inlineStr"/>
      <c r="J13" s="44" t="inlineStr"/>
      <c r="K13" s="41" t="inlineStr"/>
      <c r="L13" s="41" t="inlineStr"/>
      <c r="M13" s="44" t="inlineStr"/>
    </row>
    <row r="14" ht="35" customHeight="1">
      <c r="A14" s="41" t="inlineStr"/>
      <c r="B14" s="41" t="inlineStr"/>
      <c r="C14" s="44" t="inlineStr"/>
      <c r="D14" s="41" t="inlineStr"/>
      <c r="E14" s="44" t="inlineStr"/>
      <c r="F14" s="41" t="inlineStr"/>
      <c r="G14" s="41" t="inlineStr"/>
      <c r="H14" s="41" t="inlineStr"/>
      <c r="I14" s="41" t="inlineStr"/>
      <c r="J14" s="44" t="inlineStr"/>
      <c r="K14" s="41" t="inlineStr"/>
      <c r="L14" s="41" t="inlineStr"/>
      <c r="M14" s="44" t="inlineStr"/>
    </row>
    <row r="15" ht="35" customHeight="1">
      <c r="A15" s="41" t="inlineStr"/>
      <c r="B15" s="41" t="inlineStr"/>
      <c r="C15" s="44" t="inlineStr"/>
      <c r="D15" s="41" t="inlineStr"/>
      <c r="E15" s="44" t="inlineStr"/>
      <c r="F15" s="41" t="inlineStr"/>
      <c r="G15" s="41" t="inlineStr"/>
      <c r="H15" s="41" t="inlineStr"/>
      <c r="I15" s="41" t="inlineStr"/>
      <c r="J15" s="44" t="inlineStr"/>
      <c r="K15" s="41" t="inlineStr"/>
      <c r="L15" s="41" t="inlineStr"/>
      <c r="M15" s="44" t="inlineStr"/>
    </row>
    <row r="16" ht="35" customHeight="1">
      <c r="A16" s="41" t="inlineStr"/>
      <c r="B16" s="41" t="inlineStr"/>
      <c r="C16" s="44" t="inlineStr"/>
      <c r="D16" s="41" t="inlineStr"/>
      <c r="E16" s="44" t="inlineStr"/>
      <c r="F16" s="41" t="inlineStr"/>
      <c r="G16" s="41" t="inlineStr"/>
      <c r="H16" s="41" t="inlineStr"/>
      <c r="I16" s="41" t="inlineStr"/>
      <c r="J16" s="44" t="inlineStr"/>
      <c r="K16" s="41" t="inlineStr"/>
      <c r="L16" s="41" t="inlineStr"/>
      <c r="M16" s="44" t="inlineStr"/>
    </row>
    <row r="17" ht="35" customHeight="1">
      <c r="A17" s="41" t="inlineStr"/>
      <c r="B17" s="41" t="inlineStr"/>
      <c r="C17" s="44" t="inlineStr"/>
      <c r="D17" s="41" t="inlineStr"/>
      <c r="E17" s="44" t="inlineStr"/>
      <c r="F17" s="41" t="inlineStr"/>
      <c r="G17" s="41" t="inlineStr"/>
      <c r="H17" s="41" t="inlineStr"/>
      <c r="I17" s="41" t="inlineStr"/>
      <c r="J17" s="44" t="inlineStr"/>
      <c r="K17" s="41" t="inlineStr"/>
      <c r="L17" s="41" t="inlineStr"/>
      <c r="M17" s="44" t="inlineStr"/>
    </row>
    <row r="18" ht="35" customHeight="1">
      <c r="A18" s="41" t="inlineStr"/>
      <c r="B18" s="41" t="inlineStr"/>
      <c r="C18" s="44" t="inlineStr"/>
      <c r="D18" s="41" t="inlineStr"/>
      <c r="E18" s="44" t="inlineStr"/>
      <c r="F18" s="41" t="inlineStr"/>
      <c r="G18" s="41" t="inlineStr"/>
      <c r="H18" s="41" t="inlineStr"/>
      <c r="I18" s="41" t="inlineStr"/>
      <c r="J18" s="44" t="inlineStr"/>
      <c r="K18" s="41" t="inlineStr"/>
      <c r="L18" s="41" t="inlineStr"/>
      <c r="M18" s="44" t="inlineStr"/>
    </row>
    <row r="19" ht="35" customHeight="1">
      <c r="A19" s="41" t="inlineStr"/>
      <c r="B19" s="41" t="inlineStr"/>
      <c r="C19" s="44" t="inlineStr"/>
      <c r="D19" s="41" t="inlineStr"/>
      <c r="E19" s="44" t="inlineStr"/>
      <c r="F19" s="41" t="inlineStr"/>
      <c r="G19" s="41" t="inlineStr"/>
      <c r="H19" s="41" t="inlineStr"/>
      <c r="I19" s="41" t="inlineStr"/>
      <c r="J19" s="44" t="inlineStr"/>
      <c r="K19" s="41" t="inlineStr"/>
      <c r="L19" s="41" t="inlineStr"/>
      <c r="M19" s="44" t="inlineStr"/>
    </row>
    <row r="20" ht="35" customHeight="1">
      <c r="A20" s="41" t="inlineStr"/>
      <c r="B20" s="41" t="inlineStr"/>
      <c r="C20" s="44" t="inlineStr"/>
      <c r="D20" s="41" t="inlineStr"/>
      <c r="E20" s="44" t="inlineStr"/>
      <c r="F20" s="41" t="inlineStr"/>
      <c r="G20" s="41" t="inlineStr"/>
      <c r="H20" s="41" t="inlineStr"/>
      <c r="I20" s="41" t="inlineStr"/>
      <c r="J20" s="44" t="inlineStr"/>
      <c r="K20" s="41" t="inlineStr"/>
      <c r="L20" s="41" t="inlineStr"/>
      <c r="M20" s="44" t="inlineStr"/>
    </row>
    <row r="21" ht="35" customHeight="1">
      <c r="A21" s="41" t="inlineStr"/>
      <c r="B21" s="41" t="inlineStr"/>
      <c r="C21" s="44" t="inlineStr"/>
      <c r="D21" s="41" t="inlineStr"/>
      <c r="E21" s="44" t="inlineStr"/>
      <c r="F21" s="41" t="inlineStr"/>
      <c r="G21" s="41" t="inlineStr"/>
      <c r="H21" s="41" t="inlineStr"/>
      <c r="I21" s="41" t="inlineStr"/>
      <c r="J21" s="44" t="inlineStr"/>
      <c r="K21" s="41" t="inlineStr"/>
      <c r="L21" s="41" t="inlineStr"/>
      <c r="M21" s="44" t="inlineStr"/>
    </row>
    <row r="22" ht="35" customHeight="1">
      <c r="A22" s="41" t="inlineStr"/>
      <c r="B22" s="41" t="inlineStr"/>
      <c r="C22" s="44" t="inlineStr"/>
      <c r="D22" s="41" t="inlineStr"/>
      <c r="E22" s="44" t="inlineStr"/>
      <c r="F22" s="41" t="inlineStr"/>
      <c r="G22" s="41" t="inlineStr"/>
      <c r="H22" s="41" t="inlineStr"/>
      <c r="I22" s="41" t="inlineStr"/>
      <c r="J22" s="44" t="inlineStr"/>
      <c r="K22" s="41" t="inlineStr"/>
      <c r="L22" s="41" t="inlineStr"/>
      <c r="M22" s="44" t="inlineStr"/>
    </row>
    <row r="23" ht="35" customHeight="1">
      <c r="A23" s="41" t="inlineStr"/>
      <c r="B23" s="41" t="inlineStr"/>
      <c r="C23" s="44" t="inlineStr"/>
      <c r="D23" s="41" t="inlineStr"/>
      <c r="E23" s="44" t="inlineStr"/>
      <c r="F23" s="41" t="inlineStr"/>
      <c r="G23" s="41" t="inlineStr"/>
      <c r="H23" s="41" t="inlineStr"/>
      <c r="I23" s="41" t="inlineStr"/>
      <c r="J23" s="44" t="inlineStr"/>
      <c r="K23" s="41" t="inlineStr"/>
      <c r="L23" s="41" t="inlineStr"/>
      <c r="M23" s="44" t="inlineStr"/>
    </row>
    <row r="24" ht="35" customHeight="1">
      <c r="A24" s="41" t="inlineStr"/>
      <c r="B24" s="41" t="inlineStr"/>
      <c r="C24" s="44" t="inlineStr"/>
      <c r="D24" s="41" t="inlineStr"/>
      <c r="E24" s="44" t="inlineStr"/>
      <c r="F24" s="41" t="inlineStr"/>
      <c r="G24" s="41" t="inlineStr"/>
      <c r="H24" s="41" t="inlineStr"/>
      <c r="I24" s="41" t="inlineStr"/>
      <c r="J24" s="44" t="inlineStr"/>
      <c r="K24" s="41" t="inlineStr"/>
      <c r="L24" s="41" t="inlineStr"/>
      <c r="M24" s="44" t="inlineStr"/>
    </row>
    <row r="25" ht="35" customHeight="1">
      <c r="A25" s="41" t="inlineStr"/>
      <c r="B25" s="41" t="inlineStr"/>
      <c r="C25" s="44" t="inlineStr"/>
      <c r="D25" s="41" t="inlineStr"/>
      <c r="E25" s="44" t="inlineStr"/>
      <c r="F25" s="41" t="inlineStr"/>
      <c r="G25" s="41" t="inlineStr"/>
      <c r="H25" s="41" t="inlineStr"/>
      <c r="I25" s="41" t="inlineStr"/>
      <c r="J25" s="44" t="inlineStr"/>
      <c r="K25" s="41" t="inlineStr"/>
      <c r="L25" s="41" t="inlineStr"/>
      <c r="M25" s="44" t="inlineStr"/>
    </row>
    <row r="26" ht="35" customHeight="1">
      <c r="A26" s="41" t="inlineStr"/>
      <c r="B26" s="41" t="inlineStr"/>
      <c r="C26" s="44" t="inlineStr"/>
      <c r="D26" s="41" t="inlineStr"/>
      <c r="E26" s="44" t="inlineStr"/>
      <c r="F26" s="41" t="inlineStr"/>
      <c r="G26" s="41" t="inlineStr"/>
      <c r="H26" s="41" t="inlineStr"/>
      <c r="I26" s="41" t="inlineStr"/>
      <c r="J26" s="44" t="inlineStr"/>
      <c r="K26" s="41" t="inlineStr"/>
      <c r="L26" s="41" t="inlineStr"/>
      <c r="M26" s="44" t="inlineStr"/>
    </row>
    <row r="27" ht="35" customHeight="1">
      <c r="A27" s="41" t="inlineStr"/>
      <c r="B27" s="41" t="inlineStr"/>
      <c r="C27" s="44" t="inlineStr"/>
      <c r="D27" s="41" t="inlineStr"/>
      <c r="E27" s="44" t="inlineStr"/>
      <c r="F27" s="41" t="inlineStr"/>
      <c r="G27" s="41" t="inlineStr"/>
      <c r="H27" s="41" t="inlineStr"/>
      <c r="I27" s="41" t="inlineStr"/>
      <c r="J27" s="44" t="inlineStr"/>
      <c r="K27" s="41" t="inlineStr"/>
      <c r="L27" s="41" t="inlineStr"/>
      <c r="M27" s="44" t="inlineStr"/>
    </row>
    <row r="28" ht="35" customHeight="1">
      <c r="A28" s="41" t="inlineStr"/>
      <c r="B28" s="41" t="inlineStr"/>
      <c r="C28" s="44" t="inlineStr"/>
      <c r="D28" s="41" t="inlineStr"/>
      <c r="E28" s="44" t="inlineStr"/>
      <c r="F28" s="41" t="inlineStr"/>
      <c r="G28" s="41" t="inlineStr"/>
      <c r="H28" s="41" t="inlineStr"/>
      <c r="I28" s="41" t="inlineStr"/>
      <c r="J28" s="44" t="inlineStr"/>
      <c r="K28" s="41" t="inlineStr"/>
      <c r="L28" s="41" t="inlineStr"/>
      <c r="M28" s="44" t="inlineStr"/>
    </row>
    <row r="29" ht="35" customHeight="1">
      <c r="A29" s="41" t="inlineStr"/>
      <c r="B29" s="41" t="inlineStr"/>
      <c r="C29" s="44" t="inlineStr"/>
      <c r="D29" s="41" t="inlineStr"/>
      <c r="E29" s="44" t="inlineStr"/>
      <c r="F29" s="41" t="inlineStr"/>
      <c r="G29" s="41" t="inlineStr"/>
      <c r="H29" s="41" t="inlineStr"/>
      <c r="I29" s="41" t="inlineStr"/>
      <c r="J29" s="44" t="inlineStr"/>
      <c r="K29" s="41" t="inlineStr"/>
      <c r="L29" s="41" t="inlineStr"/>
      <c r="M29" s="44" t="inlineStr"/>
    </row>
    <row r="30" ht="35" customHeight="1">
      <c r="A30" s="41" t="inlineStr"/>
      <c r="B30" s="41" t="inlineStr"/>
      <c r="C30" s="44" t="inlineStr"/>
      <c r="D30" s="41" t="inlineStr"/>
      <c r="E30" s="44" t="inlineStr"/>
      <c r="F30" s="41" t="inlineStr"/>
      <c r="G30" s="41" t="inlineStr"/>
      <c r="H30" s="41" t="inlineStr"/>
      <c r="I30" s="41" t="inlineStr"/>
      <c r="J30" s="44" t="inlineStr"/>
      <c r="K30" s="41" t="inlineStr"/>
      <c r="L30" s="41" t="inlineStr"/>
      <c r="M30" s="44" t="inlineStr"/>
    </row>
    <row r="31" ht="35" customHeight="1">
      <c r="A31" s="41" t="inlineStr"/>
      <c r="B31" s="41" t="inlineStr"/>
      <c r="C31" s="44" t="inlineStr"/>
      <c r="D31" s="41" t="inlineStr"/>
      <c r="E31" s="44" t="inlineStr"/>
      <c r="F31" s="41" t="inlineStr"/>
      <c r="G31" s="41" t="inlineStr"/>
      <c r="H31" s="41" t="inlineStr"/>
      <c r="I31" s="41" t="inlineStr"/>
      <c r="J31" s="44" t="inlineStr"/>
      <c r="K31" s="41" t="inlineStr"/>
      <c r="L31" s="41" t="inlineStr"/>
      <c r="M31" s="44" t="inlineStr"/>
    </row>
    <row r="32" ht="35" customHeight="1">
      <c r="A32" s="41" t="inlineStr"/>
      <c r="B32" s="41" t="inlineStr"/>
      <c r="C32" s="44" t="inlineStr"/>
      <c r="D32" s="41" t="inlineStr"/>
      <c r="E32" s="44" t="inlineStr"/>
      <c r="F32" s="41" t="inlineStr"/>
      <c r="G32" s="41" t="inlineStr"/>
      <c r="H32" s="41" t="inlineStr"/>
      <c r="I32" s="41" t="inlineStr"/>
      <c r="J32" s="44" t="inlineStr"/>
      <c r="K32" s="41" t="inlineStr"/>
      <c r="L32" s="41" t="inlineStr"/>
      <c r="M32" s="44" t="inlineStr"/>
    </row>
    <row r="33" ht="35" customHeight="1">
      <c r="A33" s="41" t="inlineStr"/>
      <c r="B33" s="41" t="inlineStr"/>
      <c r="C33" s="44" t="inlineStr"/>
      <c r="D33" s="41" t="inlineStr"/>
      <c r="E33" s="44" t="inlineStr"/>
      <c r="F33" s="41" t="inlineStr"/>
      <c r="G33" s="41" t="inlineStr"/>
      <c r="H33" s="41" t="inlineStr"/>
      <c r="I33" s="41" t="inlineStr"/>
      <c r="J33" s="44" t="inlineStr"/>
      <c r="K33" s="41" t="inlineStr"/>
      <c r="L33" s="41" t="inlineStr"/>
      <c r="M33" s="44" t="inlineStr"/>
    </row>
  </sheetData>
  <autoFilter ref="A3:M33"/>
  <mergeCells count="2">
    <mergeCell ref="A2:M2"/>
    <mergeCell ref="A1:M1"/>
  </mergeCells>
  <conditionalFormatting sqref="I4:I34">
    <cfRule type="cellIs" priority="1" operator="equal" dxfId="0">
      <formula>"Critical"</formula>
    </cfRule>
    <cfRule type="cellIs" priority="2" operator="equal" dxfId="9">
      <formula>"High"</formula>
    </cfRule>
    <cfRule type="cellIs" priority="3" operator="equal" dxfId="10">
      <formula>"Medium"</formula>
    </cfRule>
  </conditionalFormatting>
  <conditionalFormatting sqref="K4:K34">
    <cfRule type="cellIs" priority="4" operator="equal" dxfId="3">
      <formula>"No"</formula>
    </cfRule>
    <cfRule type="cellIs" priority="5" operator="equal" dxfId="2">
      <formula>"Yes"</formula>
    </cfRule>
    <cfRule type="cellIs" priority="6" operator="equal" dxfId="4">
      <formula>"Verifying"</formula>
    </cfRule>
  </conditionalFormatting>
  <dataValidations count="3">
    <dataValidation sqref="H4:H34" showDropDown="0" showInputMessage="0" showErrorMessage="0" allowBlank="1" type="list">
      <formula1>"Critical,High,Medium,Low"</formula1>
    </dataValidation>
    <dataValidation sqref="I4:I34" showDropDown="0" showInputMessage="0" showErrorMessage="0" allowBlank="1" type="list">
      <formula1>"Critical,High,Medium,Low"</formula1>
    </dataValidation>
    <dataValidation sqref="K4:K34" showDropDown="0" showInputMessage="0" showErrorMessage="0" allowBlank="1" type="list">
      <formula1>"Yes,No,Verifying"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2026-05-30T15:02:53Z</dcterms:created>
  <dcterms:modified xmlns:dcterms="http://purl.org/dc/terms/" xmlns:xsi="http://www.w3.org/2001/XMLSchema-instance" xsi:type="dcterms:W3CDTF">2026-05-30T15:02:53Z</dcterms:modified>
</cp:coreProperties>
</file>