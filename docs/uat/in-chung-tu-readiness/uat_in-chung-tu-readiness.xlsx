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Cases'!$A$3:$X$131</definedName>
    <definedName name="_xlnm._FilterDatabase" localSheetId="3" hidden="1">'Data Matrix'!$A$3:$K$7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70AD47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C00000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FFB6C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9" fillId="16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5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18" fillId="21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9" fillId="2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4" fillId="17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/>
    </xf>
    <xf numFmtId="0" fontId="1" fillId="22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128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Cases'!R4:R131="Đạt")*('Test Cases'!S4:S131="Đạt"))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Cases'!R4:R131="Không đạt")+('Test Cases'!S4:S131="Không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Cases'!R4:R131,"Đạt")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Cases'!R4:R131,"Không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Cases'!S4:S131,"Đạt")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Cases'!S4:S131,"Không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Cases'!S4:S131,"Bỏ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Cases'!R4:R131)+COUNTIF('Test Cases'!R4:R131,"Chưa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Cases'!R4:R131="Đạt")*('Test Cases'!S4:S131="Đạt"))/(SUMPRODUCT(('Test Cases'!R4:R131="Đạt")*('Test Cases'!S4:S131="Đạt"))+SUMPRODUCT((('Test Cases'!R4:R131="Không đạt")+('Test Cases'!S4:S131="Không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Cases'!R4:R131,"Đạt")/(COUNTIF('Test Cases'!R4:R131,"Đạt")+COUNTIF('Test Cases'!R4:R131,"Không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Cases'!S4:S131,"Đạt")/(COUNTIF('Test Cases'!S4:S131,"Đạt")+COUNTIF('Test Cases'!S4:S131,"Không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Cases'!R4:R131,"Đạt")+COUNTIF('Test Cases'!R4:R131,"Không đạt")+COUNTIF('Test Cases'!R4:R131,"Bị chặn"))/128,0)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Cases'!B4:B131,"GREEN")</f>
        <v/>
      </c>
      <c r="C21" s="14">
        <f>IFERROR(B21/128,0)</f>
        <v/>
      </c>
      <c r="D21" s="13">
        <f>COUNTIFS('Test Cases'!B4:B131,"GREEN",'Test Cases'!S4:S131,"Đạt")</f>
        <v/>
      </c>
      <c r="E21" s="13">
        <f>COUNTIFS('Test Cases'!B4:B131,"GREEN",'Test Cases'!S4:S131,"Không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Cases'!B4:B131,"RED")</f>
        <v/>
      </c>
      <c r="C22" s="14">
        <f>IFERROR(B22/128,0)</f>
        <v/>
      </c>
      <c r="D22" s="13">
        <f>COUNTIFS('Test Cases'!B4:B131,"RED",'Test Cases'!S4:S131,"Đạt")</f>
        <v/>
      </c>
      <c r="E22" s="13">
        <f>COUNTIFS('Test Cases'!B4:B131,"RED",'Test Cases'!S4:S131,"Không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Cases'!B4:B131,"EDGE")</f>
        <v/>
      </c>
      <c r="C23" s="14">
        <f>IFERROR(B23/128,0)</f>
        <v/>
      </c>
      <c r="D23" s="13">
        <f>COUNTIFS('Test Cases'!B4:B131,"EDGE",'Test Cases'!S4:S131,"Đạt")</f>
        <v/>
      </c>
      <c r="E23" s="13">
        <f>COUNTIFS('Test Cases'!B4:B131,"EDGE",'Test Cases'!S4:S131,"Không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Cases'!B4:B131,"BOUNDARY")</f>
        <v/>
      </c>
      <c r="C24" s="14">
        <f>IFERROR(B24/128,0)</f>
        <v/>
      </c>
      <c r="D24" s="13">
        <f>COUNTIFS('Test Cases'!B4:B131,"BOUNDARY",'Test Cases'!S4:S131,"Đạt")</f>
        <v/>
      </c>
      <c r="E24" s="13">
        <f>COUNTIFS('Test Cases'!B4:B131,"BOUNDARY",'Test Cases'!S4:S131,"Không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Cases'!B4:B131,"EP")</f>
        <v/>
      </c>
      <c r="C25" s="14">
        <f>IFERROR(B25/128,0)</f>
        <v/>
      </c>
      <c r="D25" s="13">
        <f>COUNTIFS('Test Cases'!B4:B131,"EP",'Test Cases'!S4:S131,"Đạt")</f>
        <v/>
      </c>
      <c r="E25" s="13">
        <f>COUNTIFS('Test Cases'!B4:B131,"EP",'Test Cases'!S4:S131,"Không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Cases'!B4:B131,"STATE")</f>
        <v/>
      </c>
      <c r="C26" s="14">
        <f>IFERROR(B26/128,0)</f>
        <v/>
      </c>
      <c r="D26" s="13">
        <f>COUNTIFS('Test Cases'!B4:B131,"STATE",'Test Cases'!S4:S131,"Đạt")</f>
        <v/>
      </c>
      <c r="E26" s="13">
        <f>COUNTIFS('Test Cases'!B4:B131,"STATE",'Test Cases'!S4:S131,"Không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Cases'!B4:B131,"DECISION")</f>
        <v/>
      </c>
      <c r="C27" s="14">
        <f>IFERROR(B27/128,0)</f>
        <v/>
      </c>
      <c r="D27" s="13">
        <f>COUNTIFS('Test Cases'!B4:B131,"DECISION",'Test Cases'!S4:S131,"Đạt")</f>
        <v/>
      </c>
      <c r="E27" s="13">
        <f>COUNTIFS('Test Cases'!B4:B131,"DECISION",'Test Cases'!S4:S131,"Không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Cases'!B4:B131,"SECURITY")</f>
        <v/>
      </c>
      <c r="C28" s="14">
        <f>IFERROR(B28/128,0)</f>
        <v/>
      </c>
      <c r="D28" s="13">
        <f>COUNTIFS('Test Cases'!B4:B131,"SECURITY",'Test Cases'!S4:S131,"Đạt")</f>
        <v/>
      </c>
      <c r="E28" s="13">
        <f>COUNTIFS('Test Cases'!B4:B131,"SECURITY",'Test Cases'!S4:S131,"Không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Cases'!B4:B131,"DATA")</f>
        <v/>
      </c>
      <c r="C29" s="14">
        <f>IFERROR(B29/128,0)</f>
        <v/>
      </c>
      <c r="D29" s="13">
        <f>COUNTIFS('Test Cases'!B4:B131,"DATA",'Test Cases'!S4:S131,"Đạt")</f>
        <v/>
      </c>
      <c r="E29" s="13">
        <f>COUNTIFS('Test Cases'!B4:B131,"DATA",'Test Cases'!S4:S131,"Không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Cases'!B4:B131,"PERFORMANCE")</f>
        <v/>
      </c>
      <c r="C30" s="14">
        <f>IFERROR(B30/128,0)</f>
        <v/>
      </c>
      <c r="D30" s="13">
        <f>COUNTIFS('Test Cases'!B4:B131,"PERFORMANCE",'Test Cases'!S4:S131,"Đạt")</f>
        <v/>
      </c>
      <c r="E30" s="13">
        <f>COUNTIFS('Test Cases'!B4:B131,"PERFORMANCE",'Test Cases'!S4:S131,"Không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Cases'!B4:B131,"A11Y")</f>
        <v/>
      </c>
      <c r="C31" s="14">
        <f>IFERROR(B31/128,0)</f>
        <v/>
      </c>
      <c r="D31" s="13">
        <f>COUNTIFS('Test Cases'!B4:B131,"A11Y",'Test Cases'!S4:S131,"Đạt")</f>
        <v/>
      </c>
      <c r="E31" s="13">
        <f>COUNTIFS('Test Cases'!B4:B131,"A11Y",'Test Cases'!S4:S131,"Không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Cases'!B4:B131,"COMPAT")</f>
        <v/>
      </c>
      <c r="C32" s="14">
        <f>IFERROR(B32/128,0)</f>
        <v/>
      </c>
      <c r="D32" s="13">
        <f>COUNTIFS('Test Cases'!B4:B131,"COMPAT",'Test Cases'!S4:S131,"Đạt")</f>
        <v/>
      </c>
      <c r="E32" s="13">
        <f>COUNTIFS('Test Cases'!B4:B131,"COMPAT",'Test Cases'!S4:S131,"Không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Cases'!B4:B131,"INTEGRATION")</f>
        <v/>
      </c>
      <c r="C33" s="14">
        <f>IFERROR(B33/128,0)</f>
        <v/>
      </c>
      <c r="D33" s="13">
        <f>COUNTIFS('Test Cases'!B4:B131,"INTEGRATION",'Test Cases'!S4:S131,"Đạt")</f>
        <v/>
      </c>
      <c r="E33" s="13">
        <f>COUNTIFS('Test Cases'!B4:B131,"INTEGRATION",'Test Cases'!S4:S131,"Không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Cases'!B4:B131,"REGRESSION")</f>
        <v/>
      </c>
      <c r="C34" s="14">
        <f>IFERROR(B34/128,0)</f>
        <v/>
      </c>
      <c r="D34" s="13">
        <f>COUNTIFS('Test Cases'!B4:B131,"REGRESSION",'Test Cases'!S4:S131,"Đạt")</f>
        <v/>
      </c>
      <c r="E34" s="13">
        <f>COUNTIFS('Test Cases'!B4:B131,"REGRESSION",'Test Cases'!S4:S131,"Không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Cases'!B4:B131,"RECOVERY")</f>
        <v/>
      </c>
      <c r="C35" s="14">
        <f>IFERROR(B35/128,0)</f>
        <v/>
      </c>
      <c r="D35" s="13">
        <f>COUNTIFS('Test Cases'!B4:B131,"RECOVERY",'Test Cases'!S4:S131,"Đạt")</f>
        <v/>
      </c>
      <c r="E35" s="13">
        <f>COUNTIFS('Test Cases'!B4:B131,"RECOVERY",'Test Cases'!S4:S131,"Không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Cases'!B4:B131,"AUDIT")</f>
        <v/>
      </c>
      <c r="C36" s="14">
        <f>IFERROR(B36/128,0)</f>
        <v/>
      </c>
      <c r="D36" s="13">
        <f>COUNTIFS('Test Cases'!B4:B131,"AUDIT",'Test Cases'!S4:S131,"Đạt")</f>
        <v/>
      </c>
      <c r="E36" s="13">
        <f>COUNTIFS('Test Cases'!B4:B131,"AUDIT",'Test Cases'!S4:S131,"Không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Cases'!B4:B131,"USABILITY")</f>
        <v/>
      </c>
      <c r="C37" s="14">
        <f>IFERROR(B37/128,0)</f>
        <v/>
      </c>
      <c r="D37" s="13">
        <f>COUNTIFS('Test Cases'!B4:B131,"USABILITY",'Test Cases'!S4:S131,"Đạt")</f>
        <v/>
      </c>
      <c r="E37" s="13">
        <f>COUNTIFS('Test Cases'!B4:B131,"USABILITY",'Test Cases'!S4:S131,"Không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Cases'!C4:C131,"P0")</f>
        <v/>
      </c>
      <c r="C41" s="14">
        <f>IFERROR(B41/128,0)</f>
        <v/>
      </c>
      <c r="D41" s="13">
        <f>COUNTIFS('Test Cases'!C4:C131,"P0",'Test Cases'!S4:S131,"Đạt")</f>
        <v/>
      </c>
      <c r="E41" s="13">
        <f>COUNTIFS('Test Cases'!C4:C131,"P0",'Test Cases'!S4:S131,"Không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Cases'!C4:C131,"P1")</f>
        <v/>
      </c>
      <c r="C42" s="14">
        <f>IFERROR(B42/128,0)</f>
        <v/>
      </c>
      <c r="D42" s="13">
        <f>COUNTIFS('Test Cases'!C4:C131,"P1",'Test Cases'!S4:S131,"Đạt")</f>
        <v/>
      </c>
      <c r="E42" s="13">
        <f>COUNTIFS('Test Cases'!C4:C131,"P1",'Test Cases'!S4:S131,"Không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Cases'!C4:C131,"P2")</f>
        <v/>
      </c>
      <c r="C43" s="14">
        <f>IFERROR(B43/128,0)</f>
        <v/>
      </c>
      <c r="D43" s="13">
        <f>COUNTIFS('Test Cases'!C4:C131,"P2",'Test Cases'!S4:S131,"Đạt")</f>
        <v/>
      </c>
      <c r="E43" s="13">
        <f>COUNTIFS('Test Cases'!C4:C131,"P2",'Test Cases'!S4:S131,"Không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Cases'!C4:C131,"P3")</f>
        <v/>
      </c>
      <c r="C44" s="14">
        <f>IFERROR(B44/128,0)</f>
        <v/>
      </c>
      <c r="D44" s="13">
        <f>COUNTIFS('Test Cases'!C4:C131,"P3",'Test Cases'!S4:S131,"Đạt")</f>
        <v/>
      </c>
      <c r="E44" s="13">
        <f>COUNTIFS('Test Cases'!C4:C131,"P3",'Test Cases'!S4:S131,"Không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Cases'!C4:C131,"P0",'Test Cases'!S4:S131,"Đạt")/COUNTIF('Test Cases'!C4:C131,"P0"),0)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Cases'!C4:C131,"P1",'Test Cases'!S4:S131,"Đạt")/COUNTIF('Test Cases'!C4:C131,"P1"),0)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Cases'!C4:C131,"P2",'Test Cases'!S4:S131,"Đạt")/MAX(COUNTIF('Test Cases'!C4:C131,"P2"),1),1)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In chứng từ — báo &amp; bổ sung thông tin thiếu per mẫu (Đơn thư + Vụ việc + Vụ án + Admin required)</t>
        </is>
      </c>
    </row>
    <row r="2">
      <c r="A2" s="39" t="inlineStr">
        <is>
          <t>Tổng số TC: 128 | Ngày tạo: 28/06/2026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Đơn thư (Petition)</t>
        </is>
      </c>
      <c r="E4" s="44" t="inlineStr">
        <is>
          <t>Tạo đơn thư fixture (thiếu nội dung) thành công</t>
        </is>
      </c>
      <c r="F4" s="41" t="inlineStr"/>
      <c r="G4" s="41" t="inlineStr"/>
      <c r="H4" s="41" t="inlineStr"/>
      <c r="I4" s="44" t="inlineStr"/>
      <c r="J4" s="44" t="inlineStr">
        <is>
          <t>Chạy LIVE API trên local. POST /petitions status=201 id=cmqxhnkrt0000r0m72evjyn1x</t>
        </is>
      </c>
      <c r="K4" s="44" t="inlineStr"/>
      <c r="L4" s="44" t="inlineStr"/>
      <c r="M4" s="44" t="inlineStr">
        <is>
          <t>true</t>
        </is>
      </c>
      <c r="N4" s="44" t="inlineStr"/>
      <c r="O4" s="44" t="inlineStr"/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/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Đơn thư (Petition)</t>
        </is>
      </c>
      <c r="E5" s="44" t="inlineStr">
        <is>
          <t>GET petition export-readiness trả 200 + items[]</t>
        </is>
      </c>
      <c r="F5" s="41" t="inlineStr"/>
      <c r="G5" s="41" t="inlineStr"/>
      <c r="H5" s="41" t="inlineStr"/>
      <c r="I5" s="44" t="inlineStr"/>
      <c r="J5" s="44" t="inlineStr">
        <is>
          <t>Chạy LIVE API trên local. status=200 items=7</t>
        </is>
      </c>
      <c r="K5" s="44" t="inlineStr"/>
      <c r="L5" s="44" t="inlineStr"/>
      <c r="M5" s="44" t="inlineStr">
        <is>
          <t>true</t>
        </is>
      </c>
      <c r="N5" s="44" t="inlineStr"/>
      <c r="O5" s="44" t="inlineStr"/>
      <c r="P5" s="41" t="inlineStr">
        <is>
          <t>Critical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/>
    </row>
    <row r="6" ht="80" customHeight="1">
      <c r="A6" s="41" t="inlineStr">
        <is>
          <t>TC-003</t>
        </is>
      </c>
      <c r="B6" s="45" t="inlineStr">
        <is>
          <t>RED</t>
        </is>
      </c>
      <c r="C6" s="43" t="inlineStr">
        <is>
          <t>P0</t>
        </is>
      </c>
      <c r="D6" s="44" t="inlineStr">
        <is>
          <t>Đơn thư (Petition)</t>
        </is>
      </c>
      <c r="E6" s="44" t="inlineStr">
        <is>
          <t>Đơn thư rỗng: PHIEU_DE_XUAT ready=false</t>
        </is>
      </c>
      <c r="F6" s="41" t="inlineStr"/>
      <c r="G6" s="41" t="inlineStr"/>
      <c r="H6" s="41" t="inlineStr"/>
      <c r="I6" s="44" t="inlineStr"/>
      <c r="J6" s="44" t="inlineStr">
        <is>
          <t>Chạy LIVE API trên local. ready=false missing=senderName,detailContent,nhanThay,deXuat</t>
        </is>
      </c>
      <c r="K6" s="44" t="inlineStr"/>
      <c r="L6" s="44" t="inlineStr"/>
      <c r="M6" s="44" t="inlineStr">
        <is>
          <t>true</t>
        </is>
      </c>
      <c r="N6" s="44" t="inlineStr"/>
      <c r="O6" s="44" t="inlineStr"/>
      <c r="P6" s="41" t="inlineStr">
        <is>
          <t>Critical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/>
    </row>
    <row r="7" ht="80" customHeight="1">
      <c r="A7" s="41" t="inlineStr">
        <is>
          <t>TC-004</t>
        </is>
      </c>
      <c r="B7" s="45" t="inlineStr">
        <is>
          <t>RED</t>
        </is>
      </c>
      <c r="C7" s="46" t="inlineStr">
        <is>
          <t>P1</t>
        </is>
      </c>
      <c r="D7" s="44" t="inlineStr">
        <is>
          <t>Đơn thư (Petition)</t>
        </is>
      </c>
      <c r="E7" s="44" t="inlineStr">
        <is>
          <t>Đơn thư rỗng: PHIEU_DE_XUAT báo thiếu senderName+detailContent</t>
        </is>
      </c>
      <c r="F7" s="41" t="inlineStr"/>
      <c r="G7" s="41" t="inlineStr"/>
      <c r="H7" s="41" t="inlineStr"/>
      <c r="I7" s="44" t="inlineStr"/>
      <c r="J7" s="44" t="inlineStr">
        <is>
          <t>Chạy LIVE API trên local. missing=senderName,detailContent,nhanThay,deXuat</t>
        </is>
      </c>
      <c r="K7" s="44" t="inlineStr"/>
      <c r="L7" s="44" t="inlineStr"/>
      <c r="M7" s="44" t="inlineStr">
        <is>
          <t>true</t>
        </is>
      </c>
      <c r="N7" s="44" t="inlineStr"/>
      <c r="O7" s="44" t="inlineStr"/>
      <c r="P7" s="41" t="inlineStr">
        <is>
          <t>High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/>
    </row>
    <row r="8" ht="80" customHeight="1">
      <c r="A8" s="41" t="inlineStr">
        <is>
          <t>TC-005</t>
        </is>
      </c>
      <c r="B8" s="45" t="inlineStr">
        <is>
          <t>RED</t>
        </is>
      </c>
      <c r="C8" s="43" t="inlineStr">
        <is>
          <t>P0</t>
        </is>
      </c>
      <c r="D8" s="44" t="inlineStr">
        <is>
          <t>Đơn thư (Petition)</t>
        </is>
      </c>
      <c r="E8" s="44" t="inlineStr">
        <is>
          <t>Đơn thư rỗng: PHIEU_CHUYEN_NGUON_TIN ready=false</t>
        </is>
      </c>
      <c r="F8" s="41" t="inlineStr"/>
      <c r="G8" s="41" t="inlineStr"/>
      <c r="H8" s="41" t="inlineStr"/>
      <c r="I8" s="44" t="inlineStr"/>
      <c r="J8" s="44" t="inlineStr">
        <is>
          <t>Chạy LIVE API trên local. ready=false missing=senderName,detailContent,lyDoChuyen,canCuPhapLy</t>
        </is>
      </c>
      <c r="K8" s="44" t="inlineStr"/>
      <c r="L8" s="44" t="inlineStr"/>
      <c r="M8" s="44" t="inlineStr">
        <is>
          <t>true</t>
        </is>
      </c>
      <c r="N8" s="44" t="inlineStr"/>
      <c r="O8" s="44" t="inlineStr"/>
      <c r="P8" s="41" t="inlineStr">
        <is>
          <t>Critical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/>
    </row>
    <row r="9" ht="80" customHeight="1">
      <c r="A9" s="41" t="inlineStr">
        <is>
          <t>TC-006</t>
        </is>
      </c>
      <c r="B9" s="45" t="inlineStr">
        <is>
          <t>RED</t>
        </is>
      </c>
      <c r="C9" s="46" t="inlineStr">
        <is>
          <t>P1</t>
        </is>
      </c>
      <c r="D9" s="44" t="inlineStr">
        <is>
          <t>Đơn thư (Petition)</t>
        </is>
      </c>
      <c r="E9" s="44" t="inlineStr">
        <is>
          <t>Đơn thư rỗng: PHIEU_CHUYEN_NGUON_TIN báo thiếu senderName+detailContent</t>
        </is>
      </c>
      <c r="F9" s="41" t="inlineStr"/>
      <c r="G9" s="41" t="inlineStr"/>
      <c r="H9" s="41" t="inlineStr"/>
      <c r="I9" s="44" t="inlineStr"/>
      <c r="J9" s="44" t="inlineStr">
        <is>
          <t>Chạy LIVE API trên local. missing=senderName,detailContent,lyDoChuyen,canCuPhapLy</t>
        </is>
      </c>
      <c r="K9" s="44" t="inlineStr"/>
      <c r="L9" s="44" t="inlineStr"/>
      <c r="M9" s="44" t="inlineStr">
        <is>
          <t>true</t>
        </is>
      </c>
      <c r="N9" s="44" t="inlineStr"/>
      <c r="O9" s="44" t="inlineStr"/>
      <c r="P9" s="41" t="inlineStr">
        <is>
          <t>High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/>
    </row>
    <row r="10" ht="80" customHeight="1">
      <c r="A10" s="41" t="inlineStr">
        <is>
          <t>TC-007</t>
        </is>
      </c>
      <c r="B10" s="45" t="inlineStr">
        <is>
          <t>RED</t>
        </is>
      </c>
      <c r="C10" s="43" t="inlineStr">
        <is>
          <t>P0</t>
        </is>
      </c>
      <c r="D10" s="44" t="inlineStr">
        <is>
          <t>Đơn thư (Petition)</t>
        </is>
      </c>
      <c r="E10" s="44" t="inlineStr">
        <is>
          <t>Đơn thư rỗng: PHIEU_CHUYEN_DON ready=false</t>
        </is>
      </c>
      <c r="F10" s="41" t="inlineStr"/>
      <c r="G10" s="41" t="inlineStr"/>
      <c r="H10" s="41" t="inlineStr"/>
      <c r="I10" s="44" t="inlineStr"/>
      <c r="J10" s="44" t="inlineStr">
        <is>
          <t>Chạy LIVE API trên local. ready=false missing=senderName,detailContent,lyDoChuyen</t>
        </is>
      </c>
      <c r="K10" s="44" t="inlineStr"/>
      <c r="L10" s="44" t="inlineStr"/>
      <c r="M10" s="44" t="inlineStr">
        <is>
          <t>true</t>
        </is>
      </c>
      <c r="N10" s="44" t="inlineStr"/>
      <c r="O10" s="44" t="inlineStr"/>
      <c r="P10" s="41" t="inlineStr">
        <is>
          <t>Critical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/>
    </row>
    <row r="11" ht="80" customHeight="1">
      <c r="A11" s="41" t="inlineStr">
        <is>
          <t>TC-008</t>
        </is>
      </c>
      <c r="B11" s="45" t="inlineStr">
        <is>
          <t>RED</t>
        </is>
      </c>
      <c r="C11" s="46" t="inlineStr">
        <is>
          <t>P1</t>
        </is>
      </c>
      <c r="D11" s="44" t="inlineStr">
        <is>
          <t>Đơn thư (Petition)</t>
        </is>
      </c>
      <c r="E11" s="44" t="inlineStr">
        <is>
          <t>Đơn thư rỗng: PHIEU_CHUYEN_DON báo thiếu senderName+detailContent</t>
        </is>
      </c>
      <c r="F11" s="41" t="inlineStr"/>
      <c r="G11" s="41" t="inlineStr"/>
      <c r="H11" s="41" t="inlineStr"/>
      <c r="I11" s="44" t="inlineStr"/>
      <c r="J11" s="44" t="inlineStr">
        <is>
          <t>Chạy LIVE API trên local. missing=senderName,detailContent,lyDoChuyen</t>
        </is>
      </c>
      <c r="K11" s="44" t="inlineStr"/>
      <c r="L11" s="44" t="inlineStr"/>
      <c r="M11" s="44" t="inlineStr">
        <is>
          <t>true</t>
        </is>
      </c>
      <c r="N11" s="44" t="inlineStr"/>
      <c r="O11" s="44" t="inlineStr"/>
      <c r="P11" s="41" t="inlineStr">
        <is>
          <t>High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/>
    </row>
    <row r="12" ht="80" customHeight="1">
      <c r="A12" s="41" t="inlineStr">
        <is>
          <t>TC-009</t>
        </is>
      </c>
      <c r="B12" s="45" t="inlineStr">
        <is>
          <t>RED</t>
        </is>
      </c>
      <c r="C12" s="43" t="inlineStr">
        <is>
          <t>P0</t>
        </is>
      </c>
      <c r="D12" s="44" t="inlineStr">
        <is>
          <t>Đơn thư (Petition)</t>
        </is>
      </c>
      <c r="E12" s="44" t="inlineStr">
        <is>
          <t>Đơn thư rỗng: THONG_BAO_HUONG_DAN ready=false</t>
        </is>
      </c>
      <c r="F12" s="41" t="inlineStr"/>
      <c r="G12" s="41" t="inlineStr"/>
      <c r="H12" s="41" t="inlineStr"/>
      <c r="I12" s="44" t="inlineStr"/>
      <c r="J12" s="44" t="inlineStr">
        <is>
          <t>Chạy LIVE API trên local. ready=false missing=senderName,detailContent,huongDanKhoiKien</t>
        </is>
      </c>
      <c r="K12" s="44" t="inlineStr"/>
      <c r="L12" s="44" t="inlineStr"/>
      <c r="M12" s="44" t="inlineStr">
        <is>
          <t>true</t>
        </is>
      </c>
      <c r="N12" s="44" t="inlineStr"/>
      <c r="O12" s="44" t="inlineStr"/>
      <c r="P12" s="41" t="inlineStr">
        <is>
          <t>Critical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/>
    </row>
    <row r="13" ht="80" customHeight="1">
      <c r="A13" s="41" t="inlineStr">
        <is>
          <t>TC-010</t>
        </is>
      </c>
      <c r="B13" s="45" t="inlineStr">
        <is>
          <t>RED</t>
        </is>
      </c>
      <c r="C13" s="46" t="inlineStr">
        <is>
          <t>P1</t>
        </is>
      </c>
      <c r="D13" s="44" t="inlineStr">
        <is>
          <t>Đơn thư (Petition)</t>
        </is>
      </c>
      <c r="E13" s="44" t="inlineStr">
        <is>
          <t>Đơn thư rỗng: THONG_BAO_HUONG_DAN báo thiếu senderName+detailContent</t>
        </is>
      </c>
      <c r="F13" s="41" t="inlineStr"/>
      <c r="G13" s="41" t="inlineStr"/>
      <c r="H13" s="41" t="inlineStr"/>
      <c r="I13" s="44" t="inlineStr"/>
      <c r="J13" s="44" t="inlineStr">
        <is>
          <t>Chạy LIVE API trên local. missing=senderName,detailContent,huongDanKhoiKien</t>
        </is>
      </c>
      <c r="K13" s="44" t="inlineStr"/>
      <c r="L13" s="44" t="inlineStr"/>
      <c r="M13" s="44" t="inlineStr">
        <is>
          <t>true</t>
        </is>
      </c>
      <c r="N13" s="44" t="inlineStr"/>
      <c r="O13" s="44" t="inlineStr"/>
      <c r="P13" s="41" t="inlineStr">
        <is>
          <t>High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/>
    </row>
    <row r="14" ht="80" customHeight="1">
      <c r="A14" s="41" t="inlineStr">
        <is>
          <t>TC-011</t>
        </is>
      </c>
      <c r="B14" s="45" t="inlineStr">
        <is>
          <t>RED</t>
        </is>
      </c>
      <c r="C14" s="43" t="inlineStr">
        <is>
          <t>P0</t>
        </is>
      </c>
      <c r="D14" s="44" t="inlineStr">
        <is>
          <t>Đơn thư (Petition)</t>
        </is>
      </c>
      <c r="E14" s="44" t="inlineStr">
        <is>
          <t>Đơn thư rỗng: THONG_BAO_TRA_LAI ready=false</t>
        </is>
      </c>
      <c r="F14" s="41" t="inlineStr"/>
      <c r="G14" s="41" t="inlineStr"/>
      <c r="H14" s="41" t="inlineStr"/>
      <c r="I14" s="44" t="inlineStr"/>
      <c r="J14" s="44" t="inlineStr">
        <is>
          <t>Chạy LIVE API trên local. ready=false missing=senderName,detailContent,lyDoTraDon</t>
        </is>
      </c>
      <c r="K14" s="44" t="inlineStr"/>
      <c r="L14" s="44" t="inlineStr"/>
      <c r="M14" s="44" t="inlineStr">
        <is>
          <t>true</t>
        </is>
      </c>
      <c r="N14" s="44" t="inlineStr"/>
      <c r="O14" s="44" t="inlineStr"/>
      <c r="P14" s="41" t="inlineStr">
        <is>
          <t>Critical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/>
    </row>
    <row r="15" ht="80" customHeight="1">
      <c r="A15" s="41" t="inlineStr">
        <is>
          <t>TC-012</t>
        </is>
      </c>
      <c r="B15" s="45" t="inlineStr">
        <is>
          <t>RED</t>
        </is>
      </c>
      <c r="C15" s="46" t="inlineStr">
        <is>
          <t>P1</t>
        </is>
      </c>
      <c r="D15" s="44" t="inlineStr">
        <is>
          <t>Đơn thư (Petition)</t>
        </is>
      </c>
      <c r="E15" s="44" t="inlineStr">
        <is>
          <t>Đơn thư rỗng: THONG_BAO_TRA_LAI báo thiếu senderName+detailContent</t>
        </is>
      </c>
      <c r="F15" s="41" t="inlineStr"/>
      <c r="G15" s="41" t="inlineStr"/>
      <c r="H15" s="41" t="inlineStr"/>
      <c r="I15" s="44" t="inlineStr"/>
      <c r="J15" s="44" t="inlineStr">
        <is>
          <t>Chạy LIVE API trên local. missing=senderName,detailContent,lyDoTraDon</t>
        </is>
      </c>
      <c r="K15" s="44" t="inlineStr"/>
      <c r="L15" s="44" t="inlineStr"/>
      <c r="M15" s="44" t="inlineStr">
        <is>
          <t>true</t>
        </is>
      </c>
      <c r="N15" s="44" t="inlineStr"/>
      <c r="O15" s="44" t="inlineStr"/>
      <c r="P15" s="41" t="inlineStr">
        <is>
          <t>High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/>
    </row>
    <row r="16" ht="80" customHeight="1">
      <c r="A16" s="41" t="inlineStr">
        <is>
          <t>TC-013</t>
        </is>
      </c>
      <c r="B16" s="45" t="inlineStr">
        <is>
          <t>RED</t>
        </is>
      </c>
      <c r="C16" s="43" t="inlineStr">
        <is>
          <t>P0</t>
        </is>
      </c>
      <c r="D16" s="44" t="inlineStr">
        <is>
          <t>Đơn thư (Petition)</t>
        </is>
      </c>
      <c r="E16" s="44" t="inlineStr">
        <is>
          <t>Đơn thư rỗng: THONG_BAO_CHUYEN ready=false</t>
        </is>
      </c>
      <c r="F16" s="41" t="inlineStr"/>
      <c r="G16" s="41" t="inlineStr"/>
      <c r="H16" s="41" t="inlineStr"/>
      <c r="I16" s="44" t="inlineStr"/>
      <c r="J16" s="44" t="inlineStr">
        <is>
          <t>Chạy LIVE API trên local. ready=false missing=senderName,detailContent</t>
        </is>
      </c>
      <c r="K16" s="44" t="inlineStr"/>
      <c r="L16" s="44" t="inlineStr"/>
      <c r="M16" s="44" t="inlineStr">
        <is>
          <t>true</t>
        </is>
      </c>
      <c r="N16" s="44" t="inlineStr"/>
      <c r="O16" s="44" t="inlineStr"/>
      <c r="P16" s="41" t="inlineStr">
        <is>
          <t>Critical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/>
    </row>
    <row r="17" ht="80" customHeight="1">
      <c r="A17" s="41" t="inlineStr">
        <is>
          <t>TC-014</t>
        </is>
      </c>
      <c r="B17" s="45" t="inlineStr">
        <is>
          <t>RED</t>
        </is>
      </c>
      <c r="C17" s="46" t="inlineStr">
        <is>
          <t>P1</t>
        </is>
      </c>
      <c r="D17" s="44" t="inlineStr">
        <is>
          <t>Đơn thư (Petition)</t>
        </is>
      </c>
      <c r="E17" s="44" t="inlineStr">
        <is>
          <t>Đơn thư rỗng: THONG_BAO_CHUYEN báo thiếu senderName+detailContent</t>
        </is>
      </c>
      <c r="F17" s="41" t="inlineStr"/>
      <c r="G17" s="41" t="inlineStr"/>
      <c r="H17" s="41" t="inlineStr"/>
      <c r="I17" s="44" t="inlineStr"/>
      <c r="J17" s="44" t="inlineStr">
        <is>
          <t>Chạy LIVE API trên local. missing=senderName,detailContent</t>
        </is>
      </c>
      <c r="K17" s="44" t="inlineStr"/>
      <c r="L17" s="44" t="inlineStr"/>
      <c r="M17" s="44" t="inlineStr">
        <is>
          <t>true</t>
        </is>
      </c>
      <c r="N17" s="44" t="inlineStr"/>
      <c r="O17" s="44" t="inlineStr"/>
      <c r="P17" s="41" t="inlineStr">
        <is>
          <t>High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/>
    </row>
    <row r="18" ht="80" customHeight="1">
      <c r="A18" s="41" t="inlineStr">
        <is>
          <t>TC-015</t>
        </is>
      </c>
      <c r="B18" s="45" t="inlineStr">
        <is>
          <t>RED</t>
        </is>
      </c>
      <c r="C18" s="43" t="inlineStr">
        <is>
          <t>P0</t>
        </is>
      </c>
      <c r="D18" s="44" t="inlineStr">
        <is>
          <t>Đơn thư (Petition)</t>
        </is>
      </c>
      <c r="E18" s="44" t="inlineStr">
        <is>
          <t>Đơn thư rỗng: BIEN_NHAN ready=false</t>
        </is>
      </c>
      <c r="F18" s="41" t="inlineStr"/>
      <c r="G18" s="41" t="inlineStr"/>
      <c r="H18" s="41" t="inlineStr"/>
      <c r="I18" s="44" t="inlineStr"/>
      <c r="J18" s="44" t="inlineStr">
        <is>
          <t>Chạy LIVE API trên local. ready=false missing=senderName,detailContent</t>
        </is>
      </c>
      <c r="K18" s="44" t="inlineStr"/>
      <c r="L18" s="44" t="inlineStr"/>
      <c r="M18" s="44" t="inlineStr">
        <is>
          <t>true</t>
        </is>
      </c>
      <c r="N18" s="44" t="inlineStr"/>
      <c r="O18" s="44" t="inlineStr"/>
      <c r="P18" s="41" t="inlineStr">
        <is>
          <t>Critical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/>
    </row>
    <row r="19" ht="80" customHeight="1">
      <c r="A19" s="41" t="inlineStr">
        <is>
          <t>TC-016</t>
        </is>
      </c>
      <c r="B19" s="45" t="inlineStr">
        <is>
          <t>RED</t>
        </is>
      </c>
      <c r="C19" s="46" t="inlineStr">
        <is>
          <t>P1</t>
        </is>
      </c>
      <c r="D19" s="44" t="inlineStr">
        <is>
          <t>Đơn thư (Petition)</t>
        </is>
      </c>
      <c r="E19" s="44" t="inlineStr">
        <is>
          <t>Đơn thư rỗng: BIEN_NHAN báo thiếu senderName+detailContent</t>
        </is>
      </c>
      <c r="F19" s="41" t="inlineStr"/>
      <c r="G19" s="41" t="inlineStr"/>
      <c r="H19" s="41" t="inlineStr"/>
      <c r="I19" s="44" t="inlineStr"/>
      <c r="J19" s="44" t="inlineStr">
        <is>
          <t>Chạy LIVE API trên local. missing=senderName,detailContent</t>
        </is>
      </c>
      <c r="K19" s="44" t="inlineStr"/>
      <c r="L19" s="44" t="inlineStr"/>
      <c r="M19" s="44" t="inlineStr">
        <is>
          <t>true</t>
        </is>
      </c>
      <c r="N19" s="44" t="inlineStr"/>
      <c r="O19" s="44" t="inlineStr"/>
      <c r="P19" s="41" t="inlineStr">
        <is>
          <t>High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/>
    </row>
    <row r="20" ht="80" customHeight="1">
      <c r="A20" s="41" t="inlineStr">
        <is>
          <t>TC-017</t>
        </is>
      </c>
      <c r="B20" s="47" t="inlineStr">
        <is>
          <t>DECISION</t>
        </is>
      </c>
      <c r="C20" s="43" t="inlineStr">
        <is>
          <t>P0</t>
        </is>
      </c>
      <c r="D20" s="44" t="inlineStr">
        <is>
          <t>Đơn thư (Petition)</t>
        </is>
      </c>
      <c r="E20" s="44" t="inlineStr">
        <is>
          <t>PHIEU_DE_XUAT yêu cầu thêm nhanThay+deXuat</t>
        </is>
      </c>
      <c r="F20" s="41" t="inlineStr"/>
      <c r="G20" s="41" t="inlineStr"/>
      <c r="H20" s="41" t="inlineStr"/>
      <c r="I20" s="44" t="inlineStr"/>
      <c r="J20" s="44" t="inlineStr">
        <is>
          <t>Chạy LIVE API trên local. missing=senderName,detailContent,nhanThay,deXuat</t>
        </is>
      </c>
      <c r="K20" s="44" t="inlineStr"/>
      <c r="L20" s="44" t="inlineStr"/>
      <c r="M20" s="44" t="inlineStr">
        <is>
          <t>true</t>
        </is>
      </c>
      <c r="N20" s="44" t="inlineStr"/>
      <c r="O20" s="44" t="inlineStr"/>
      <c r="P20" s="41" t="inlineStr">
        <is>
          <t>Critical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/>
    </row>
    <row r="21" ht="80" customHeight="1">
      <c r="A21" s="41" t="inlineStr">
        <is>
          <t>TC-018</t>
        </is>
      </c>
      <c r="B21" s="47" t="inlineStr">
        <is>
          <t>DECISION</t>
        </is>
      </c>
      <c r="C21" s="43" t="inlineStr">
        <is>
          <t>P0</t>
        </is>
      </c>
      <c r="D21" s="44" t="inlineStr">
        <is>
          <t>Đơn thư (Petition)</t>
        </is>
      </c>
      <c r="E21" s="44" t="inlineStr">
        <is>
          <t>PHIEU_CHUYEN_NGUON_TIN yêu cầu thêm lyDoChuyen+canCuPhapLy</t>
        </is>
      </c>
      <c r="F21" s="41" t="inlineStr"/>
      <c r="G21" s="41" t="inlineStr"/>
      <c r="H21" s="41" t="inlineStr"/>
      <c r="I21" s="44" t="inlineStr"/>
      <c r="J21" s="44" t="inlineStr">
        <is>
          <t>Chạy LIVE API trên local. missing=senderName,detailContent,lyDoChuyen,canCuPhapLy</t>
        </is>
      </c>
      <c r="K21" s="44" t="inlineStr"/>
      <c r="L21" s="44" t="inlineStr"/>
      <c r="M21" s="44" t="inlineStr">
        <is>
          <t>true</t>
        </is>
      </c>
      <c r="N21" s="44" t="inlineStr"/>
      <c r="O21" s="44" t="inlineStr"/>
      <c r="P21" s="41" t="inlineStr">
        <is>
          <t>Critical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/>
    </row>
    <row r="22" ht="80" customHeight="1">
      <c r="A22" s="41" t="inlineStr">
        <is>
          <t>TC-019</t>
        </is>
      </c>
      <c r="B22" s="47" t="inlineStr">
        <is>
          <t>DECISION</t>
        </is>
      </c>
      <c r="C22" s="43" t="inlineStr">
        <is>
          <t>P0</t>
        </is>
      </c>
      <c r="D22" s="44" t="inlineStr">
        <is>
          <t>Đơn thư (Petition)</t>
        </is>
      </c>
      <c r="E22" s="44" t="inlineStr">
        <is>
          <t>THONG_BAO_TRA_LAI yêu cầu thêm lyDoTraDon</t>
        </is>
      </c>
      <c r="F22" s="41" t="inlineStr"/>
      <c r="G22" s="41" t="inlineStr"/>
      <c r="H22" s="41" t="inlineStr"/>
      <c r="I22" s="44" t="inlineStr"/>
      <c r="J22" s="44" t="inlineStr">
        <is>
          <t>Chạy LIVE API trên local. missing=senderName,detailContent,lyDoTraDon</t>
        </is>
      </c>
      <c r="K22" s="44" t="inlineStr"/>
      <c r="L22" s="44" t="inlineStr"/>
      <c r="M22" s="44" t="inlineStr">
        <is>
          <t>true</t>
        </is>
      </c>
      <c r="N22" s="44" t="inlineStr"/>
      <c r="O22" s="44" t="inlineStr"/>
      <c r="P22" s="41" t="inlineStr">
        <is>
          <t>Critical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/>
    </row>
    <row r="23" ht="80" customHeight="1">
      <c r="A23" s="41" t="inlineStr">
        <is>
          <t>TC-020</t>
        </is>
      </c>
      <c r="B23" s="47" t="inlineStr">
        <is>
          <t>DECISION</t>
        </is>
      </c>
      <c r="C23" s="46" t="inlineStr">
        <is>
          <t>P1</t>
        </is>
      </c>
      <c r="D23" s="44" t="inlineStr">
        <is>
          <t>Đơn thư (Petition)</t>
        </is>
      </c>
      <c r="E23" s="44" t="inlineStr">
        <is>
          <t>BIEN_NHAN KHÔNG yêu cầu trường đánh giá (chỉ bare-min)</t>
        </is>
      </c>
      <c r="F23" s="41" t="inlineStr"/>
      <c r="G23" s="41" t="inlineStr"/>
      <c r="H23" s="41" t="inlineStr"/>
      <c r="I23" s="44" t="inlineStr"/>
      <c r="J23" s="44" t="inlineStr">
        <is>
          <t>Chạy LIVE API trên local. missing=senderName,detailContent</t>
        </is>
      </c>
      <c r="K23" s="44" t="inlineStr"/>
      <c r="L23" s="44" t="inlineStr"/>
      <c r="M23" s="44" t="inlineStr">
        <is>
          <t>true</t>
        </is>
      </c>
      <c r="N23" s="44" t="inlineStr"/>
      <c r="O23" s="44" t="inlineStr"/>
      <c r="P23" s="41" t="inlineStr">
        <is>
          <t>High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/>
    </row>
    <row r="24" ht="80" customHeight="1">
      <c r="A24" s="41" t="inlineStr">
        <is>
          <t>TC-021</t>
        </is>
      </c>
      <c r="B24" s="48" t="inlineStr">
        <is>
          <t>DATA</t>
        </is>
      </c>
      <c r="C24" s="46" t="inlineStr">
        <is>
          <t>P1</t>
        </is>
      </c>
      <c r="D24" s="44" t="inlineStr">
        <is>
          <t>Đơn thư (Petition)</t>
        </is>
      </c>
      <c r="E24" s="44" t="inlineStr">
        <is>
          <t>Đơn thư: trường thiếu savable=true (lưu vào hồ sơ)</t>
        </is>
      </c>
      <c r="F24" s="41" t="inlineStr"/>
      <c r="G24" s="41" t="inlineStr"/>
      <c r="H24" s="41" t="inlineStr"/>
      <c r="I24" s="44" t="inlineStr"/>
      <c r="J24" s="44" t="inlineStr">
        <is>
          <t>Chạy LIVE API trên local. savable=[true,true,true,true]</t>
        </is>
      </c>
      <c r="K24" s="44" t="inlineStr"/>
      <c r="L24" s="44" t="inlineStr"/>
      <c r="M24" s="44" t="inlineStr">
        <is>
          <t>true</t>
        </is>
      </c>
      <c r="N24" s="44" t="inlineStr"/>
      <c r="O24" s="44" t="inlineStr"/>
      <c r="P24" s="41" t="inlineStr">
        <is>
          <t>High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/>
    </row>
    <row r="25" ht="80" customHeight="1">
      <c r="A25" s="41" t="inlineStr">
        <is>
          <t>TC-022</t>
        </is>
      </c>
      <c r="B25" s="42" t="inlineStr">
        <is>
          <t>GREEN</t>
        </is>
      </c>
      <c r="C25" s="43" t="inlineStr">
        <is>
          <t>P0</t>
        </is>
      </c>
      <c r="D25" s="44" t="inlineStr">
        <is>
          <t>Optimistic-lock</t>
        </is>
      </c>
      <c r="E25" s="44" t="inlineStr">
        <is>
          <t>PUT bổ sung senderName+detailContent (đúng expectedUpdatedAt) → 200</t>
        </is>
      </c>
      <c r="F25" s="41" t="inlineStr"/>
      <c r="G25" s="41" t="inlineStr"/>
      <c r="H25" s="41" t="inlineStr"/>
      <c r="I25" s="44" t="inlineStr"/>
      <c r="J25" s="44" t="inlineStr">
        <is>
          <t>Chạy LIVE API trên local. status=200</t>
        </is>
      </c>
      <c r="K25" s="44" t="inlineStr"/>
      <c r="L25" s="44" t="inlineStr"/>
      <c r="M25" s="44" t="inlineStr">
        <is>
          <t>true</t>
        </is>
      </c>
      <c r="N25" s="44" t="inlineStr"/>
      <c r="O25" s="44" t="inlineStr"/>
      <c r="P25" s="41" t="inlineStr">
        <is>
          <t>Critical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/>
    </row>
    <row r="26" ht="80" customHeight="1">
      <c r="A26" s="41" t="inlineStr">
        <is>
          <t>TC-023</t>
        </is>
      </c>
      <c r="B26" s="42" t="inlineStr">
        <is>
          <t>GREEN</t>
        </is>
      </c>
      <c r="C26" s="43" t="inlineStr">
        <is>
          <t>P0</t>
        </is>
      </c>
      <c r="D26" s="44" t="inlineStr">
        <is>
          <t>Optimistic-lock</t>
        </is>
      </c>
      <c r="E26" s="44" t="inlineStr">
        <is>
          <t>PUT trả updatedAt mới (FE refresh tránh 409)</t>
        </is>
      </c>
      <c r="F26" s="41" t="inlineStr"/>
      <c r="G26" s="41" t="inlineStr"/>
      <c r="H26" s="41" t="inlineStr"/>
      <c r="I26" s="44" t="inlineStr"/>
      <c r="J26" s="44" t="inlineStr">
        <is>
          <t>Chạy LIVE API trên local. updatedAt=2026-06-28T07:49:48.574Z</t>
        </is>
      </c>
      <c r="K26" s="44" t="inlineStr"/>
      <c r="L26" s="44" t="inlineStr"/>
      <c r="M26" s="44" t="inlineStr">
        <is>
          <t>true</t>
        </is>
      </c>
      <c r="N26" s="44" t="inlineStr"/>
      <c r="O26" s="44" t="inlineStr"/>
      <c r="P26" s="41" t="inlineStr">
        <is>
          <t>Critical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/>
    </row>
    <row r="27" ht="80" customHeight="1">
      <c r="A27" s="41" t="inlineStr">
        <is>
          <t>TC-024</t>
        </is>
      </c>
      <c r="B27" s="42" t="inlineStr">
        <is>
          <t>GREEN</t>
        </is>
      </c>
      <c r="C27" s="43" t="inlineStr">
        <is>
          <t>P0</t>
        </is>
      </c>
      <c r="D27" s="44" t="inlineStr">
        <is>
          <t>Đơn thư (Petition)</t>
        </is>
      </c>
      <c r="E27" s="44" t="inlineStr">
        <is>
          <t>Sau bổ sung bare-min: BIEN_NHAN ready=true</t>
        </is>
      </c>
      <c r="F27" s="41" t="inlineStr"/>
      <c r="G27" s="41" t="inlineStr"/>
      <c r="H27" s="41" t="inlineStr"/>
      <c r="I27" s="44" t="inlineStr"/>
      <c r="J27" s="44" t="inlineStr">
        <is>
          <t>Chạy LIVE API trên local. ready=true</t>
        </is>
      </c>
      <c r="K27" s="44" t="inlineStr"/>
      <c r="L27" s="44" t="inlineStr"/>
      <c r="M27" s="44" t="inlineStr">
        <is>
          <t>true</t>
        </is>
      </c>
      <c r="N27" s="44" t="inlineStr"/>
      <c r="O27" s="44" t="inlineStr"/>
      <c r="P27" s="41" t="inlineStr">
        <is>
          <t>Critical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/>
    </row>
    <row r="28" ht="80" customHeight="1">
      <c r="A28" s="41" t="inlineStr">
        <is>
          <t>TC-025</t>
        </is>
      </c>
      <c r="B28" s="49" t="inlineStr">
        <is>
          <t>STATE</t>
        </is>
      </c>
      <c r="C28" s="43" t="inlineStr">
        <is>
          <t>P0</t>
        </is>
      </c>
      <c r="D28" s="44" t="inlineStr">
        <is>
          <t>Đơn thư (Petition)</t>
        </is>
      </c>
      <c r="E28" s="44" t="inlineStr">
        <is>
          <t>Sau bare-min: PHIEU_DE_XUAT VẪN thiếu nhanThay+deXuat</t>
        </is>
      </c>
      <c r="F28" s="41" t="inlineStr"/>
      <c r="G28" s="41" t="inlineStr"/>
      <c r="H28" s="41" t="inlineStr"/>
      <c r="I28" s="44" t="inlineStr"/>
      <c r="J28" s="44" t="inlineStr">
        <is>
          <t>Chạy LIVE API trên local. ready=false missing=nhanThay,deXuat</t>
        </is>
      </c>
      <c r="K28" s="44" t="inlineStr"/>
      <c r="L28" s="44" t="inlineStr"/>
      <c r="M28" s="44" t="inlineStr">
        <is>
          <t>true</t>
        </is>
      </c>
      <c r="N28" s="44" t="inlineStr"/>
      <c r="O28" s="44" t="inlineStr"/>
      <c r="P28" s="41" t="inlineStr">
        <is>
          <t>Critical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/>
    </row>
    <row r="29" ht="80" customHeight="1">
      <c r="A29" s="41" t="inlineStr">
        <is>
          <t>TC-026</t>
        </is>
      </c>
      <c r="B29" s="45" t="inlineStr">
        <is>
          <t>RED</t>
        </is>
      </c>
      <c r="C29" s="43" t="inlineStr">
        <is>
          <t>P0</t>
        </is>
      </c>
      <c r="D29" s="44" t="inlineStr">
        <is>
          <t>Optimistic-lock</t>
        </is>
      </c>
      <c r="E29" s="44" t="inlineStr">
        <is>
          <t>PUT petition với expectedUpdatedAt CŨ → 409 (optimistic-lock)</t>
        </is>
      </c>
      <c r="F29" s="41" t="inlineStr"/>
      <c r="G29" s="41" t="inlineStr"/>
      <c r="H29" s="41" t="inlineStr"/>
      <c r="I29" s="44" t="inlineStr"/>
      <c r="J29" s="44" t="inlineStr">
        <is>
          <t>Chạy LIVE API trên local. status=409</t>
        </is>
      </c>
      <c r="K29" s="44" t="inlineStr"/>
      <c r="L29" s="44" t="inlineStr"/>
      <c r="M29" s="44" t="inlineStr">
        <is>
          <t>true</t>
        </is>
      </c>
      <c r="N29" s="44" t="inlineStr"/>
      <c r="O29" s="44" t="inlineStr"/>
      <c r="P29" s="41" t="inlineStr">
        <is>
          <t>Critical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/>
    </row>
    <row r="30" ht="80" customHeight="1">
      <c r="A30" s="41" t="inlineStr">
        <is>
          <t>TC-027</t>
        </is>
      </c>
      <c r="B30" s="42" t="inlineStr">
        <is>
          <t>GREEN</t>
        </is>
      </c>
      <c r="C30" s="43" t="inlineStr">
        <is>
          <t>P0</t>
        </is>
      </c>
      <c r="D30" s="44" t="inlineStr">
        <is>
          <t>Đơn thư (Petition)</t>
        </is>
      </c>
      <c r="E30" s="44" t="inlineStr">
        <is>
          <t>Bổ sung nhanThay+deXuat → PHIEU_DE_XUAT ready=true (mẫu mở lại)</t>
        </is>
      </c>
      <c r="F30" s="41" t="inlineStr"/>
      <c r="G30" s="41" t="inlineStr"/>
      <c r="H30" s="41" t="inlineStr"/>
      <c r="I30" s="44" t="inlineStr"/>
      <c r="J30" s="44" t="inlineStr">
        <is>
          <t>Chạy LIVE API trên local. status=200 ready=true</t>
        </is>
      </c>
      <c r="K30" s="44" t="inlineStr"/>
      <c r="L30" s="44" t="inlineStr"/>
      <c r="M30" s="44" t="inlineStr">
        <is>
          <t>true</t>
        </is>
      </c>
      <c r="N30" s="44" t="inlineStr"/>
      <c r="O30" s="44" t="inlineStr"/>
      <c r="P30" s="41" t="inlineStr">
        <is>
          <t>Critical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/>
    </row>
    <row r="31" ht="80" customHeight="1">
      <c r="A31" s="41" t="inlineStr">
        <is>
          <t>TC-028</t>
        </is>
      </c>
      <c r="B31" s="42" t="inlineStr">
        <is>
          <t>GREEN</t>
        </is>
      </c>
      <c r="C31" s="43" t="inlineStr">
        <is>
          <t>P0</t>
        </is>
      </c>
      <c r="D31" s="44" t="inlineStr">
        <is>
          <t>Đơn thư (Petition)</t>
        </is>
      </c>
      <c r="E31" s="44" t="inlineStr">
        <is>
          <t>Xuất PHIEU_DE_XUAT khi đã đủ thông tin → 2xx</t>
        </is>
      </c>
      <c r="F31" s="41" t="inlineStr"/>
      <c r="G31" s="41" t="inlineStr"/>
      <c r="H31" s="41" t="inlineStr"/>
      <c r="I31" s="44" t="inlineStr"/>
      <c r="J31" s="44" t="inlineStr">
        <is>
          <t>Chạy LIVE API trên local. status=201</t>
        </is>
      </c>
      <c r="K31" s="44" t="inlineStr"/>
      <c r="L31" s="44" t="inlineStr"/>
      <c r="M31" s="44" t="inlineStr">
        <is>
          <t>true</t>
        </is>
      </c>
      <c r="N31" s="44" t="inlineStr"/>
      <c r="O31" s="44" t="inlineStr"/>
      <c r="P31" s="41" t="inlineStr">
        <is>
          <t>Critical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/>
    </row>
    <row r="32" ht="80" customHeight="1">
      <c r="A32" s="41" t="inlineStr">
        <is>
          <t>TC-029</t>
        </is>
      </c>
      <c r="B32" s="45" t="inlineStr">
        <is>
          <t>RED</t>
        </is>
      </c>
      <c r="C32" s="43" t="inlineStr">
        <is>
          <t>P0</t>
        </is>
      </c>
      <c r="D32" s="44" t="inlineStr">
        <is>
          <t>Đơn thư (Petition)</t>
        </is>
      </c>
      <c r="E32" s="44" t="inlineStr">
        <is>
          <t>Xuất THONG_BAO_TRA_LAI khi thiếu lyDoTraDon → 400 (chặn)</t>
        </is>
      </c>
      <c r="F32" s="41" t="inlineStr"/>
      <c r="G32" s="41" t="inlineStr"/>
      <c r="H32" s="41" t="inlineStr"/>
      <c r="I32" s="44" t="inlineStr"/>
      <c r="J32" s="44" t="inlineStr">
        <is>
          <t>Chạy LIVE API trên local. status=400 body={"success":false,"error":{"code":"BAD_REQUEST","message":"Không thể xuất THONG_BAO_TRA_LAI: thiếu các trường bắt buộc —</t>
        </is>
      </c>
      <c r="K32" s="44" t="inlineStr"/>
      <c r="L32" s="44" t="inlineStr"/>
      <c r="M32" s="44" t="inlineStr">
        <is>
          <t>true</t>
        </is>
      </c>
      <c r="N32" s="44" t="inlineStr"/>
      <c r="O32" s="44" t="inlineStr"/>
      <c r="P32" s="41" t="inlineStr">
        <is>
          <t>Critical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/>
    </row>
    <row r="33" ht="80" customHeight="1">
      <c r="A33" s="41" t="inlineStr">
        <is>
          <t>TC-030</t>
        </is>
      </c>
      <c r="B33" s="42" t="inlineStr">
        <is>
          <t>GREEN</t>
        </is>
      </c>
      <c r="C33" s="43" t="inlineStr">
        <is>
          <t>P0</t>
        </is>
      </c>
      <c r="D33" s="44" t="inlineStr">
        <is>
          <t>Vụ việc/Vụ án (Dynamic)</t>
        </is>
      </c>
      <c r="E33" s="44" t="inlineStr">
        <is>
          <t>VU_AN: GET export-readiness 200 + items[]</t>
        </is>
      </c>
      <c r="F33" s="41" t="inlineStr"/>
      <c r="G33" s="41" t="inlineStr"/>
      <c r="H33" s="41" t="inlineStr"/>
      <c r="I33" s="44" t="inlineStr"/>
      <c r="J33" s="44" t="inlineStr">
        <is>
          <t>Chạy LIVE API trên local. status=200 items=5</t>
        </is>
      </c>
      <c r="K33" s="44" t="inlineStr"/>
      <c r="L33" s="44" t="inlineStr"/>
      <c r="M33" s="44" t="inlineStr">
        <is>
          <t>true</t>
        </is>
      </c>
      <c r="N33" s="44" t="inlineStr"/>
      <c r="O33" s="44" t="inlineStr"/>
      <c r="P33" s="41" t="inlineStr">
        <is>
          <t>Critical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/>
    </row>
    <row r="34" ht="80" customHeight="1">
      <c r="A34" s="41" t="inlineStr">
        <is>
          <t>TC-031</t>
        </is>
      </c>
      <c r="B34" s="42" t="inlineStr">
        <is>
          <t>GREEN</t>
        </is>
      </c>
      <c r="C34" s="46" t="inlineStr">
        <is>
          <t>P1</t>
        </is>
      </c>
      <c r="D34" s="44" t="inlineStr">
        <is>
          <t>Vụ việc/Vụ án (Dynamic)</t>
        </is>
      </c>
      <c r="E34" s="44" t="inlineStr">
        <is>
          <t>VU_AN: trả updatedAt cho FE (PUT bổ sung không 409)</t>
        </is>
      </c>
      <c r="F34" s="41" t="inlineStr"/>
      <c r="G34" s="41" t="inlineStr"/>
      <c r="H34" s="41" t="inlineStr"/>
      <c r="I34" s="44" t="inlineStr"/>
      <c r="J34" s="44" t="inlineStr">
        <is>
          <t>Chạy LIVE API trên local. updatedAt=2026-06-28T05:57:47.946Z</t>
        </is>
      </c>
      <c r="K34" s="44" t="inlineStr"/>
      <c r="L34" s="44" t="inlineStr"/>
      <c r="M34" s="44" t="inlineStr">
        <is>
          <t>true</t>
        </is>
      </c>
      <c r="N34" s="44" t="inlineStr"/>
      <c r="O34" s="44" t="inlineStr"/>
      <c r="P34" s="41" t="inlineStr">
        <is>
          <t>High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/>
    </row>
    <row r="35" ht="80" customHeight="1">
      <c r="A35" s="41" t="inlineStr">
        <is>
          <t>TC-032</t>
        </is>
      </c>
      <c r="B35" s="48" t="inlineStr">
        <is>
          <t>DATA</t>
        </is>
      </c>
      <c r="C35" s="43" t="inlineStr">
        <is>
          <t>P0</t>
        </is>
      </c>
      <c r="D35" s="44" t="inlineStr">
        <is>
          <t>Vụ việc/Vụ án (Dynamic)</t>
        </is>
      </c>
      <c r="E35" s="44" t="inlineStr">
        <is>
          <t>VU_AN: mọi trường thiếu savable=false (manual-override, không PUT)</t>
        </is>
      </c>
      <c r="F35" s="41" t="inlineStr"/>
      <c r="G35" s="41" t="inlineStr"/>
      <c r="H35" s="41" t="inlineStr"/>
      <c r="I35" s="44" t="inlineStr"/>
      <c r="J35" s="44" t="inlineStr">
        <is>
          <t>Chạy LIVE API trên local. savable set=[false]</t>
        </is>
      </c>
      <c r="K35" s="44" t="inlineStr"/>
      <c r="L35" s="44" t="inlineStr"/>
      <c r="M35" s="44" t="inlineStr">
        <is>
          <t>true</t>
        </is>
      </c>
      <c r="N35" s="44" t="inlineStr"/>
      <c r="O35" s="44" t="inlineStr"/>
      <c r="P35" s="41" t="inlineStr">
        <is>
          <t>Critical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/>
    </row>
    <row r="36" ht="80" customHeight="1">
      <c r="A36" s="41" t="inlineStr">
        <is>
          <t>TC-033</t>
        </is>
      </c>
      <c r="B36" s="48" t="inlineStr">
        <is>
          <t>DATA</t>
        </is>
      </c>
      <c r="C36" s="46" t="inlineStr">
        <is>
          <t>P1</t>
        </is>
      </c>
      <c r="D36" s="44" t="inlineStr">
        <is>
          <t>Vụ việc/Vụ án (Dynamic)</t>
        </is>
      </c>
      <c r="E36" s="44" t="inlineStr">
        <is>
          <t>VU_AN: ready=false ⇔ missing không rỗng (nhất quán)</t>
        </is>
      </c>
      <c r="F36" s="41" t="inlineStr"/>
      <c r="G36" s="41" t="inlineStr"/>
      <c r="H36" s="41" t="inlineStr"/>
      <c r="I36" s="44" t="inlineStr"/>
      <c r="J36" s="44" t="inlineStr">
        <is>
          <t>Chạy LIVE API trên local. items=[["QD_KHOI_TO_VU_AN",false,2],["QD_KHOI_TO_BI_CAN",false,4],["KET_LUAN_DIEU_TRA",false,4],["QD_TAM_DINH_CHI_DT",false,1],["BB_HOI_CUNG_BI_CAN",false,3]]</t>
        </is>
      </c>
      <c r="K36" s="44" t="inlineStr"/>
      <c r="L36" s="44" t="inlineStr"/>
      <c r="M36" s="44" t="inlineStr">
        <is>
          <t>true</t>
        </is>
      </c>
      <c r="N36" s="44" t="inlineStr"/>
      <c r="O36" s="44" t="inlineStr"/>
      <c r="P36" s="41" t="inlineStr">
        <is>
          <t>High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/>
    </row>
    <row r="37" ht="80" customHeight="1">
      <c r="A37" s="41" t="inlineStr">
        <is>
          <t>TC-034</t>
        </is>
      </c>
      <c r="B37" s="42" t="inlineStr">
        <is>
          <t>GREEN</t>
        </is>
      </c>
      <c r="C37" s="46" t="inlineStr">
        <is>
          <t>P1</t>
        </is>
      </c>
      <c r="D37" s="44" t="inlineStr">
        <is>
          <t>Vụ việc/Vụ án (Dynamic)</t>
        </is>
      </c>
      <c r="E37" s="44" t="inlineStr">
        <is>
          <t>VU_AN: readiness phản ánh cờ required (có mẫu báo thiếu khi hồ sơ thiếu)</t>
        </is>
      </c>
      <c r="F37" s="41" t="inlineStr"/>
      <c r="G37" s="41" t="inlineStr"/>
      <c r="H37" s="41" t="inlineStr"/>
      <c r="I37" s="44" t="inlineStr"/>
      <c r="J37" s="44" t="inlineStr">
        <is>
          <t>Chạy LIVE API trên local. mẫu thiếu=5/5</t>
        </is>
      </c>
      <c r="K37" s="44" t="inlineStr"/>
      <c r="L37" s="44" t="inlineStr"/>
      <c r="M37" s="44" t="inlineStr">
        <is>
          <t>true</t>
        </is>
      </c>
      <c r="N37" s="44" t="inlineStr"/>
      <c r="O37" s="44" t="inlineStr"/>
      <c r="P37" s="41" t="inlineStr">
        <is>
          <t>High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/>
    </row>
    <row r="38" ht="80" customHeight="1">
      <c r="A38" s="41" t="inlineStr">
        <is>
          <t>TC-035</t>
        </is>
      </c>
      <c r="B38" s="42" t="inlineStr">
        <is>
          <t>GREEN</t>
        </is>
      </c>
      <c r="C38" s="43" t="inlineStr">
        <is>
          <t>P0</t>
        </is>
      </c>
      <c r="D38" s="44" t="inlineStr">
        <is>
          <t>Vụ việc/Vụ án (Dynamic)</t>
        </is>
      </c>
      <c r="E38" s="44" t="inlineStr">
        <is>
          <t>VU_VIEC: GET export-readiness 200 + items[]</t>
        </is>
      </c>
      <c r="F38" s="41" t="inlineStr"/>
      <c r="G38" s="41" t="inlineStr"/>
      <c r="H38" s="41" t="inlineStr"/>
      <c r="I38" s="44" t="inlineStr"/>
      <c r="J38" s="44" t="inlineStr">
        <is>
          <t>Chạy LIVE API trên local. status=200 items=5</t>
        </is>
      </c>
      <c r="K38" s="44" t="inlineStr"/>
      <c r="L38" s="44" t="inlineStr"/>
      <c r="M38" s="44" t="inlineStr">
        <is>
          <t>true</t>
        </is>
      </c>
      <c r="N38" s="44" t="inlineStr"/>
      <c r="O38" s="44" t="inlineStr"/>
      <c r="P38" s="41" t="inlineStr">
        <is>
          <t>Critical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/>
    </row>
    <row r="39" ht="80" customHeight="1">
      <c r="A39" s="41" t="inlineStr">
        <is>
          <t>TC-036</t>
        </is>
      </c>
      <c r="B39" s="42" t="inlineStr">
        <is>
          <t>GREEN</t>
        </is>
      </c>
      <c r="C39" s="46" t="inlineStr">
        <is>
          <t>P1</t>
        </is>
      </c>
      <c r="D39" s="44" t="inlineStr">
        <is>
          <t>Vụ việc/Vụ án (Dynamic)</t>
        </is>
      </c>
      <c r="E39" s="44" t="inlineStr">
        <is>
          <t>VU_VIEC: trả updatedAt cho FE (PUT bổ sung không 409)</t>
        </is>
      </c>
      <c r="F39" s="41" t="inlineStr"/>
      <c r="G39" s="41" t="inlineStr"/>
      <c r="H39" s="41" t="inlineStr"/>
      <c r="I39" s="44" t="inlineStr"/>
      <c r="J39" s="44" t="inlineStr">
        <is>
          <t>Chạy LIVE API trên local. updatedAt=2026-06-28T05:57:47.976Z</t>
        </is>
      </c>
      <c r="K39" s="44" t="inlineStr"/>
      <c r="L39" s="44" t="inlineStr"/>
      <c r="M39" s="44" t="inlineStr">
        <is>
          <t>true</t>
        </is>
      </c>
      <c r="N39" s="44" t="inlineStr"/>
      <c r="O39" s="44" t="inlineStr"/>
      <c r="P39" s="41" t="inlineStr">
        <is>
          <t>High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/>
    </row>
    <row r="40" ht="80" customHeight="1">
      <c r="A40" s="41" t="inlineStr">
        <is>
          <t>TC-037</t>
        </is>
      </c>
      <c r="B40" s="48" t="inlineStr">
        <is>
          <t>DATA</t>
        </is>
      </c>
      <c r="C40" s="43" t="inlineStr">
        <is>
          <t>P0</t>
        </is>
      </c>
      <c r="D40" s="44" t="inlineStr">
        <is>
          <t>Vụ việc/Vụ án (Dynamic)</t>
        </is>
      </c>
      <c r="E40" s="44" t="inlineStr">
        <is>
          <t>VU_VIEC: mọi trường thiếu savable=false (manual-override, không PUT)</t>
        </is>
      </c>
      <c r="F40" s="41" t="inlineStr"/>
      <c r="G40" s="41" t="inlineStr"/>
      <c r="H40" s="41" t="inlineStr"/>
      <c r="I40" s="44" t="inlineStr"/>
      <c r="J40" s="44" t="inlineStr">
        <is>
          <t>Chạy LIVE API trên local. savable set=[false]</t>
        </is>
      </c>
      <c r="K40" s="44" t="inlineStr"/>
      <c r="L40" s="44" t="inlineStr"/>
      <c r="M40" s="44" t="inlineStr">
        <is>
          <t>true</t>
        </is>
      </c>
      <c r="N40" s="44" t="inlineStr"/>
      <c r="O40" s="44" t="inlineStr"/>
      <c r="P40" s="41" t="inlineStr">
        <is>
          <t>Critical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/>
    </row>
    <row r="41" ht="80" customHeight="1">
      <c r="A41" s="41" t="inlineStr">
        <is>
          <t>TC-038</t>
        </is>
      </c>
      <c r="B41" s="48" t="inlineStr">
        <is>
          <t>DATA</t>
        </is>
      </c>
      <c r="C41" s="46" t="inlineStr">
        <is>
          <t>P1</t>
        </is>
      </c>
      <c r="D41" s="44" t="inlineStr">
        <is>
          <t>Vụ việc/Vụ án (Dynamic)</t>
        </is>
      </c>
      <c r="E41" s="44" t="inlineStr">
        <is>
          <t>VU_VIEC: ready=false ⇔ missing không rỗng (nhất quán)</t>
        </is>
      </c>
      <c r="F41" s="41" t="inlineStr"/>
      <c r="G41" s="41" t="inlineStr"/>
      <c r="H41" s="41" t="inlineStr"/>
      <c r="I41" s="44" t="inlineStr"/>
      <c r="J41" s="44" t="inlineStr">
        <is>
          <t>Chạy LIVE API trên local. items=[["QD_PHAN_CONG_GIAI_QUYET",false,3],["QD_KHOI_TO_TU_NGUON_TIN",false,2],["QD_KHONG_KHOI_TO",false,2],["TB_KET_QUA_GIAI_QUYET",false,2],["QD_TAM_DINH_CHI_GQ",false,1]]</t>
        </is>
      </c>
      <c r="K41" s="44" t="inlineStr"/>
      <c r="L41" s="44" t="inlineStr"/>
      <c r="M41" s="44" t="inlineStr">
        <is>
          <t>true</t>
        </is>
      </c>
      <c r="N41" s="44" t="inlineStr"/>
      <c r="O41" s="44" t="inlineStr"/>
      <c r="P41" s="41" t="inlineStr">
        <is>
          <t>High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/>
    </row>
    <row r="42" ht="80" customHeight="1">
      <c r="A42" s="41" t="inlineStr">
        <is>
          <t>TC-039</t>
        </is>
      </c>
      <c r="B42" s="42" t="inlineStr">
        <is>
          <t>GREEN</t>
        </is>
      </c>
      <c r="C42" s="46" t="inlineStr">
        <is>
          <t>P1</t>
        </is>
      </c>
      <c r="D42" s="44" t="inlineStr">
        <is>
          <t>Vụ việc/Vụ án (Dynamic)</t>
        </is>
      </c>
      <c r="E42" s="44" t="inlineStr">
        <is>
          <t>VU_VIEC: readiness phản ánh cờ required (có mẫu báo thiếu khi hồ sơ thiếu)</t>
        </is>
      </c>
      <c r="F42" s="41" t="inlineStr"/>
      <c r="G42" s="41" t="inlineStr"/>
      <c r="H42" s="41" t="inlineStr"/>
      <c r="I42" s="44" t="inlineStr"/>
      <c r="J42" s="44" t="inlineStr">
        <is>
          <t>Chạy LIVE API trên local. mẫu thiếu=5/5</t>
        </is>
      </c>
      <c r="K42" s="44" t="inlineStr"/>
      <c r="L42" s="44" t="inlineStr"/>
      <c r="M42" s="44" t="inlineStr">
        <is>
          <t>true</t>
        </is>
      </c>
      <c r="N42" s="44" t="inlineStr"/>
      <c r="O42" s="44" t="inlineStr"/>
      <c r="P42" s="41" t="inlineStr">
        <is>
          <t>High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/>
    </row>
    <row r="43" ht="80" customHeight="1">
      <c r="A43" s="41" t="inlineStr">
        <is>
          <t>TC-040</t>
        </is>
      </c>
      <c r="B43" s="42" t="inlineStr">
        <is>
          <t>GREEN</t>
        </is>
      </c>
      <c r="C43" s="43" t="inlineStr">
        <is>
          <t>P0</t>
        </is>
      </c>
      <c r="D43" s="44" t="inlineStr">
        <is>
          <t>Admin cấu hình required</t>
        </is>
      </c>
      <c r="E43" s="44" t="inlineStr">
        <is>
          <t>Admin PATCH requiredVariables → 2xx</t>
        </is>
      </c>
      <c r="F43" s="41" t="inlineStr"/>
      <c r="G43" s="41" t="inlineStr"/>
      <c r="H43" s="41" t="inlineStr"/>
      <c r="I43" s="44" t="inlineStr"/>
      <c r="J43" s="44" t="inlineStr">
        <is>
          <t>Chạy LIVE API trên local. status=200</t>
        </is>
      </c>
      <c r="K43" s="44" t="inlineStr"/>
      <c r="L43" s="44" t="inlineStr"/>
      <c r="M43" s="44" t="inlineStr">
        <is>
          <t>true</t>
        </is>
      </c>
      <c r="N43" s="44" t="inlineStr"/>
      <c r="O43" s="44" t="inlineStr"/>
      <c r="P43" s="41" t="inlineStr">
        <is>
          <t>Critical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/>
    </row>
    <row r="44" ht="80" customHeight="1">
      <c r="A44" s="41" t="inlineStr">
        <is>
          <t>TC-041</t>
        </is>
      </c>
      <c r="B44" s="47" t="inlineStr">
        <is>
          <t>DECISION</t>
        </is>
      </c>
      <c r="C44" s="43" t="inlineStr">
        <is>
          <t>P0</t>
        </is>
      </c>
      <c r="D44" s="44" t="inlineStr">
        <is>
          <t>Admin cấu hình required</t>
        </is>
      </c>
      <c r="E44" s="44" t="inlineStr">
        <is>
          <t>PATCH set cờ required ĐÚNG biến chỉ định</t>
        </is>
      </c>
      <c r="F44" s="41" t="inlineStr"/>
      <c r="G44" s="41" t="inlineStr"/>
      <c r="H44" s="41" t="inlineStr"/>
      <c r="I44" s="44" t="inlineStr"/>
      <c r="J44" s="44" t="inlineStr">
        <is>
          <t>Chạy LIVE API trên local. before=tenVuAn,toiDanh,noiXayRa after=donVi</t>
        </is>
      </c>
      <c r="K44" s="44" t="inlineStr"/>
      <c r="L44" s="44" t="inlineStr"/>
      <c r="M44" s="44">
        <f> ["donVi"]</f>
        <v/>
      </c>
      <c r="N44" s="44" t="inlineStr"/>
      <c r="O44" s="44" t="inlineStr"/>
      <c r="P44" s="41" t="inlineStr">
        <is>
          <t>Critical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/>
    </row>
    <row r="45" ht="80" customHeight="1">
      <c r="A45" s="41" t="inlineStr">
        <is>
          <t>TC-042</t>
        </is>
      </c>
      <c r="B45" s="48" t="inlineStr">
        <is>
          <t>DATA</t>
        </is>
      </c>
      <c r="C45" s="43" t="inlineStr">
        <is>
          <t>P0</t>
        </is>
      </c>
      <c r="D45" s="44" t="inlineStr">
        <is>
          <t>Admin cấu hình required</t>
        </is>
      </c>
      <c r="E45" s="44" t="inlineStr">
        <is>
          <t>PATCH giữ nguyên name/source/label của variables</t>
        </is>
      </c>
      <c r="F45" s="41" t="inlineStr"/>
      <c r="G45" s="41" t="inlineStr"/>
      <c r="H45" s="41" t="inlineStr"/>
      <c r="I45" s="44" t="inlineStr"/>
      <c r="J45" s="44" t="inlineStr">
        <is>
          <t>Chạy LIVE API trên local. sample={"name":"donVi","label":"donVi","source":"auto","required":true}</t>
        </is>
      </c>
      <c r="K45" s="44" t="inlineStr"/>
      <c r="L45" s="44" t="inlineStr"/>
      <c r="M45" s="44" t="inlineStr">
        <is>
          <t>true</t>
        </is>
      </c>
      <c r="N45" s="44" t="inlineStr"/>
      <c r="O45" s="44" t="inlineStr"/>
      <c r="P45" s="41" t="inlineStr">
        <is>
          <t>Critical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/>
    </row>
    <row r="46" ht="80" customHeight="1">
      <c r="A46" s="41" t="inlineStr">
        <is>
          <t>TC-043</t>
        </is>
      </c>
      <c r="B46" s="48" t="inlineStr">
        <is>
          <t>DATA</t>
        </is>
      </c>
      <c r="C46" s="46" t="inlineStr">
        <is>
          <t>P1</t>
        </is>
      </c>
      <c r="D46" s="44" t="inlineStr">
        <is>
          <t>Admin cấu hình required</t>
        </is>
      </c>
      <c r="E46" s="44" t="inlineStr">
        <is>
          <t>Response KHÔNG có field requiredVariables (không spread thành cột)</t>
        </is>
      </c>
      <c r="F46" s="41" t="inlineStr"/>
      <c r="G46" s="41" t="inlineStr"/>
      <c r="H46" s="41" t="inlineStr"/>
      <c r="I46" s="44" t="inlineStr"/>
      <c r="J46" s="44" t="inlineStr">
        <is>
          <t>Chạy LIVE API trên local. keys=id,code,name,entityType,category,fileBytes,fileSha,fileName,variables,needsNumber,numberSeriesId,status,sortOrder,createdById,createdAt,updatedAt,deletedAt</t>
        </is>
      </c>
      <c r="K46" s="44" t="inlineStr"/>
      <c r="L46" s="44" t="inlineStr"/>
      <c r="M46" s="44" t="inlineStr">
        <is>
          <t>true</t>
        </is>
      </c>
      <c r="N46" s="44" t="inlineStr"/>
      <c r="O46" s="44" t="inlineStr"/>
      <c r="P46" s="41" t="inlineStr">
        <is>
          <t>High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/>
    </row>
    <row r="47" ht="80" customHeight="1">
      <c r="A47" s="41" t="inlineStr">
        <is>
          <t>TC-044</t>
        </is>
      </c>
      <c r="B47" s="42" t="inlineStr">
        <is>
          <t>GREEN</t>
        </is>
      </c>
      <c r="C47" s="46" t="inlineStr">
        <is>
          <t>P1</t>
        </is>
      </c>
      <c r="D47" s="44" t="inlineStr">
        <is>
          <t>Admin cấu hình required</t>
        </is>
      </c>
      <c r="E47" s="44" t="inlineStr">
        <is>
          <t>Restore requiredVariables về ban đầu (dọn data)</t>
        </is>
      </c>
      <c r="F47" s="41" t="inlineStr"/>
      <c r="G47" s="41" t="inlineStr"/>
      <c r="H47" s="41" t="inlineStr"/>
      <c r="I47" s="44" t="inlineStr"/>
      <c r="J47" s="44" t="inlineStr">
        <is>
          <t>Chạy LIVE API trên local. cleanup</t>
        </is>
      </c>
      <c r="K47" s="44" t="inlineStr"/>
      <c r="L47" s="44" t="inlineStr"/>
      <c r="M47" s="44">
        <f> ["noiXayRa","tenVuAn","toiDanh"]</f>
        <v/>
      </c>
      <c r="N47" s="44" t="inlineStr"/>
      <c r="O47" s="44" t="inlineStr"/>
      <c r="P47" s="41" t="inlineStr">
        <is>
          <t>High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/>
    </row>
    <row r="48" ht="80" customHeight="1">
      <c r="A48" s="41" t="inlineStr">
        <is>
          <t>TC-045</t>
        </is>
      </c>
      <c r="B48" s="45" t="inlineStr">
        <is>
          <t>RED</t>
        </is>
      </c>
      <c r="C48" s="46" t="inlineStr">
        <is>
          <t>P1</t>
        </is>
      </c>
      <c r="D48" s="44" t="inlineStr">
        <is>
          <t>Admin cấu hình required</t>
        </is>
      </c>
      <c r="E48" s="44" t="inlineStr">
        <is>
          <t>DON_THU guard (không có mẫu DON_THU động — đơn thư hardcode)</t>
        </is>
      </c>
      <c r="F48" s="41" t="inlineStr"/>
      <c r="G48" s="41" t="inlineStr"/>
      <c r="H48" s="41" t="inlineStr"/>
      <c r="I48" s="44" t="inlineStr"/>
      <c r="J48" s="44" t="inlineStr">
        <is>
          <t>Chạy LIVE API trên local. list DON_THU rỗng (đúng thiết kế)</t>
        </is>
      </c>
      <c r="K48" s="44" t="inlineStr"/>
      <c r="L48" s="44" t="inlineStr"/>
      <c r="M48" s="44" t="inlineStr">
        <is>
          <t>400 nếu có mẫu</t>
        </is>
      </c>
      <c r="N48" s="44" t="inlineStr"/>
      <c r="O48" s="44" t="inlineStr"/>
      <c r="P48" s="41" t="inlineStr">
        <is>
          <t>High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/>
    </row>
    <row r="49" ht="80" customHeight="1">
      <c r="A49" s="41" t="inlineStr">
        <is>
          <t>TC-046</t>
        </is>
      </c>
      <c r="B49" s="50" t="inlineStr">
        <is>
          <t>SECURITY</t>
        </is>
      </c>
      <c r="C49" s="43" t="inlineStr">
        <is>
          <t>P0</t>
        </is>
      </c>
      <c r="D49" s="44" t="inlineStr">
        <is>
          <t>Bảo mật/RBAC</t>
        </is>
      </c>
      <c r="E49" s="44" t="inlineStr">
        <is>
          <t>export-readiness KHÔNG token → 401</t>
        </is>
      </c>
      <c r="F49" s="41" t="inlineStr"/>
      <c r="G49" s="41" t="inlineStr"/>
      <c r="H49" s="41" t="inlineStr"/>
      <c r="I49" s="44" t="inlineStr"/>
      <c r="J49" s="44" t="inlineStr">
        <is>
          <t>Chạy LIVE API trên local. status=401</t>
        </is>
      </c>
      <c r="K49" s="44" t="inlineStr"/>
      <c r="L49" s="44" t="inlineStr"/>
      <c r="M49" s="44" t="inlineStr">
        <is>
          <t>true</t>
        </is>
      </c>
      <c r="N49" s="44" t="inlineStr"/>
      <c r="O49" s="44" t="inlineStr"/>
      <c r="P49" s="41" t="inlineStr">
        <is>
          <t>Critical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/>
    </row>
    <row r="50" ht="80" customHeight="1">
      <c r="A50" s="41" t="inlineStr">
        <is>
          <t>TC-047</t>
        </is>
      </c>
      <c r="B50" s="50" t="inlineStr">
        <is>
          <t>SECURITY</t>
        </is>
      </c>
      <c r="C50" s="43" t="inlineStr">
        <is>
          <t>P0</t>
        </is>
      </c>
      <c r="D50" s="44" t="inlineStr">
        <is>
          <t>Bảo mật/RBAC</t>
        </is>
      </c>
      <c r="E50" s="44" t="inlineStr">
        <is>
          <t>export-readiness id không tồn tại → 404 (không lộ data)</t>
        </is>
      </c>
      <c r="F50" s="41" t="inlineStr"/>
      <c r="G50" s="41" t="inlineStr"/>
      <c r="H50" s="41" t="inlineStr"/>
      <c r="I50" s="44" t="inlineStr"/>
      <c r="J50" s="44" t="inlineStr">
        <is>
          <t>Chạy LIVE API trên local. status=404</t>
        </is>
      </c>
      <c r="K50" s="44" t="inlineStr"/>
      <c r="L50" s="44" t="inlineStr"/>
      <c r="M50" s="44" t="inlineStr">
        <is>
          <t>true</t>
        </is>
      </c>
      <c r="N50" s="44" t="inlineStr"/>
      <c r="O50" s="44" t="inlineStr"/>
      <c r="P50" s="41" t="inlineStr">
        <is>
          <t>Critical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/>
    </row>
    <row r="51" ht="80" customHeight="1">
      <c r="A51" s="41" t="inlineStr">
        <is>
          <t>TC-048</t>
        </is>
      </c>
      <c r="B51" s="50" t="inlineStr">
        <is>
          <t>SECURITY</t>
        </is>
      </c>
      <c r="C51" s="46" t="inlineStr">
        <is>
          <t>P1</t>
        </is>
      </c>
      <c r="D51" s="44" t="inlineStr">
        <is>
          <t>Bảo mật/RBAC</t>
        </is>
      </c>
      <c r="E51" s="44" t="inlineStr">
        <is>
          <t>Officer có case trong scope để đọc readiness</t>
        </is>
      </c>
      <c r="F51" s="41" t="inlineStr"/>
      <c r="G51" s="41" t="inlineStr"/>
      <c r="H51" s="41" t="inlineStr"/>
      <c r="I51" s="44" t="inlineStr"/>
      <c r="J51" s="44" t="inlineStr">
        <is>
          <t>Chạy LIVE API trên local. officer1 không có case nào</t>
        </is>
      </c>
      <c r="K51" s="44" t="inlineStr"/>
      <c r="L51" s="44" t="inlineStr"/>
      <c r="M51" s="44" t="inlineStr">
        <is>
          <t>≥1 case</t>
        </is>
      </c>
      <c r="N51" s="44" t="inlineStr"/>
      <c r="O51" s="44" t="inlineStr"/>
      <c r="P51" s="41" t="inlineStr">
        <is>
          <t>High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/>
    </row>
    <row r="52" ht="80" customHeight="1">
      <c r="A52" s="41" t="inlineStr">
        <is>
          <t>TC-049</t>
        </is>
      </c>
      <c r="B52" s="50" t="inlineStr">
        <is>
          <t>SECURITY</t>
        </is>
      </c>
      <c r="C52" s="43" t="inlineStr">
        <is>
          <t>P0</t>
        </is>
      </c>
      <c r="D52" s="44" t="inlineStr">
        <is>
          <t>Bảo mật/RBAC</t>
        </is>
      </c>
      <c r="E52" s="44" t="inlineStr">
        <is>
          <t>Officer GET export-readiness case NGOÀI scope → 403/404</t>
        </is>
      </c>
      <c r="F52" s="41" t="inlineStr"/>
      <c r="G52" s="41" t="inlineStr"/>
      <c r="H52" s="41" t="inlineStr"/>
      <c r="I52" s="44" t="inlineStr"/>
      <c r="J52" s="44" t="inlineStr">
        <is>
          <t>Chạy LIVE API trên local. status=403</t>
        </is>
      </c>
      <c r="K52" s="44" t="inlineStr"/>
      <c r="L52" s="44" t="inlineStr"/>
      <c r="M52" s="44" t="inlineStr">
        <is>
          <t>true</t>
        </is>
      </c>
      <c r="N52" s="44" t="inlineStr"/>
      <c r="O52" s="44" t="inlineStr"/>
      <c r="P52" s="41" t="inlineStr">
        <is>
          <t>Critical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/>
    </row>
    <row r="53" ht="80" customHeight="1">
      <c r="A53" s="41" t="inlineStr">
        <is>
          <t>TC-050</t>
        </is>
      </c>
      <c r="B53" s="50" t="inlineStr">
        <is>
          <t>SECURITY</t>
        </is>
      </c>
      <c r="C53" s="43" t="inlineStr">
        <is>
          <t>P0</t>
        </is>
      </c>
      <c r="D53" s="44" t="inlineStr">
        <is>
          <t>Bảo mật/RBAC</t>
        </is>
      </c>
      <c r="E53" s="44" t="inlineStr">
        <is>
          <t>Officer (không Setting:write) PATCH document-templates → 403</t>
        </is>
      </c>
      <c r="F53" s="41" t="inlineStr"/>
      <c r="G53" s="41" t="inlineStr"/>
      <c r="H53" s="41" t="inlineStr"/>
      <c r="I53" s="44" t="inlineStr"/>
      <c r="J53" s="44" t="inlineStr">
        <is>
          <t>Chạy LIVE API trên local. status=403</t>
        </is>
      </c>
      <c r="K53" s="44" t="inlineStr"/>
      <c r="L53" s="44" t="inlineStr"/>
      <c r="M53" s="44" t="inlineStr">
        <is>
          <t>true</t>
        </is>
      </c>
      <c r="N53" s="44" t="inlineStr"/>
      <c r="O53" s="44" t="inlineStr"/>
      <c r="P53" s="41" t="inlineStr">
        <is>
          <t>Critical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/>
    </row>
    <row r="54" ht="80" customHeight="1">
      <c r="A54" s="41" t="inlineStr">
        <is>
          <t>TC-051</t>
        </is>
      </c>
      <c r="B54" s="50" t="inlineStr">
        <is>
          <t>SECURITY</t>
        </is>
      </c>
      <c r="C54" s="43" t="inlineStr">
        <is>
          <t>P0</t>
        </is>
      </c>
      <c r="D54" s="44" t="inlineStr">
        <is>
          <t>Bảo mật/RBAC</t>
        </is>
      </c>
      <c r="E54" s="44" t="inlineStr">
        <is>
          <t>Giá trị bổ sung có {}/&lt;&gt; (injection docxtemplater) → xuất 2xx (escape, không vỡ template)</t>
        </is>
      </c>
      <c r="F54" s="41" t="inlineStr"/>
      <c r="G54" s="41" t="inlineStr"/>
      <c r="H54" s="41" t="inlineStr"/>
      <c r="I54" s="44" t="inlineStr"/>
      <c r="J54" s="44" t="inlineStr">
        <is>
          <t>Chạy LIVE API trên local. status=201</t>
        </is>
      </c>
      <c r="K54" s="44" t="inlineStr"/>
      <c r="L54" s="44" t="inlineStr"/>
      <c r="M54" s="44" t="inlineStr">
        <is>
          <t>true</t>
        </is>
      </c>
      <c r="N54" s="44" t="inlineStr"/>
      <c r="O54" s="44" t="inlineStr"/>
      <c r="P54" s="41" t="inlineStr">
        <is>
          <t>Critical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/>
    </row>
    <row r="55" ht="80" customHeight="1">
      <c r="A55" s="41" t="inlineStr">
        <is>
          <t>TC-052</t>
        </is>
      </c>
      <c r="B55" s="51" t="inlineStr">
        <is>
          <t>EDGE</t>
        </is>
      </c>
      <c r="C55" s="52" t="inlineStr">
        <is>
          <t>P2</t>
        </is>
      </c>
      <c r="D55" s="44" t="inlineStr">
        <is>
          <t>Vụ việc/Vụ án (Dynamic)</t>
        </is>
      </c>
      <c r="E55" s="44" t="inlineStr">
        <is>
          <t>GET cases/export-templates trả mảng (picker)</t>
        </is>
      </c>
      <c r="F55" s="41" t="inlineStr"/>
      <c r="G55" s="41" t="inlineStr"/>
      <c r="H55" s="41" t="inlineStr"/>
      <c r="I55" s="44" t="inlineStr"/>
      <c r="J55" s="44" t="inlineStr">
        <is>
          <t>Chạy LIVE API trên local. type=array len=5</t>
        </is>
      </c>
      <c r="K55" s="44" t="inlineStr"/>
      <c r="L55" s="44" t="inlineStr"/>
      <c r="M55" s="44" t="inlineStr">
        <is>
          <t>true</t>
        </is>
      </c>
      <c r="N55" s="44" t="inlineStr"/>
      <c r="O55" s="44" t="inlineStr"/>
      <c r="P55" s="41" t="inlineStr">
        <is>
          <t>Medium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/>
    </row>
    <row r="56" ht="80" customHeight="1">
      <c r="A56" s="41" t="inlineStr">
        <is>
          <t>TC-053</t>
        </is>
      </c>
      <c r="B56" s="51" t="inlineStr">
        <is>
          <t>EDGE</t>
        </is>
      </c>
      <c r="C56" s="52" t="inlineStr">
        <is>
          <t>P2</t>
        </is>
      </c>
      <c r="D56" s="44" t="inlineStr">
        <is>
          <t>Bảo mật/RBAC</t>
        </is>
      </c>
      <c r="E56" s="44" t="inlineStr">
        <is>
          <t>POST vào endpoint chỉ-GET export-readiness → 404/405</t>
        </is>
      </c>
      <c r="F56" s="41" t="inlineStr"/>
      <c r="G56" s="41" t="inlineStr"/>
      <c r="H56" s="41" t="inlineStr"/>
      <c r="I56" s="44" t="inlineStr"/>
      <c r="J56" s="44" t="inlineStr">
        <is>
          <t>Chạy LIVE API trên local. status=404</t>
        </is>
      </c>
      <c r="K56" s="44" t="inlineStr"/>
      <c r="L56" s="44" t="inlineStr"/>
      <c r="M56" s="44" t="inlineStr">
        <is>
          <t>true</t>
        </is>
      </c>
      <c r="N56" s="44" t="inlineStr"/>
      <c r="O56" s="44" t="inlineStr"/>
      <c r="P56" s="41" t="inlineStr">
        <is>
          <t>Medium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/>
    </row>
    <row r="57" ht="80" customHeight="1">
      <c r="A57" s="41" t="inlineStr">
        <is>
          <t>TC-054</t>
        </is>
      </c>
      <c r="B57" s="53" t="inlineStr">
        <is>
          <t>EP</t>
        </is>
      </c>
      <c r="C57" s="46" t="inlineStr">
        <is>
          <t>P1</t>
        </is>
      </c>
      <c r="D57" s="44" t="inlineStr">
        <is>
          <t>Đơn thư (Petition)</t>
        </is>
      </c>
      <c r="E57" s="44" t="inlineStr">
        <is>
          <t>Đơn thư: điền `summary` (không detailContent) → bare-min content thoả (OR)</t>
        </is>
      </c>
      <c r="F57" s="41" t="inlineStr"/>
      <c r="G57" s="41" t="inlineStr"/>
      <c r="H57" s="41" t="inlineStr"/>
      <c r="I57" s="44" t="inlineStr"/>
      <c r="J57" s="44" t="inlineStr">
        <is>
          <t>Chạy LIVE API trên local. BIEN_NHAN missing=</t>
        </is>
      </c>
      <c r="K57" s="44" t="inlineStr"/>
      <c r="L57" s="44" t="inlineStr"/>
      <c r="M57" s="44" t="inlineStr">
        <is>
          <t>true</t>
        </is>
      </c>
      <c r="N57" s="44" t="inlineStr"/>
      <c r="O57" s="44" t="inlineStr"/>
      <c r="P57" s="41" t="inlineStr">
        <is>
          <t>High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/>
    </row>
    <row r="58" ht="80" customHeight="1">
      <c r="A58" s="41" t="inlineStr">
        <is>
          <t>TC-055</t>
        </is>
      </c>
      <c r="B58" s="53" t="inlineStr">
        <is>
          <t>EP</t>
        </is>
      </c>
      <c r="C58" s="46" t="inlineStr">
        <is>
          <t>P1</t>
        </is>
      </c>
      <c r="D58" s="44" t="inlineStr">
        <is>
          <t>Đơn thư (Petition)</t>
        </is>
      </c>
      <c r="E58" s="44" t="inlineStr">
        <is>
          <t>Đơn thư: điền senderName → senderName hết thiếu</t>
        </is>
      </c>
      <c r="F58" s="41" t="inlineStr"/>
      <c r="G58" s="41" t="inlineStr"/>
      <c r="H58" s="41" t="inlineStr"/>
      <c r="I58" s="44" t="inlineStr"/>
      <c r="J58" s="44" t="inlineStr">
        <is>
          <t>Chạy LIVE API trên local. missing=</t>
        </is>
      </c>
      <c r="K58" s="44" t="inlineStr"/>
      <c r="L58" s="44" t="inlineStr"/>
      <c r="M58" s="44" t="inlineStr">
        <is>
          <t>true</t>
        </is>
      </c>
      <c r="N58" s="44" t="inlineStr"/>
      <c r="O58" s="44" t="inlineStr"/>
      <c r="P58" s="41" t="inlineStr">
        <is>
          <t>High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/>
    </row>
    <row r="59" ht="80" customHeight="1">
      <c r="A59" s="41" t="inlineStr">
        <is>
          <t>TC-056</t>
        </is>
      </c>
      <c r="B59" s="54" t="inlineStr">
        <is>
          <t>BOUNDARY</t>
        </is>
      </c>
      <c r="C59" s="46" t="inlineStr">
        <is>
          <t>P1</t>
        </is>
      </c>
      <c r="D59" s="44" t="inlineStr">
        <is>
          <t>Đơn thư (Petition)</t>
        </is>
      </c>
      <c r="E59" s="44" t="inlineStr">
        <is>
          <t>Đơn thư: nhanThay/deXuat chỉ khoảng trắng → VẪN tính thiếu (trim)</t>
        </is>
      </c>
      <c r="F59" s="41" t="inlineStr"/>
      <c r="G59" s="41" t="inlineStr"/>
      <c r="H59" s="41" t="inlineStr"/>
      <c r="I59" s="44" t="inlineStr"/>
      <c r="J59" s="44" t="inlineStr">
        <is>
          <t>Chạy LIVE API trên local. PHIEU_DE_XUAT missing=nhanThay,deXuat</t>
        </is>
      </c>
      <c r="K59" s="44" t="inlineStr"/>
      <c r="L59" s="44" t="inlineStr"/>
      <c r="M59" s="44" t="inlineStr">
        <is>
          <t>true</t>
        </is>
      </c>
      <c r="N59" s="44" t="inlineStr"/>
      <c r="O59" s="44" t="inlineStr"/>
      <c r="P59" s="41" t="inlineStr">
        <is>
          <t>High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/>
    </row>
    <row r="60" ht="80" customHeight="1">
      <c r="A60" s="41" t="inlineStr">
        <is>
          <t>TC-057</t>
        </is>
      </c>
      <c r="B60" s="49" t="inlineStr">
        <is>
          <t>STATE</t>
        </is>
      </c>
      <c r="C60" s="46" t="inlineStr">
        <is>
          <t>P1</t>
        </is>
      </c>
      <c r="D60" s="44" t="inlineStr">
        <is>
          <t>Đơn thư (Petition)</t>
        </is>
      </c>
      <c r="E60" s="44" t="inlineStr">
        <is>
          <t>Đơn thư: điền lyDoChuyen → PHIEU_CHUYEN_DON ready=true</t>
        </is>
      </c>
      <c r="F60" s="41" t="inlineStr"/>
      <c r="G60" s="41" t="inlineStr"/>
      <c r="H60" s="41" t="inlineStr"/>
      <c r="I60" s="44" t="inlineStr"/>
      <c r="J60" s="44" t="inlineStr">
        <is>
          <t>Chạy LIVE API trên local. ready=true</t>
        </is>
      </c>
      <c r="K60" s="44" t="inlineStr"/>
      <c r="L60" s="44" t="inlineStr"/>
      <c r="M60" s="44" t="inlineStr">
        <is>
          <t>true</t>
        </is>
      </c>
      <c r="N60" s="44" t="inlineStr"/>
      <c r="O60" s="44" t="inlineStr"/>
      <c r="P60" s="41" t="inlineStr">
        <is>
          <t>High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/>
    </row>
    <row r="61" ht="80" customHeight="1">
      <c r="A61" s="41" t="inlineStr">
        <is>
          <t>TC-058</t>
        </is>
      </c>
      <c r="B61" s="49" t="inlineStr">
        <is>
          <t>STATE</t>
        </is>
      </c>
      <c r="C61" s="46" t="inlineStr">
        <is>
          <t>P1</t>
        </is>
      </c>
      <c r="D61" s="44" t="inlineStr">
        <is>
          <t>Đơn thư (Petition)</t>
        </is>
      </c>
      <c r="E61" s="44" t="inlineStr">
        <is>
          <t>Đơn thư: chưa điền huongDanKhoiKien → THONG_BAO_HUONG_DAN vẫn thiếu</t>
        </is>
      </c>
      <c r="F61" s="41" t="inlineStr"/>
      <c r="G61" s="41" t="inlineStr"/>
      <c r="H61" s="41" t="inlineStr"/>
      <c r="I61" s="44" t="inlineStr"/>
      <c r="J61" s="44" t="inlineStr">
        <is>
          <t>Chạy LIVE API trên local. missing=huongDanKhoiKien</t>
        </is>
      </c>
      <c r="K61" s="44" t="inlineStr"/>
      <c r="L61" s="44" t="inlineStr"/>
      <c r="M61" s="44" t="inlineStr">
        <is>
          <t>true</t>
        </is>
      </c>
      <c r="N61" s="44" t="inlineStr"/>
      <c r="O61" s="44" t="inlineStr"/>
      <c r="P61" s="41" t="inlineStr">
        <is>
          <t>High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/>
    </row>
    <row r="62" ht="80" customHeight="1">
      <c r="A62" s="41" t="inlineStr">
        <is>
          <t>TC-059</t>
        </is>
      </c>
      <c r="B62" s="55" t="inlineStr">
        <is>
          <t>PERFORMANCE</t>
        </is>
      </c>
      <c r="C62" s="43" t="inlineStr">
        <is>
          <t>P0</t>
        </is>
      </c>
      <c r="D62" s="44" t="inlineStr">
        <is>
          <t>Optimistic-lock</t>
        </is>
      </c>
      <c r="E62" s="44" t="inlineStr">
        <is>
          <t>Concurrency: 2 PUT đồng thời cùng expectedUpdatedAt → 1 OK + 1 409 (no lost-update)</t>
        </is>
      </c>
      <c r="F62" s="41" t="inlineStr"/>
      <c r="G62" s="41" t="inlineStr"/>
      <c r="H62" s="41" t="inlineStr"/>
      <c r="I62" s="44" t="inlineStr"/>
      <c r="J62" s="44" t="inlineStr">
        <is>
          <t>Chạy LIVE API trên local. 200=1 409=1 (statuses 200/409)</t>
        </is>
      </c>
      <c r="K62" s="44" t="inlineStr"/>
      <c r="L62" s="44" t="inlineStr"/>
      <c r="M62" s="44" t="inlineStr">
        <is>
          <t>true</t>
        </is>
      </c>
      <c r="N62" s="44" t="inlineStr"/>
      <c r="O62" s="44" t="inlineStr"/>
      <c r="P62" s="41" t="inlineStr">
        <is>
          <t>Critical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/>
    </row>
    <row r="63" ht="80" customHeight="1">
      <c r="A63" s="41" t="inlineStr">
        <is>
          <t>TC-060</t>
        </is>
      </c>
      <c r="B63" s="50" t="inlineStr">
        <is>
          <t>SECURITY</t>
        </is>
      </c>
      <c r="C63" s="43" t="inlineStr">
        <is>
          <t>P0</t>
        </is>
      </c>
      <c r="D63" s="44" t="inlineStr">
        <is>
          <t>Bảo mật/RBAC</t>
        </is>
      </c>
      <c r="E63" s="44" t="inlineStr">
        <is>
          <t>Payload XSS/SQL trong field bổ sung → xuất 2xx (escape, DB còn nguyên)</t>
        </is>
      </c>
      <c r="F63" s="41" t="inlineStr"/>
      <c r="G63" s="41" t="inlineStr"/>
      <c r="H63" s="41" t="inlineStr"/>
      <c r="I63" s="44" t="inlineStr"/>
      <c r="J63" s="44" t="inlineStr">
        <is>
          <t>Chạy LIVE API trên local. status=201</t>
        </is>
      </c>
      <c r="K63" s="44" t="inlineStr"/>
      <c r="L63" s="44" t="inlineStr"/>
      <c r="M63" s="44" t="inlineStr">
        <is>
          <t>true</t>
        </is>
      </c>
      <c r="N63" s="44" t="inlineStr"/>
      <c r="O63" s="44" t="inlineStr"/>
      <c r="P63" s="41" t="inlineStr">
        <is>
          <t>Critical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/>
    </row>
    <row r="64" ht="80" customHeight="1">
      <c r="A64" s="41" t="inlineStr">
        <is>
          <t>TC-061</t>
        </is>
      </c>
      <c r="B64" s="50" t="inlineStr">
        <is>
          <t>SECURITY</t>
        </is>
      </c>
      <c r="C64" s="43" t="inlineStr">
        <is>
          <t>P0</t>
        </is>
      </c>
      <c r="D64" s="44" t="inlineStr">
        <is>
          <t>Bảo mật/RBAC</t>
        </is>
      </c>
      <c r="E64" s="44" t="inlineStr">
        <is>
          <t>Sau payload SQL-ish: GET /petitions vẫn 200 (không bị DROP)</t>
        </is>
      </c>
      <c r="F64" s="41" t="inlineStr"/>
      <c r="G64" s="41" t="inlineStr"/>
      <c r="H64" s="41" t="inlineStr"/>
      <c r="I64" s="44" t="inlineStr"/>
      <c r="J64" s="44" t="inlineStr">
        <is>
          <t>Chạy LIVE API trên local. status=200</t>
        </is>
      </c>
      <c r="K64" s="44" t="inlineStr"/>
      <c r="L64" s="44" t="inlineStr"/>
      <c r="M64" s="44" t="inlineStr">
        <is>
          <t>true</t>
        </is>
      </c>
      <c r="N64" s="44" t="inlineStr"/>
      <c r="O64" s="44" t="inlineStr"/>
      <c r="P64" s="41" t="inlineStr">
        <is>
          <t>Critical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/>
    </row>
    <row r="65" ht="80" customHeight="1">
      <c r="A65" s="41" t="inlineStr">
        <is>
          <t>TC-062</t>
        </is>
      </c>
      <c r="B65" s="45" t="inlineStr">
        <is>
          <t>RED</t>
        </is>
      </c>
      <c r="C65" s="43" t="inlineStr">
        <is>
          <t>P0</t>
        </is>
      </c>
      <c r="D65" s="44" t="inlineStr">
        <is>
          <t>Vụ việc/Vụ án (Dynamic)</t>
        </is>
      </c>
      <c r="E65" s="44" t="inlineStr">
        <is>
          <t>Export động: templateIds TRÙNG → 400 (chống cấp số 2 lần)</t>
        </is>
      </c>
      <c r="F65" s="41" t="inlineStr"/>
      <c r="G65" s="41" t="inlineStr"/>
      <c r="H65" s="41" t="inlineStr"/>
      <c r="I65" s="44" t="inlineStr"/>
      <c r="J65" s="44" t="inlineStr">
        <is>
          <t>Chạy LIVE API trên local. status=400</t>
        </is>
      </c>
      <c r="K65" s="44" t="inlineStr"/>
      <c r="L65" s="44" t="inlineStr"/>
      <c r="M65" s="44" t="inlineStr">
        <is>
          <t>true</t>
        </is>
      </c>
      <c r="N65" s="44" t="inlineStr"/>
      <c r="O65" s="44" t="inlineStr"/>
      <c r="P65" s="41" t="inlineStr">
        <is>
          <t>Critical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/>
    </row>
    <row r="66" ht="80" customHeight="1">
      <c r="A66" s="41" t="inlineStr">
        <is>
          <t>TC-063</t>
        </is>
      </c>
      <c r="B66" s="45" t="inlineStr">
        <is>
          <t>RED</t>
        </is>
      </c>
      <c r="C66" s="43" t="inlineStr">
        <is>
          <t>P0</t>
        </is>
      </c>
      <c r="D66" s="44" t="inlineStr">
        <is>
          <t>Vụ việc/Vụ án (Dynamic)</t>
        </is>
      </c>
      <c r="E66" s="44" t="inlineStr">
        <is>
          <t>Export động: templateId không tồn tại → 400</t>
        </is>
      </c>
      <c r="F66" s="41" t="inlineStr"/>
      <c r="G66" s="41" t="inlineStr"/>
      <c r="H66" s="41" t="inlineStr"/>
      <c r="I66" s="44" t="inlineStr"/>
      <c r="J66" s="44" t="inlineStr">
        <is>
          <t>Chạy LIVE API trên local. status=400</t>
        </is>
      </c>
      <c r="K66" s="44" t="inlineStr"/>
      <c r="L66" s="44" t="inlineStr"/>
      <c r="M66" s="44" t="inlineStr">
        <is>
          <t>true</t>
        </is>
      </c>
      <c r="N66" s="44" t="inlineStr"/>
      <c r="O66" s="44" t="inlineStr"/>
      <c r="P66" s="41" t="inlineStr">
        <is>
          <t>Critical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/>
    </row>
    <row r="67" ht="80" customHeight="1">
      <c r="A67" s="41" t="inlineStr">
        <is>
          <t>TC-064</t>
        </is>
      </c>
      <c r="B67" s="45" t="inlineStr">
        <is>
          <t>RED</t>
        </is>
      </c>
      <c r="C67" s="43" t="inlineStr">
        <is>
          <t>P0</t>
        </is>
      </c>
      <c r="D67" s="44" t="inlineStr">
        <is>
          <t>Vụ việc/Vụ án (Dynamic)</t>
        </is>
      </c>
      <c r="E67" s="44" t="inlineStr">
        <is>
          <t>Export động: template VU_VIEC dùng cho /cases → 400 (sai loại hồ sơ)</t>
        </is>
      </c>
      <c r="F67" s="41" t="inlineStr"/>
      <c r="G67" s="41" t="inlineStr"/>
      <c r="H67" s="41" t="inlineStr"/>
      <c r="I67" s="44" t="inlineStr"/>
      <c r="J67" s="44" t="inlineStr">
        <is>
          <t>Chạy LIVE API trên local. status=400</t>
        </is>
      </c>
      <c r="K67" s="44" t="inlineStr"/>
      <c r="L67" s="44" t="inlineStr"/>
      <c r="M67" s="44" t="inlineStr">
        <is>
          <t>true</t>
        </is>
      </c>
      <c r="N67" s="44" t="inlineStr"/>
      <c r="O67" s="44" t="inlineStr"/>
      <c r="P67" s="41" t="inlineStr">
        <is>
          <t>Critical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/>
    </row>
    <row r="68" ht="80" customHeight="1">
      <c r="A68" s="41" t="inlineStr">
        <is>
          <t>TC-065</t>
        </is>
      </c>
      <c r="B68" s="42" t="inlineStr">
        <is>
          <t>GREEN</t>
        </is>
      </c>
      <c r="C68" s="43" t="inlineStr">
        <is>
          <t>P0</t>
        </is>
      </c>
      <c r="D68" s="44" t="inlineStr">
        <is>
          <t>Vụ việc/Vụ án (Dynamic)</t>
        </is>
      </c>
      <c r="E68" s="44" t="inlineStr">
        <is>
          <t>Export động VU_AN (merged) với manualValues bổ sung → 2xx</t>
        </is>
      </c>
      <c r="F68" s="41" t="inlineStr"/>
      <c r="G68" s="41" t="inlineStr"/>
      <c r="H68" s="41" t="inlineStr"/>
      <c r="I68" s="44" t="inlineStr"/>
      <c r="J68" s="44" t="inlineStr">
        <is>
          <t>Chạy LIVE API trên local. status=201 fields=9</t>
        </is>
      </c>
      <c r="K68" s="44" t="inlineStr"/>
      <c r="L68" s="44" t="inlineStr"/>
      <c r="M68" s="44" t="inlineStr">
        <is>
          <t>true</t>
        </is>
      </c>
      <c r="N68" s="44" t="inlineStr"/>
      <c r="O68" s="44" t="inlineStr"/>
      <c r="P68" s="41" t="inlineStr">
        <is>
          <t>Critical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/>
    </row>
    <row r="69" ht="80" customHeight="1">
      <c r="A69" s="41" t="inlineStr">
        <is>
          <t>TC-066</t>
        </is>
      </c>
      <c r="B69" s="42" t="inlineStr">
        <is>
          <t>GREEN</t>
        </is>
      </c>
      <c r="C69" s="43" t="inlineStr">
        <is>
          <t>P0</t>
        </is>
      </c>
      <c r="D69" s="44" t="inlineStr">
        <is>
          <t>Vụ việc/Vụ án (Dynamic)</t>
        </is>
      </c>
      <c r="E69" s="44" t="inlineStr">
        <is>
          <t>Export động VU_AN (zip) với manualValues bổ sung → 2xx</t>
        </is>
      </c>
      <c r="F69" s="41" t="inlineStr"/>
      <c r="G69" s="41" t="inlineStr"/>
      <c r="H69" s="41" t="inlineStr"/>
      <c r="I69" s="44" t="inlineStr"/>
      <c r="J69" s="44" t="inlineStr">
        <is>
          <t>Chạy LIVE API trên local. status=201 fields=9</t>
        </is>
      </c>
      <c r="K69" s="44" t="inlineStr"/>
      <c r="L69" s="44" t="inlineStr"/>
      <c r="M69" s="44" t="inlineStr">
        <is>
          <t>true</t>
        </is>
      </c>
      <c r="N69" s="44" t="inlineStr"/>
      <c r="O69" s="44" t="inlineStr"/>
      <c r="P69" s="41" t="inlineStr">
        <is>
          <t>Critical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/>
    </row>
    <row r="70" ht="80" customHeight="1">
      <c r="A70" s="41" t="inlineStr">
        <is>
          <t>TC-067</t>
        </is>
      </c>
      <c r="B70" s="50" t="inlineStr">
        <is>
          <t>SECURITY</t>
        </is>
      </c>
      <c r="C70" s="43" t="inlineStr">
        <is>
          <t>P0</t>
        </is>
      </c>
      <c r="D70" s="44" t="inlineStr">
        <is>
          <t>Bảo mật/RBAC</t>
        </is>
      </c>
      <c r="E70" s="44" t="inlineStr">
        <is>
          <t>Export động: manualValues chứa {}/&lt;&gt; → 2xx (escape docxtemplater)</t>
        </is>
      </c>
      <c r="F70" s="41" t="inlineStr"/>
      <c r="G70" s="41" t="inlineStr"/>
      <c r="H70" s="41" t="inlineStr"/>
      <c r="I70" s="44" t="inlineStr"/>
      <c r="J70" s="44" t="inlineStr">
        <is>
          <t>Chạy LIVE API trên local. status=201</t>
        </is>
      </c>
      <c r="K70" s="44" t="inlineStr"/>
      <c r="L70" s="44" t="inlineStr"/>
      <c r="M70" s="44" t="inlineStr">
        <is>
          <t>true</t>
        </is>
      </c>
      <c r="N70" s="44" t="inlineStr"/>
      <c r="O70" s="44" t="inlineStr"/>
      <c r="P70" s="41" t="inlineStr">
        <is>
          <t>Critical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/>
    </row>
    <row r="71" ht="80" customHeight="1">
      <c r="A71" s="41" t="inlineStr">
        <is>
          <t>TC-068</t>
        </is>
      </c>
      <c r="B71" s="50" t="inlineStr">
        <is>
          <t>SECURITY</t>
        </is>
      </c>
      <c r="C71" s="43" t="inlineStr">
        <is>
          <t>P0</t>
        </is>
      </c>
      <c r="D71" s="44" t="inlineStr">
        <is>
          <t>Bảo mật/RBAC</t>
        </is>
      </c>
      <c r="E71" s="44" t="inlineStr">
        <is>
          <t>cases/:id/export-readiness KHÔNG token → 401</t>
        </is>
      </c>
      <c r="F71" s="41" t="inlineStr"/>
      <c r="G71" s="41" t="inlineStr"/>
      <c r="H71" s="41" t="inlineStr"/>
      <c r="I71" s="44" t="inlineStr"/>
      <c r="J71" s="44" t="inlineStr">
        <is>
          <t>Chạy LIVE API trên local. status=401</t>
        </is>
      </c>
      <c r="K71" s="44" t="inlineStr"/>
      <c r="L71" s="44" t="inlineStr"/>
      <c r="M71" s="44" t="inlineStr">
        <is>
          <t>true</t>
        </is>
      </c>
      <c r="N71" s="44" t="inlineStr"/>
      <c r="O71" s="44" t="inlineStr"/>
      <c r="P71" s="41" t="inlineStr">
        <is>
          <t>Critical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/>
    </row>
    <row r="72" ht="80" customHeight="1">
      <c r="A72" s="41" t="inlineStr">
        <is>
          <t>TC-069</t>
        </is>
      </c>
      <c r="B72" s="50" t="inlineStr">
        <is>
          <t>SECURITY</t>
        </is>
      </c>
      <c r="C72" s="43" t="inlineStr">
        <is>
          <t>P0</t>
        </is>
      </c>
      <c r="D72" s="44" t="inlineStr">
        <is>
          <t>Bảo mật/RBAC</t>
        </is>
      </c>
      <c r="E72" s="44" t="inlineStr">
        <is>
          <t>incidents/:id/export-readiness KHÔNG token → 401</t>
        </is>
      </c>
      <c r="F72" s="41" t="inlineStr"/>
      <c r="G72" s="41" t="inlineStr"/>
      <c r="H72" s="41" t="inlineStr"/>
      <c r="I72" s="44" t="inlineStr"/>
      <c r="J72" s="44" t="inlineStr">
        <is>
          <t>Chạy LIVE API trên local. status=401</t>
        </is>
      </c>
      <c r="K72" s="44" t="inlineStr"/>
      <c r="L72" s="44" t="inlineStr"/>
      <c r="M72" s="44" t="inlineStr">
        <is>
          <t>true</t>
        </is>
      </c>
      <c r="N72" s="44" t="inlineStr"/>
      <c r="O72" s="44" t="inlineStr"/>
      <c r="P72" s="41" t="inlineStr">
        <is>
          <t>Critical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/>
    </row>
    <row r="73" ht="80" customHeight="1">
      <c r="A73" s="41" t="inlineStr">
        <is>
          <t>TC-070</t>
        </is>
      </c>
      <c r="B73" s="50" t="inlineStr">
        <is>
          <t>SECURITY</t>
        </is>
      </c>
      <c r="C73" s="46" t="inlineStr">
        <is>
          <t>P1</t>
        </is>
      </c>
      <c r="D73" s="44" t="inlineStr">
        <is>
          <t>Bảo mật/RBAC</t>
        </is>
      </c>
      <c r="E73" s="44" t="inlineStr">
        <is>
          <t>IDOR: incidentId trên /cases/:id/export-readiness → 404 (không lẫn entity)</t>
        </is>
      </c>
      <c r="F73" s="41" t="inlineStr"/>
      <c r="G73" s="41" t="inlineStr"/>
      <c r="H73" s="41" t="inlineStr"/>
      <c r="I73" s="44" t="inlineStr"/>
      <c r="J73" s="44" t="inlineStr">
        <is>
          <t>Chạy LIVE API trên local. status=404</t>
        </is>
      </c>
      <c r="K73" s="44" t="inlineStr"/>
      <c r="L73" s="44" t="inlineStr"/>
      <c r="M73" s="44" t="inlineStr">
        <is>
          <t>true</t>
        </is>
      </c>
      <c r="N73" s="44" t="inlineStr"/>
      <c r="O73" s="44" t="inlineStr"/>
      <c r="P73" s="41" t="inlineStr">
        <is>
          <t>High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/>
    </row>
    <row r="74" ht="80" customHeight="1">
      <c r="A74" s="41" t="inlineStr">
        <is>
          <t>TC-071</t>
        </is>
      </c>
      <c r="B74" s="50" t="inlineStr">
        <is>
          <t>SECURITY</t>
        </is>
      </c>
      <c r="C74" s="43" t="inlineStr">
        <is>
          <t>P0</t>
        </is>
      </c>
      <c r="D74" s="44" t="inlineStr">
        <is>
          <t>Bảo mật/RBAC</t>
        </is>
      </c>
      <c r="E74" s="44" t="inlineStr">
        <is>
          <t>Officer GET incidents export-readiness NGOÀI scope → 403/404</t>
        </is>
      </c>
      <c r="F74" s="41" t="inlineStr"/>
      <c r="G74" s="41" t="inlineStr"/>
      <c r="H74" s="41" t="inlineStr"/>
      <c r="I74" s="44" t="inlineStr"/>
      <c r="J74" s="44" t="inlineStr">
        <is>
          <t>Chạy LIVE API trên local. status=403</t>
        </is>
      </c>
      <c r="K74" s="44" t="inlineStr"/>
      <c r="L74" s="44" t="inlineStr"/>
      <c r="M74" s="44" t="inlineStr">
        <is>
          <t>true</t>
        </is>
      </c>
      <c r="N74" s="44" t="inlineStr"/>
      <c r="O74" s="44" t="inlineStr"/>
      <c r="P74" s="41" t="inlineStr">
        <is>
          <t>Critical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/>
    </row>
    <row r="75" ht="80" customHeight="1">
      <c r="A75" s="41" t="inlineStr">
        <is>
          <t>TC-072</t>
        </is>
      </c>
      <c r="B75" s="47" t="inlineStr">
        <is>
          <t>DECISION</t>
        </is>
      </c>
      <c r="C75" s="46" t="inlineStr">
        <is>
          <t>P1</t>
        </is>
      </c>
      <c r="D75" s="44" t="inlineStr">
        <is>
          <t>Vụ việc/Vụ án (Dynamic)</t>
        </is>
      </c>
      <c r="E75" s="44" t="inlineStr">
        <is>
          <t>VU_AN QD_KHOI_TO_VU_AN: missing chỉ gồm biến required (theo seed REQUIRED_VARS)</t>
        </is>
      </c>
      <c r="F75" s="41" t="inlineStr"/>
      <c r="G75" s="41" t="inlineStr"/>
      <c r="H75" s="41" t="inlineStr"/>
      <c r="I75" s="44" t="inlineStr"/>
      <c r="J75" s="44" t="inlineStr">
        <is>
          <t>Chạy LIVE API trên local. code=QD_KHOI_TO_VU_AN ready=false missing=toiDanh,noiXayRa</t>
        </is>
      </c>
      <c r="K75" s="44" t="inlineStr"/>
      <c r="L75" s="44" t="inlineStr"/>
      <c r="M75" s="44" t="inlineStr">
        <is>
          <t>true</t>
        </is>
      </c>
      <c r="N75" s="44" t="inlineStr"/>
      <c r="O75" s="44" t="inlineStr"/>
      <c r="P75" s="41" t="inlineStr">
        <is>
          <t>High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/>
    </row>
    <row r="76" ht="80" customHeight="1">
      <c r="A76" s="41" t="inlineStr">
        <is>
          <t>TC-073</t>
        </is>
      </c>
      <c r="B76" s="48" t="inlineStr">
        <is>
          <t>DATA</t>
        </is>
      </c>
      <c r="C76" s="46" t="inlineStr">
        <is>
          <t>P1</t>
        </is>
      </c>
      <c r="D76" s="44" t="inlineStr">
        <is>
          <t>Vụ việc/Vụ án (Dynamic)</t>
        </is>
      </c>
      <c r="E76" s="44" t="inlineStr">
        <is>
          <t>VU_AN missing field có {field,label,type,savable}</t>
        </is>
      </c>
      <c r="F76" s="41" t="inlineStr"/>
      <c r="G76" s="41" t="inlineStr"/>
      <c r="H76" s="41" t="inlineStr"/>
      <c r="I76" s="44" t="inlineStr"/>
      <c r="J76" s="44" t="inlineStr">
        <is>
          <t>Chạy LIVE API trên local. sample={"field":"toiDanh","label":"toiDanh","type":"text","savable":false}</t>
        </is>
      </c>
      <c r="K76" s="44" t="inlineStr"/>
      <c r="L76" s="44" t="inlineStr"/>
      <c r="M76" s="44" t="inlineStr">
        <is>
          <t>true</t>
        </is>
      </c>
      <c r="N76" s="44" t="inlineStr"/>
      <c r="O76" s="44" t="inlineStr"/>
      <c r="P76" s="41" t="inlineStr">
        <is>
          <t>High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/>
    </row>
    <row r="77" ht="80" customHeight="1">
      <c r="A77" s="41" t="inlineStr">
        <is>
          <t>TC-074</t>
        </is>
      </c>
      <c r="B77" s="50" t="inlineStr">
        <is>
          <t>SECURITY</t>
        </is>
      </c>
      <c r="C77" s="52" t="inlineStr">
        <is>
          <t>P2</t>
        </is>
      </c>
      <c r="D77" s="44" t="inlineStr">
        <is>
          <t>Bảo mật/RBAC</t>
        </is>
      </c>
      <c r="E77" s="44" t="inlineStr">
        <is>
          <t>Admin GET readiness mọi case → 200 (full scope)</t>
        </is>
      </c>
      <c r="F77" s="41" t="inlineStr"/>
      <c r="G77" s="41" t="inlineStr"/>
      <c r="H77" s="41" t="inlineStr"/>
      <c r="I77" s="44" t="inlineStr"/>
      <c r="J77" s="44" t="inlineStr">
        <is>
          <t>Chạy LIVE API trên local. status=200</t>
        </is>
      </c>
      <c r="K77" s="44" t="inlineStr"/>
      <c r="L77" s="44" t="inlineStr"/>
      <c r="M77" s="44" t="inlineStr">
        <is>
          <t>true</t>
        </is>
      </c>
      <c r="N77" s="44" t="inlineStr"/>
      <c r="O77" s="44" t="inlineStr"/>
      <c r="P77" s="41" t="inlineStr">
        <is>
          <t>Medium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/>
    </row>
    <row r="78" ht="80" customHeight="1">
      <c r="A78" s="41" t="inlineStr">
        <is>
          <t>TC-075</t>
        </is>
      </c>
      <c r="B78" s="45" t="inlineStr">
        <is>
          <t>RED</t>
        </is>
      </c>
      <c r="C78" s="43" t="inlineStr">
        <is>
          <t>P0</t>
        </is>
      </c>
      <c r="D78" s="44" t="inlineStr">
        <is>
          <t>Vụ việc/Vụ án (Dynamic)</t>
        </is>
      </c>
      <c r="E78" s="44" t="inlineStr">
        <is>
          <t>Export động VU_VIEC: templateIds TRÙNG → 400</t>
        </is>
      </c>
      <c r="F78" s="41" t="inlineStr"/>
      <c r="G78" s="41" t="inlineStr"/>
      <c r="H78" s="41" t="inlineStr"/>
      <c r="I78" s="44" t="inlineStr"/>
      <c r="J78" s="44" t="inlineStr">
        <is>
          <t>Chạy LIVE API trên local. status=400</t>
        </is>
      </c>
      <c r="K78" s="44" t="inlineStr"/>
      <c r="L78" s="44" t="inlineStr"/>
      <c r="M78" s="44" t="inlineStr">
        <is>
          <t>true</t>
        </is>
      </c>
      <c r="N78" s="44" t="inlineStr"/>
      <c r="O78" s="44" t="inlineStr"/>
      <c r="P78" s="41" t="inlineStr">
        <is>
          <t>Critical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/>
    </row>
    <row r="79" ht="80" customHeight="1">
      <c r="A79" s="41" t="inlineStr">
        <is>
          <t>TC-076</t>
        </is>
      </c>
      <c r="B79" s="45" t="inlineStr">
        <is>
          <t>RED</t>
        </is>
      </c>
      <c r="C79" s="43" t="inlineStr">
        <is>
          <t>P0</t>
        </is>
      </c>
      <c r="D79" s="44" t="inlineStr">
        <is>
          <t>Vụ việc/Vụ án (Dynamic)</t>
        </is>
      </c>
      <c r="E79" s="44" t="inlineStr">
        <is>
          <t>Export động: template VU_AN dùng cho /incidents → 400 (sai loại)</t>
        </is>
      </c>
      <c r="F79" s="41" t="inlineStr"/>
      <c r="G79" s="41" t="inlineStr"/>
      <c r="H79" s="41" t="inlineStr"/>
      <c r="I79" s="44" t="inlineStr"/>
      <c r="J79" s="44" t="inlineStr">
        <is>
          <t>Chạy LIVE API trên local. status=400</t>
        </is>
      </c>
      <c r="K79" s="44" t="inlineStr"/>
      <c r="L79" s="44" t="inlineStr"/>
      <c r="M79" s="44" t="inlineStr">
        <is>
          <t>true</t>
        </is>
      </c>
      <c r="N79" s="44" t="inlineStr"/>
      <c r="O79" s="44" t="inlineStr"/>
      <c r="P79" s="41" t="inlineStr">
        <is>
          <t>Critical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/>
    </row>
    <row r="80" ht="80" customHeight="1">
      <c r="A80" s="41" t="inlineStr">
        <is>
          <t>TC-077</t>
        </is>
      </c>
      <c r="B80" s="42" t="inlineStr">
        <is>
          <t>GREEN</t>
        </is>
      </c>
      <c r="C80" s="43" t="inlineStr">
        <is>
          <t>P0</t>
        </is>
      </c>
      <c r="D80" s="44" t="inlineStr">
        <is>
          <t>Vụ việc/Vụ án (Dynamic)</t>
        </is>
      </c>
      <c r="E80" s="44" t="inlineStr">
        <is>
          <t>Export động VU_VIEC (merged) với manualValues → 2xx</t>
        </is>
      </c>
      <c r="F80" s="41" t="inlineStr"/>
      <c r="G80" s="41" t="inlineStr"/>
      <c r="H80" s="41" t="inlineStr"/>
      <c r="I80" s="44" t="inlineStr"/>
      <c r="J80" s="44" t="inlineStr">
        <is>
          <t>Chạy LIVE API trên local. status=201</t>
        </is>
      </c>
      <c r="K80" s="44" t="inlineStr"/>
      <c r="L80" s="44" t="inlineStr"/>
      <c r="M80" s="44" t="inlineStr">
        <is>
          <t>true</t>
        </is>
      </c>
      <c r="N80" s="44" t="inlineStr"/>
      <c r="O80" s="44" t="inlineStr"/>
      <c r="P80" s="41" t="inlineStr">
        <is>
          <t>Critical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/>
    </row>
    <row r="81" ht="80" customHeight="1">
      <c r="A81" s="41" t="inlineStr">
        <is>
          <t>TC-078</t>
        </is>
      </c>
      <c r="B81" s="42" t="inlineStr">
        <is>
          <t>GREEN</t>
        </is>
      </c>
      <c r="C81" s="43" t="inlineStr">
        <is>
          <t>P0</t>
        </is>
      </c>
      <c r="D81" s="44" t="inlineStr">
        <is>
          <t>Vụ việc/Vụ án (Dynamic)</t>
        </is>
      </c>
      <c r="E81" s="44" t="inlineStr">
        <is>
          <t>Export động VU_VIEC (zip) với manualValues → 2xx</t>
        </is>
      </c>
      <c r="F81" s="41" t="inlineStr"/>
      <c r="G81" s="41" t="inlineStr"/>
      <c r="H81" s="41" t="inlineStr"/>
      <c r="I81" s="44" t="inlineStr"/>
      <c r="J81" s="44" t="inlineStr">
        <is>
          <t>Chạy LIVE API trên local. status=201</t>
        </is>
      </c>
      <c r="K81" s="44" t="inlineStr"/>
      <c r="L81" s="44" t="inlineStr"/>
      <c r="M81" s="44" t="inlineStr">
        <is>
          <t>true</t>
        </is>
      </c>
      <c r="N81" s="44" t="inlineStr"/>
      <c r="O81" s="44" t="inlineStr"/>
      <c r="P81" s="41" t="inlineStr">
        <is>
          <t>Critical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/>
    </row>
    <row r="82" ht="80" customHeight="1">
      <c r="A82" s="41" t="inlineStr">
        <is>
          <t>TC-079</t>
        </is>
      </c>
      <c r="B82" s="47" t="inlineStr">
        <is>
          <t>DECISION</t>
        </is>
      </c>
      <c r="C82" s="46" t="inlineStr">
        <is>
          <t>P1</t>
        </is>
      </c>
      <c r="D82" s="44" t="inlineStr">
        <is>
          <t>Vụ việc/Vụ án (Dynamic)</t>
        </is>
      </c>
      <c r="E82" s="44" t="inlineStr">
        <is>
          <t>VU_VIEC QD_PHAN_CONG_GIAI_QUYET: missing là biến required</t>
        </is>
      </c>
      <c r="F82" s="41" t="inlineStr"/>
      <c r="G82" s="41" t="inlineStr"/>
      <c r="H82" s="41" t="inlineStr"/>
      <c r="I82" s="44" t="inlineStr"/>
      <c r="J82" s="44" t="inlineStr">
        <is>
          <t>Chạy LIVE API trên local. ready=false missing=nguonTin,dieuTraVien,nguoiQuyetDinh</t>
        </is>
      </c>
      <c r="K82" s="44" t="inlineStr"/>
      <c r="L82" s="44" t="inlineStr"/>
      <c r="M82" s="44" t="inlineStr">
        <is>
          <t>true</t>
        </is>
      </c>
      <c r="N82" s="44" t="inlineStr"/>
      <c r="O82" s="44" t="inlineStr"/>
      <c r="P82" s="41" t="inlineStr">
        <is>
          <t>High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/>
    </row>
    <row r="83" ht="80" customHeight="1">
      <c r="A83" s="41" t="inlineStr">
        <is>
          <t>TC-080</t>
        </is>
      </c>
      <c r="B83" s="42" t="inlineStr">
        <is>
          <t>GREEN</t>
        </is>
      </c>
      <c r="C83" s="43" t="inlineStr">
        <is>
          <t>P0</t>
        </is>
      </c>
      <c r="D83" s="44" t="inlineStr">
        <is>
          <t>Đơn thư (Petition)</t>
        </is>
      </c>
      <c r="E83" s="44" t="inlineStr">
        <is>
          <t>Đơn thư đủ bare-min ngay khi tạo: BIEN_NHAN + THONG_BAO_CHUYEN ready</t>
        </is>
      </c>
      <c r="F83" s="41" t="inlineStr"/>
      <c r="G83" s="41" t="inlineStr"/>
      <c r="H83" s="41" t="inlineStr"/>
      <c r="I83" s="44" t="inlineStr"/>
      <c r="J83" s="44" t="inlineStr">
        <is>
          <t>Chạy LIVE API trên local. BIEN_NHAN=true THONG_BAO_CHUYEN=true</t>
        </is>
      </c>
      <c r="K83" s="44" t="inlineStr"/>
      <c r="L83" s="44" t="inlineStr"/>
      <c r="M83" s="44" t="inlineStr">
        <is>
          <t>true</t>
        </is>
      </c>
      <c r="N83" s="44" t="inlineStr"/>
      <c r="O83" s="44" t="inlineStr"/>
      <c r="P83" s="41" t="inlineStr">
        <is>
          <t>Critical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/>
    </row>
    <row r="84" ht="80" customHeight="1">
      <c r="A84" s="41" t="inlineStr">
        <is>
          <t>TC-081</t>
        </is>
      </c>
      <c r="B84" s="47" t="inlineStr">
        <is>
          <t>DECISION</t>
        </is>
      </c>
      <c r="C84" s="46" t="inlineStr">
        <is>
          <t>P1</t>
        </is>
      </c>
      <c r="D84" s="44" t="inlineStr">
        <is>
          <t>Đơn thư (Petition)</t>
        </is>
      </c>
      <c r="E84" s="44" t="inlineStr">
        <is>
          <t>Đơn thư đủ bare-min: PHIEU_DE_XUAT vẫn thiếu (cần nhanThay+deXuat)</t>
        </is>
      </c>
      <c r="F84" s="41" t="inlineStr"/>
      <c r="G84" s="41" t="inlineStr"/>
      <c r="H84" s="41" t="inlineStr"/>
      <c r="I84" s="44" t="inlineStr"/>
      <c r="J84" s="44" t="inlineStr">
        <is>
          <t>Chạy LIVE API trên local. ready=false</t>
        </is>
      </c>
      <c r="K84" s="44" t="inlineStr"/>
      <c r="L84" s="44" t="inlineStr"/>
      <c r="M84" s="44" t="inlineStr">
        <is>
          <t>true</t>
        </is>
      </c>
      <c r="N84" s="44" t="inlineStr"/>
      <c r="O84" s="44" t="inlineStr"/>
      <c r="P84" s="41" t="inlineStr">
        <is>
          <t>High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/>
    </row>
    <row r="85" ht="80" customHeight="1">
      <c r="A85" s="41" t="inlineStr">
        <is>
          <t>TC-082</t>
        </is>
      </c>
      <c r="B85" s="48" t="inlineStr">
        <is>
          <t>DATA</t>
        </is>
      </c>
      <c r="C85" s="46" t="inlineStr">
        <is>
          <t>P1</t>
        </is>
      </c>
      <c r="D85" s="44" t="inlineStr">
        <is>
          <t>Optimistic-lock</t>
        </is>
      </c>
      <c r="E85" s="44" t="inlineStr">
        <is>
          <t>readiness có updatedAt (đồng bộ optimistic-lock)</t>
        </is>
      </c>
      <c r="F85" s="41" t="inlineStr"/>
      <c r="G85" s="41" t="inlineStr"/>
      <c r="H85" s="41" t="inlineStr"/>
      <c r="I85" s="44" t="inlineStr"/>
      <c r="J85" s="44" t="inlineStr">
        <is>
          <t>Chạy LIVE API trên local. updatedAt=true</t>
        </is>
      </c>
      <c r="K85" s="44" t="inlineStr"/>
      <c r="L85" s="44" t="inlineStr"/>
      <c r="M85" s="44" t="inlineStr">
        <is>
          <t>true</t>
        </is>
      </c>
      <c r="N85" s="44" t="inlineStr"/>
      <c r="O85" s="44" t="inlineStr"/>
      <c r="P85" s="41" t="inlineStr">
        <is>
          <t>High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/>
    </row>
    <row r="86" ht="80" customHeight="1">
      <c r="A86" s="41" t="inlineStr">
        <is>
          <t>TC-083</t>
        </is>
      </c>
      <c r="B86" s="54" t="inlineStr">
        <is>
          <t>BOUNDARY</t>
        </is>
      </c>
      <c r="C86" s="46" t="inlineStr">
        <is>
          <t>P1</t>
        </is>
      </c>
      <c r="D86" s="44" t="inlineStr">
        <is>
          <t>Đơn thư (Petition)</t>
        </is>
      </c>
      <c r="E86" s="44" t="inlineStr">
        <is>
          <t>Xuất nhiều mẫu, 1 mẫu thiếu (PHIEU_DE_XUAT) → 400 (chặn cụm)</t>
        </is>
      </c>
      <c r="F86" s="41" t="inlineStr"/>
      <c r="G86" s="41" t="inlineStr"/>
      <c r="H86" s="41" t="inlineStr"/>
      <c r="I86" s="44" t="inlineStr"/>
      <c r="J86" s="44" t="inlineStr">
        <is>
          <t>Chạy LIVE API trên local. status=400</t>
        </is>
      </c>
      <c r="K86" s="44" t="inlineStr"/>
      <c r="L86" s="44" t="inlineStr"/>
      <c r="M86" s="44" t="inlineStr">
        <is>
          <t>true</t>
        </is>
      </c>
      <c r="N86" s="44" t="inlineStr"/>
      <c r="O86" s="44" t="inlineStr"/>
      <c r="P86" s="41" t="inlineStr">
        <is>
          <t>High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/>
    </row>
    <row r="87" ht="80" customHeight="1">
      <c r="A87" s="41" t="inlineStr">
        <is>
          <t>TC-084</t>
        </is>
      </c>
      <c r="B87" s="45" t="inlineStr">
        <is>
          <t>RED</t>
        </is>
      </c>
      <c r="C87" s="46" t="inlineStr">
        <is>
          <t>P1</t>
        </is>
      </c>
      <c r="D87" s="44" t="inlineStr">
        <is>
          <t>Đơn thư (Petition)</t>
        </is>
      </c>
      <c r="E87" s="44" t="inlineStr">
        <is>
          <t>Xuất với docTypes rỗng → 400</t>
        </is>
      </c>
      <c r="F87" s="41" t="inlineStr"/>
      <c r="G87" s="41" t="inlineStr"/>
      <c r="H87" s="41" t="inlineStr"/>
      <c r="I87" s="44" t="inlineStr"/>
      <c r="J87" s="44" t="inlineStr">
        <is>
          <t>Chạy LIVE API trên local. status=400</t>
        </is>
      </c>
      <c r="K87" s="44" t="inlineStr"/>
      <c r="L87" s="44" t="inlineStr"/>
      <c r="M87" s="44" t="inlineStr">
        <is>
          <t>true</t>
        </is>
      </c>
      <c r="N87" s="44" t="inlineStr"/>
      <c r="O87" s="44" t="inlineStr"/>
      <c r="P87" s="41" t="inlineStr">
        <is>
          <t>High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/>
    </row>
    <row r="88" ht="80" customHeight="1">
      <c r="A88" s="41" t="inlineStr">
        <is>
          <t>TC-085</t>
        </is>
      </c>
      <c r="B88" s="47" t="inlineStr">
        <is>
          <t>DECISION</t>
        </is>
      </c>
      <c r="C88" s="46" t="inlineStr">
        <is>
          <t>P1</t>
        </is>
      </c>
      <c r="D88" s="44" t="inlineStr">
        <is>
          <t>Đơn thư (Petition)</t>
        </is>
      </c>
      <c r="E88" s="44" t="inlineStr">
        <is>
          <t>Decision: PHIEU_DE_XUAT (bare-min đủ) thiếu đúng {nhanThay,deXuat}</t>
        </is>
      </c>
      <c r="F88" s="41" t="inlineStr"/>
      <c r="G88" s="41" t="inlineStr"/>
      <c r="H88" s="41" t="inlineStr"/>
      <c r="I88" s="44" t="inlineStr"/>
      <c r="J88" s="44" t="inlineStr">
        <is>
          <t>Chạy LIVE API trên local. missing=nhanThay,deXuat</t>
        </is>
      </c>
      <c r="K88" s="44" t="inlineStr"/>
      <c r="L88" s="44" t="inlineStr"/>
      <c r="M88" s="44" t="inlineStr">
        <is>
          <t>true</t>
        </is>
      </c>
      <c r="N88" s="44" t="inlineStr"/>
      <c r="O88" s="44" t="inlineStr"/>
      <c r="P88" s="41" t="inlineStr">
        <is>
          <t>High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/>
    </row>
    <row r="89" ht="80" customHeight="1">
      <c r="A89" s="41" t="inlineStr">
        <is>
          <t>TC-086</t>
        </is>
      </c>
      <c r="B89" s="47" t="inlineStr">
        <is>
          <t>DECISION</t>
        </is>
      </c>
      <c r="C89" s="46" t="inlineStr">
        <is>
          <t>P1</t>
        </is>
      </c>
      <c r="D89" s="44" t="inlineStr">
        <is>
          <t>Đơn thư (Petition)</t>
        </is>
      </c>
      <c r="E89" s="44" t="inlineStr">
        <is>
          <t>Decision: PHIEU_CHUYEN_NGUON_TIN (bare-min đủ) thiếu đúng {lyDoChuyen,canCuPhapLy}</t>
        </is>
      </c>
      <c r="F89" s="41" t="inlineStr"/>
      <c r="G89" s="41" t="inlineStr"/>
      <c r="H89" s="41" t="inlineStr"/>
      <c r="I89" s="44" t="inlineStr"/>
      <c r="J89" s="44" t="inlineStr">
        <is>
          <t>Chạy LIVE API trên local. missing=lyDoChuyen,canCuPhapLy</t>
        </is>
      </c>
      <c r="K89" s="44" t="inlineStr"/>
      <c r="L89" s="44" t="inlineStr"/>
      <c r="M89" s="44" t="inlineStr">
        <is>
          <t>true</t>
        </is>
      </c>
      <c r="N89" s="44" t="inlineStr"/>
      <c r="O89" s="44" t="inlineStr"/>
      <c r="P89" s="41" t="inlineStr">
        <is>
          <t>High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/>
    </row>
    <row r="90" ht="80" customHeight="1">
      <c r="A90" s="41" t="inlineStr">
        <is>
          <t>TC-087</t>
        </is>
      </c>
      <c r="B90" s="47" t="inlineStr">
        <is>
          <t>DECISION</t>
        </is>
      </c>
      <c r="C90" s="46" t="inlineStr">
        <is>
          <t>P1</t>
        </is>
      </c>
      <c r="D90" s="44" t="inlineStr">
        <is>
          <t>Đơn thư (Petition)</t>
        </is>
      </c>
      <c r="E90" s="44" t="inlineStr">
        <is>
          <t>Decision: PHIEU_CHUYEN_DON (bare-min đủ) thiếu đúng {lyDoChuyen}</t>
        </is>
      </c>
      <c r="F90" s="41" t="inlineStr"/>
      <c r="G90" s="41" t="inlineStr"/>
      <c r="H90" s="41" t="inlineStr"/>
      <c r="I90" s="44" t="inlineStr"/>
      <c r="J90" s="44" t="inlineStr">
        <is>
          <t>Chạy LIVE API trên local. missing=lyDoChuyen</t>
        </is>
      </c>
      <c r="K90" s="44" t="inlineStr"/>
      <c r="L90" s="44" t="inlineStr"/>
      <c r="M90" s="44" t="inlineStr">
        <is>
          <t>true</t>
        </is>
      </c>
      <c r="N90" s="44" t="inlineStr"/>
      <c r="O90" s="44" t="inlineStr"/>
      <c r="P90" s="41" t="inlineStr">
        <is>
          <t>High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/>
    </row>
    <row r="91" ht="80" customHeight="1">
      <c r="A91" s="41" t="inlineStr">
        <is>
          <t>TC-088</t>
        </is>
      </c>
      <c r="B91" s="47" t="inlineStr">
        <is>
          <t>DECISION</t>
        </is>
      </c>
      <c r="C91" s="46" t="inlineStr">
        <is>
          <t>P1</t>
        </is>
      </c>
      <c r="D91" s="44" t="inlineStr">
        <is>
          <t>Đơn thư (Petition)</t>
        </is>
      </c>
      <c r="E91" s="44" t="inlineStr">
        <is>
          <t>Decision: THONG_BAO_HUONG_DAN (bare-min đủ) thiếu đúng {huongDanKhoiKien}</t>
        </is>
      </c>
      <c r="F91" s="41" t="inlineStr"/>
      <c r="G91" s="41" t="inlineStr"/>
      <c r="H91" s="41" t="inlineStr"/>
      <c r="I91" s="44" t="inlineStr"/>
      <c r="J91" s="44" t="inlineStr">
        <is>
          <t>Chạy LIVE API trên local. missing=huongDanKhoiKien</t>
        </is>
      </c>
      <c r="K91" s="44" t="inlineStr"/>
      <c r="L91" s="44" t="inlineStr"/>
      <c r="M91" s="44" t="inlineStr">
        <is>
          <t>true</t>
        </is>
      </c>
      <c r="N91" s="44" t="inlineStr"/>
      <c r="O91" s="44" t="inlineStr"/>
      <c r="P91" s="41" t="inlineStr">
        <is>
          <t>High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/>
    </row>
    <row r="92" ht="80" customHeight="1">
      <c r="A92" s="41" t="inlineStr">
        <is>
          <t>TC-089</t>
        </is>
      </c>
      <c r="B92" s="47" t="inlineStr">
        <is>
          <t>DECISION</t>
        </is>
      </c>
      <c r="C92" s="46" t="inlineStr">
        <is>
          <t>P1</t>
        </is>
      </c>
      <c r="D92" s="44" t="inlineStr">
        <is>
          <t>Đơn thư (Petition)</t>
        </is>
      </c>
      <c r="E92" s="44" t="inlineStr">
        <is>
          <t>Decision: THONG_BAO_TRA_LAI (bare-min đủ) thiếu đúng {lyDoTraDon}</t>
        </is>
      </c>
      <c r="F92" s="41" t="inlineStr"/>
      <c r="G92" s="41" t="inlineStr"/>
      <c r="H92" s="41" t="inlineStr"/>
      <c r="I92" s="44" t="inlineStr"/>
      <c r="J92" s="44" t="inlineStr">
        <is>
          <t>Chạy LIVE API trên local. missing=lyDoTraDon</t>
        </is>
      </c>
      <c r="K92" s="44" t="inlineStr"/>
      <c r="L92" s="44" t="inlineStr"/>
      <c r="M92" s="44" t="inlineStr">
        <is>
          <t>true</t>
        </is>
      </c>
      <c r="N92" s="44" t="inlineStr"/>
      <c r="O92" s="44" t="inlineStr"/>
      <c r="P92" s="41" t="inlineStr">
        <is>
          <t>High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/>
    </row>
    <row r="93" ht="80" customHeight="1">
      <c r="A93" s="41" t="inlineStr">
        <is>
          <t>TC-090</t>
        </is>
      </c>
      <c r="B93" s="45" t="inlineStr">
        <is>
          <t>RED</t>
        </is>
      </c>
      <c r="C93" s="43" t="inlineStr">
        <is>
          <t>P0</t>
        </is>
      </c>
      <c r="D93" s="44" t="inlineStr">
        <is>
          <t>Bảo mật/RBAC</t>
        </is>
      </c>
      <c r="E93" s="44" t="inlineStr">
        <is>
          <t>POST export-documents đơn thư KHÔNG token → 401</t>
        </is>
      </c>
      <c r="F93" s="41" t="inlineStr"/>
      <c r="G93" s="41" t="inlineStr"/>
      <c r="H93" s="41" t="inlineStr"/>
      <c r="I93" s="44" t="inlineStr"/>
      <c r="J93" s="44" t="inlineStr">
        <is>
          <t>Chạy LIVE API trên local.</t>
        </is>
      </c>
      <c r="K93" s="44" t="inlineStr"/>
      <c r="L93" s="44" t="inlineStr"/>
      <c r="M93" s="44" t="inlineStr">
        <is>
          <t>true</t>
        </is>
      </c>
      <c r="N93" s="44" t="inlineStr"/>
      <c r="O93" s="44" t="inlineStr"/>
      <c r="P93" s="41" t="inlineStr">
        <is>
          <t>Critical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/>
    </row>
    <row r="94" ht="80" customHeight="1">
      <c r="A94" s="41" t="inlineStr">
        <is>
          <t>TC-091</t>
        </is>
      </c>
      <c r="B94" s="45" t="inlineStr">
        <is>
          <t>RED</t>
        </is>
      </c>
      <c r="C94" s="43" t="inlineStr">
        <is>
          <t>P0</t>
        </is>
      </c>
      <c r="D94" s="44" t="inlineStr">
        <is>
          <t>Bảo mật/RBAC</t>
        </is>
      </c>
      <c r="E94" s="44" t="inlineStr">
        <is>
          <t>POST export-documents đơn thư không tồn tại → 404</t>
        </is>
      </c>
      <c r="F94" s="41" t="inlineStr"/>
      <c r="G94" s="41" t="inlineStr"/>
      <c r="H94" s="41" t="inlineStr"/>
      <c r="I94" s="44" t="inlineStr"/>
      <c r="J94" s="44" t="inlineStr">
        <is>
          <t>Chạy LIVE API trên local.</t>
        </is>
      </c>
      <c r="K94" s="44" t="inlineStr"/>
      <c r="L94" s="44" t="inlineStr"/>
      <c r="M94" s="44" t="inlineStr">
        <is>
          <t>true</t>
        </is>
      </c>
      <c r="N94" s="44" t="inlineStr"/>
      <c r="O94" s="44" t="inlineStr"/>
      <c r="P94" s="41" t="inlineStr">
        <is>
          <t>Critical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/>
    </row>
    <row r="95" ht="80" customHeight="1">
      <c r="A95" s="41" t="inlineStr">
        <is>
          <t>TC-092</t>
        </is>
      </c>
      <c r="B95" s="45" t="inlineStr">
        <is>
          <t>RED</t>
        </is>
      </c>
      <c r="C95" s="43" t="inlineStr">
        <is>
          <t>P0</t>
        </is>
      </c>
      <c r="D95" s="44" t="inlineStr">
        <is>
          <t>Bảo mật/RBAC</t>
        </is>
      </c>
      <c r="E95" s="44" t="inlineStr">
        <is>
          <t>POST export-documents động KHÔNG token → 401</t>
        </is>
      </c>
      <c r="F95" s="41" t="inlineStr"/>
      <c r="G95" s="41" t="inlineStr"/>
      <c r="H95" s="41" t="inlineStr"/>
      <c r="I95" s="44" t="inlineStr"/>
      <c r="J95" s="44" t="inlineStr">
        <is>
          <t>Chạy LIVE API trên local.</t>
        </is>
      </c>
      <c r="K95" s="44" t="inlineStr"/>
      <c r="L95" s="44" t="inlineStr"/>
      <c r="M95" s="44" t="inlineStr">
        <is>
          <t>true</t>
        </is>
      </c>
      <c r="N95" s="44" t="inlineStr"/>
      <c r="O95" s="44" t="inlineStr"/>
      <c r="P95" s="41" t="inlineStr">
        <is>
          <t>Critical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/>
    </row>
    <row r="96" ht="80" customHeight="1">
      <c r="A96" s="41" t="inlineStr">
        <is>
          <t>TC-093</t>
        </is>
      </c>
      <c r="B96" s="45" t="inlineStr">
        <is>
          <t>RED</t>
        </is>
      </c>
      <c r="C96" s="43" t="inlineStr">
        <is>
          <t>P0</t>
        </is>
      </c>
      <c r="D96" s="44" t="inlineStr">
        <is>
          <t>Admin cấu hình required</t>
        </is>
      </c>
      <c r="E96" s="44" t="inlineStr">
        <is>
          <t>PATCH document-templates id không tồn tại → 404</t>
        </is>
      </c>
      <c r="F96" s="41" t="inlineStr"/>
      <c r="G96" s="41" t="inlineStr"/>
      <c r="H96" s="41" t="inlineStr"/>
      <c r="I96" s="44" t="inlineStr"/>
      <c r="J96" s="44" t="inlineStr">
        <is>
          <t>Chạy LIVE API trên local.</t>
        </is>
      </c>
      <c r="K96" s="44" t="inlineStr"/>
      <c r="L96" s="44" t="inlineStr"/>
      <c r="M96" s="44" t="inlineStr">
        <is>
          <t>true</t>
        </is>
      </c>
      <c r="N96" s="44" t="inlineStr"/>
      <c r="O96" s="44" t="inlineStr"/>
      <c r="P96" s="41" t="inlineStr">
        <is>
          <t>Critical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/>
    </row>
    <row r="97" ht="80" customHeight="1">
      <c r="A97" s="41" t="inlineStr">
        <is>
          <t>TC-094</t>
        </is>
      </c>
      <c r="B97" s="45" t="inlineStr">
        <is>
          <t>RED</t>
        </is>
      </c>
      <c r="C97" s="43" t="inlineStr">
        <is>
          <t>P0</t>
        </is>
      </c>
      <c r="D97" s="44" t="inlineStr">
        <is>
          <t>Bảo mật/RBAC</t>
        </is>
      </c>
      <c r="E97" s="44" t="inlineStr">
        <is>
          <t>PATCH document-templates KHÔNG token → 401</t>
        </is>
      </c>
      <c r="F97" s="41" t="inlineStr"/>
      <c r="G97" s="41" t="inlineStr"/>
      <c r="H97" s="41" t="inlineStr"/>
      <c r="I97" s="44" t="inlineStr"/>
      <c r="J97" s="44" t="inlineStr">
        <is>
          <t>Chạy LIVE API trên local.</t>
        </is>
      </c>
      <c r="K97" s="44" t="inlineStr"/>
      <c r="L97" s="44" t="inlineStr"/>
      <c r="M97" s="44" t="inlineStr">
        <is>
          <t>true</t>
        </is>
      </c>
      <c r="N97" s="44" t="inlineStr"/>
      <c r="O97" s="44" t="inlineStr"/>
      <c r="P97" s="41" t="inlineStr">
        <is>
          <t>Critical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/>
    </row>
    <row r="98" ht="80" customHeight="1">
      <c r="A98" s="41" t="inlineStr">
        <is>
          <t>TC-095</t>
        </is>
      </c>
      <c r="B98" s="45" t="inlineStr">
        <is>
          <t>RED</t>
        </is>
      </c>
      <c r="C98" s="46" t="inlineStr">
        <is>
          <t>P1</t>
        </is>
      </c>
      <c r="D98" s="44" t="inlineStr">
        <is>
          <t>Admin cấu hình required</t>
        </is>
      </c>
      <c r="E98" s="44" t="inlineStr">
        <is>
          <t>DELETE document-templates id không tồn tại → 404</t>
        </is>
      </c>
      <c r="F98" s="41" t="inlineStr"/>
      <c r="G98" s="41" t="inlineStr"/>
      <c r="H98" s="41" t="inlineStr"/>
      <c r="I98" s="44" t="inlineStr"/>
      <c r="J98" s="44" t="inlineStr">
        <is>
          <t>Chạy LIVE API trên local.</t>
        </is>
      </c>
      <c r="K98" s="44" t="inlineStr"/>
      <c r="L98" s="44" t="inlineStr"/>
      <c r="M98" s="44" t="inlineStr">
        <is>
          <t>true</t>
        </is>
      </c>
      <c r="N98" s="44" t="inlineStr"/>
      <c r="O98" s="44" t="inlineStr"/>
      <c r="P98" s="41" t="inlineStr">
        <is>
          <t>High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/>
    </row>
    <row r="99" ht="80" customHeight="1">
      <c r="A99" s="41" t="inlineStr">
        <is>
          <t>TC-096</t>
        </is>
      </c>
      <c r="B99" s="45" t="inlineStr">
        <is>
          <t>RED</t>
        </is>
      </c>
      <c r="C99" s="43" t="inlineStr">
        <is>
          <t>P0</t>
        </is>
      </c>
      <c r="D99" s="44" t="inlineStr">
        <is>
          <t>Đơn thư (Petition)</t>
        </is>
      </c>
      <c r="E99" s="44" t="inlineStr">
        <is>
          <t>Tạo petition petitionType sai enum → 400</t>
        </is>
      </c>
      <c r="F99" s="41" t="inlineStr"/>
      <c r="G99" s="41" t="inlineStr"/>
      <c r="H99" s="41" t="inlineStr"/>
      <c r="I99" s="44" t="inlineStr"/>
      <c r="J99" s="44" t="inlineStr">
        <is>
          <t>Chạy LIVE API trên local.</t>
        </is>
      </c>
      <c r="K99" s="44" t="inlineStr"/>
      <c r="L99" s="44" t="inlineStr"/>
      <c r="M99" s="44" t="inlineStr">
        <is>
          <t>true</t>
        </is>
      </c>
      <c r="N99" s="44" t="inlineStr"/>
      <c r="O99" s="44" t="inlineStr"/>
      <c r="P99" s="41" t="inlineStr">
        <is>
          <t>Critical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/>
    </row>
    <row r="100" ht="80" customHeight="1">
      <c r="A100" s="41" t="inlineStr">
        <is>
          <t>TC-097</t>
        </is>
      </c>
      <c r="B100" s="45" t="inlineStr">
        <is>
          <t>RED</t>
        </is>
      </c>
      <c r="C100" s="46" t="inlineStr">
        <is>
          <t>P1</t>
        </is>
      </c>
      <c r="D100" s="44" t="inlineStr">
        <is>
          <t>Đơn thư (Petition)</t>
        </is>
      </c>
      <c r="E100" s="44" t="inlineStr">
        <is>
          <t>Tạo petition receivedDate sai định dạng → 400</t>
        </is>
      </c>
      <c r="F100" s="41" t="inlineStr"/>
      <c r="G100" s="41" t="inlineStr"/>
      <c r="H100" s="41" t="inlineStr"/>
      <c r="I100" s="44" t="inlineStr"/>
      <c r="J100" s="44" t="inlineStr">
        <is>
          <t>Chạy LIVE API trên local.</t>
        </is>
      </c>
      <c r="K100" s="44" t="inlineStr"/>
      <c r="L100" s="44" t="inlineStr"/>
      <c r="M100" s="44" t="inlineStr">
        <is>
          <t>true</t>
        </is>
      </c>
      <c r="N100" s="44" t="inlineStr"/>
      <c r="O100" s="44" t="inlineStr"/>
      <c r="P100" s="41" t="inlineStr">
        <is>
          <t>High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/>
    </row>
    <row r="101" ht="80" customHeight="1">
      <c r="A101" s="41" t="inlineStr">
        <is>
          <t>TC-098</t>
        </is>
      </c>
      <c r="B101" s="45" t="inlineStr">
        <is>
          <t>RED</t>
        </is>
      </c>
      <c r="C101" s="43" t="inlineStr">
        <is>
          <t>P0</t>
        </is>
      </c>
      <c r="D101" s="44" t="inlineStr">
        <is>
          <t>Đơn thư (Petition)</t>
        </is>
      </c>
      <c r="E101" s="44" t="inlineStr">
        <is>
          <t>Xuất đơn thư docType sai enum → 400</t>
        </is>
      </c>
      <c r="F101" s="41" t="inlineStr"/>
      <c r="G101" s="41" t="inlineStr"/>
      <c r="H101" s="41" t="inlineStr"/>
      <c r="I101" s="44" t="inlineStr"/>
      <c r="J101" s="44" t="inlineStr">
        <is>
          <t>Chạy LIVE API trên local.</t>
        </is>
      </c>
      <c r="K101" s="44" t="inlineStr"/>
      <c r="L101" s="44" t="inlineStr"/>
      <c r="M101" s="44" t="inlineStr">
        <is>
          <t>true</t>
        </is>
      </c>
      <c r="N101" s="44" t="inlineStr"/>
      <c r="O101" s="44" t="inlineStr"/>
      <c r="P101" s="41" t="inlineStr">
        <is>
          <t>Critical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/>
    </row>
    <row r="102" ht="80" customHeight="1">
      <c r="A102" s="41" t="inlineStr">
        <is>
          <t>TC-099</t>
        </is>
      </c>
      <c r="B102" s="45" t="inlineStr">
        <is>
          <t>RED</t>
        </is>
      </c>
      <c r="C102" s="46" t="inlineStr">
        <is>
          <t>P1</t>
        </is>
      </c>
      <c r="D102" s="44" t="inlineStr">
        <is>
          <t>Đơn thư (Petition)</t>
        </is>
      </c>
      <c r="E102" s="44" t="inlineStr">
        <is>
          <t>Xuất đơn thư body rỗng (thiếu docTypes) → 400</t>
        </is>
      </c>
      <c r="F102" s="41" t="inlineStr"/>
      <c r="G102" s="41" t="inlineStr"/>
      <c r="H102" s="41" t="inlineStr"/>
      <c r="I102" s="44" t="inlineStr"/>
      <c r="J102" s="44" t="inlineStr">
        <is>
          <t>Chạy LIVE API trên local.</t>
        </is>
      </c>
      <c r="K102" s="44" t="inlineStr"/>
      <c r="L102" s="44" t="inlineStr"/>
      <c r="M102" s="44" t="inlineStr">
        <is>
          <t>true</t>
        </is>
      </c>
      <c r="N102" s="44" t="inlineStr"/>
      <c r="O102" s="44" t="inlineStr"/>
      <c r="P102" s="41" t="inlineStr">
        <is>
          <t>High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/>
    </row>
    <row r="103" ht="80" customHeight="1">
      <c r="A103" s="41" t="inlineStr">
        <is>
          <t>TC-100</t>
        </is>
      </c>
      <c r="B103" s="45" t="inlineStr">
        <is>
          <t>RED</t>
        </is>
      </c>
      <c r="C103" s="43" t="inlineStr">
        <is>
          <t>P0</t>
        </is>
      </c>
      <c r="D103" s="44" t="inlineStr">
        <is>
          <t>Vụ việc/Vụ án (Dynamic)</t>
        </is>
      </c>
      <c r="E103" s="44" t="inlineStr">
        <is>
          <t>Xuất động thiếu templateIds → 400</t>
        </is>
      </c>
      <c r="F103" s="41" t="inlineStr"/>
      <c r="G103" s="41" t="inlineStr"/>
      <c r="H103" s="41" t="inlineStr"/>
      <c r="I103" s="44" t="inlineStr"/>
      <c r="J103" s="44" t="inlineStr">
        <is>
          <t>Chạy LIVE API trên local.</t>
        </is>
      </c>
      <c r="K103" s="44" t="inlineStr"/>
      <c r="L103" s="44" t="inlineStr"/>
      <c r="M103" s="44" t="inlineStr">
        <is>
          <t>true</t>
        </is>
      </c>
      <c r="N103" s="44" t="inlineStr"/>
      <c r="O103" s="44" t="inlineStr"/>
      <c r="P103" s="41" t="inlineStr">
        <is>
          <t>Critical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/>
    </row>
    <row r="104" ht="80" customHeight="1">
      <c r="A104" s="41" t="inlineStr">
        <is>
          <t>TC-101</t>
        </is>
      </c>
      <c r="B104" s="45" t="inlineStr">
        <is>
          <t>RED</t>
        </is>
      </c>
      <c r="C104" s="46" t="inlineStr">
        <is>
          <t>P1</t>
        </is>
      </c>
      <c r="D104" s="44" t="inlineStr">
        <is>
          <t>Vụ việc/Vụ án (Dynamic)</t>
        </is>
      </c>
      <c r="E104" s="44" t="inlineStr">
        <is>
          <t>Xuất động templateIds rỗng → 400</t>
        </is>
      </c>
      <c r="F104" s="41" t="inlineStr"/>
      <c r="G104" s="41" t="inlineStr"/>
      <c r="H104" s="41" t="inlineStr"/>
      <c r="I104" s="44" t="inlineStr"/>
      <c r="J104" s="44" t="inlineStr">
        <is>
          <t>Chạy LIVE API trên local.</t>
        </is>
      </c>
      <c r="K104" s="44" t="inlineStr"/>
      <c r="L104" s="44" t="inlineStr"/>
      <c r="M104" s="44" t="inlineStr">
        <is>
          <t>true</t>
        </is>
      </c>
      <c r="N104" s="44" t="inlineStr"/>
      <c r="O104" s="44" t="inlineStr"/>
      <c r="P104" s="41" t="inlineStr">
        <is>
          <t>High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/>
    </row>
    <row r="105" ht="80" customHeight="1">
      <c r="A105" s="41" t="inlineStr">
        <is>
          <t>TC-102</t>
        </is>
      </c>
      <c r="B105" s="45" t="inlineStr">
        <is>
          <t>RED</t>
        </is>
      </c>
      <c r="C105" s="46" t="inlineStr">
        <is>
          <t>P1</t>
        </is>
      </c>
      <c r="D105" s="44" t="inlineStr">
        <is>
          <t>Vụ việc/Vụ án (Dynamic)</t>
        </is>
      </c>
      <c r="E105" s="44" t="inlineStr">
        <is>
          <t>Xuất động mode không hợp lệ → 400</t>
        </is>
      </c>
      <c r="F105" s="41" t="inlineStr"/>
      <c r="G105" s="41" t="inlineStr"/>
      <c r="H105" s="41" t="inlineStr"/>
      <c r="I105" s="44" t="inlineStr"/>
      <c r="J105" s="44" t="inlineStr">
        <is>
          <t>Chạy LIVE API trên local.</t>
        </is>
      </c>
      <c r="K105" s="44" t="inlineStr"/>
      <c r="L105" s="44" t="inlineStr"/>
      <c r="M105" s="44" t="inlineStr">
        <is>
          <t>true</t>
        </is>
      </c>
      <c r="N105" s="44" t="inlineStr"/>
      <c r="O105" s="44" t="inlineStr"/>
      <c r="P105" s="41" t="inlineStr">
        <is>
          <t>High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/>
    </row>
    <row r="106" ht="80" customHeight="1">
      <c r="A106" s="41" t="inlineStr">
        <is>
          <t>TC-103</t>
        </is>
      </c>
      <c r="B106" s="45" t="inlineStr">
        <is>
          <t>RED</t>
        </is>
      </c>
      <c r="C106" s="43" t="inlineStr">
        <is>
          <t>P0</t>
        </is>
      </c>
      <c r="D106" s="44" t="inlineStr">
        <is>
          <t>Admin cấu hình required</t>
        </is>
      </c>
      <c r="E106" s="44" t="inlineStr">
        <is>
          <t>PATCH requiredVariables không phải mảng → 400</t>
        </is>
      </c>
      <c r="F106" s="41" t="inlineStr"/>
      <c r="G106" s="41" t="inlineStr"/>
      <c r="H106" s="41" t="inlineStr"/>
      <c r="I106" s="44" t="inlineStr"/>
      <c r="J106" s="44" t="inlineStr">
        <is>
          <t>Chạy LIVE API trên local.</t>
        </is>
      </c>
      <c r="K106" s="44" t="inlineStr"/>
      <c r="L106" s="44" t="inlineStr"/>
      <c r="M106" s="44" t="inlineStr">
        <is>
          <t>true</t>
        </is>
      </c>
      <c r="N106" s="44" t="inlineStr"/>
      <c r="O106" s="44" t="inlineStr"/>
      <c r="P106" s="41" t="inlineStr">
        <is>
          <t>Critical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/>
    </row>
    <row r="107" ht="80" customHeight="1">
      <c r="A107" s="41" t="inlineStr">
        <is>
          <t>TC-104</t>
        </is>
      </c>
      <c r="B107" s="45" t="inlineStr">
        <is>
          <t>RED</t>
        </is>
      </c>
      <c r="C107" s="46" t="inlineStr">
        <is>
          <t>P1</t>
        </is>
      </c>
      <c r="D107" s="44" t="inlineStr">
        <is>
          <t>Admin cấu hình required</t>
        </is>
      </c>
      <c r="E107" s="44" t="inlineStr">
        <is>
          <t>PATCH requiredVariables phần tử không phải string → 400</t>
        </is>
      </c>
      <c r="F107" s="41" t="inlineStr"/>
      <c r="G107" s="41" t="inlineStr"/>
      <c r="H107" s="41" t="inlineStr"/>
      <c r="I107" s="44" t="inlineStr"/>
      <c r="J107" s="44" t="inlineStr">
        <is>
          <t>Chạy LIVE API trên local.</t>
        </is>
      </c>
      <c r="K107" s="44" t="inlineStr"/>
      <c r="L107" s="44" t="inlineStr"/>
      <c r="M107" s="44" t="inlineStr">
        <is>
          <t>true</t>
        </is>
      </c>
      <c r="N107" s="44" t="inlineStr"/>
      <c r="O107" s="44" t="inlineStr"/>
      <c r="P107" s="41" t="inlineStr">
        <is>
          <t>High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/>
    </row>
    <row r="108" ht="80" customHeight="1">
      <c r="A108" s="41" t="inlineStr">
        <is>
          <t>TC-105</t>
        </is>
      </c>
      <c r="B108" s="45" t="inlineStr">
        <is>
          <t>RED</t>
        </is>
      </c>
      <c r="C108" s="46" t="inlineStr">
        <is>
          <t>P1</t>
        </is>
      </c>
      <c r="D108" s="44" t="inlineStr">
        <is>
          <t>Bảo mật/RBAC</t>
        </is>
      </c>
      <c r="E108" s="44" t="inlineStr">
        <is>
          <t>GET export-readiness id sai định dạng UUID → 400/404</t>
        </is>
      </c>
      <c r="F108" s="41" t="inlineStr"/>
      <c r="G108" s="41" t="inlineStr"/>
      <c r="H108" s="41" t="inlineStr"/>
      <c r="I108" s="44" t="inlineStr"/>
      <c r="J108" s="44" t="inlineStr">
        <is>
          <t>Chạy LIVE API trên local.</t>
        </is>
      </c>
      <c r="K108" s="44" t="inlineStr"/>
      <c r="L108" s="44" t="inlineStr"/>
      <c r="M108" s="44" t="inlineStr">
        <is>
          <t>true</t>
        </is>
      </c>
      <c r="N108" s="44" t="inlineStr"/>
      <c r="O108" s="44" t="inlineStr"/>
      <c r="P108" s="41" t="inlineStr">
        <is>
          <t>High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/>
    </row>
    <row r="109" ht="80" customHeight="1">
      <c r="A109" s="41" t="inlineStr">
        <is>
          <t>TC-106</t>
        </is>
      </c>
      <c r="B109" s="45" t="inlineStr">
        <is>
          <t>RED</t>
        </is>
      </c>
      <c r="C109" s="43" t="inlineStr">
        <is>
          <t>P0</t>
        </is>
      </c>
      <c r="D109" s="44" t="inlineStr">
        <is>
          <t>Bảo mật/RBAC</t>
        </is>
      </c>
      <c r="E109" s="44" t="inlineStr">
        <is>
          <t>Officer2 (không Setting:write) PATCH document-templates → 403</t>
        </is>
      </c>
      <c r="F109" s="41" t="inlineStr"/>
      <c r="G109" s="41" t="inlineStr"/>
      <c r="H109" s="41" t="inlineStr"/>
      <c r="I109" s="44" t="inlineStr"/>
      <c r="J109" s="44" t="inlineStr">
        <is>
          <t>Chạy LIVE API trên local.</t>
        </is>
      </c>
      <c r="K109" s="44" t="inlineStr"/>
      <c r="L109" s="44" t="inlineStr"/>
      <c r="M109" s="44" t="inlineStr">
        <is>
          <t>true</t>
        </is>
      </c>
      <c r="N109" s="44" t="inlineStr"/>
      <c r="O109" s="44" t="inlineStr"/>
      <c r="P109" s="41" t="inlineStr">
        <is>
          <t>Critical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/>
    </row>
    <row r="110" ht="80" customHeight="1">
      <c r="A110" s="41" t="inlineStr">
        <is>
          <t>TC-107</t>
        </is>
      </c>
      <c r="B110" s="45" t="inlineStr">
        <is>
          <t>RED</t>
        </is>
      </c>
      <c r="C110" s="46" t="inlineStr">
        <is>
          <t>P1</t>
        </is>
      </c>
      <c r="D110" s="44" t="inlineStr">
        <is>
          <t>Bảo mật/RBAC</t>
        </is>
      </c>
      <c r="E110" s="44" t="inlineStr">
        <is>
          <t>GET export-readiness petition ĐÃ XOÁ → 404</t>
        </is>
      </c>
      <c r="F110" s="41" t="inlineStr"/>
      <c r="G110" s="41" t="inlineStr"/>
      <c r="H110" s="41" t="inlineStr"/>
      <c r="I110" s="44" t="inlineStr"/>
      <c r="J110" s="44" t="inlineStr">
        <is>
          <t>Chạy LIVE API trên local.</t>
        </is>
      </c>
      <c r="K110" s="44" t="inlineStr"/>
      <c r="L110" s="44" t="inlineStr"/>
      <c r="M110" s="44" t="inlineStr">
        <is>
          <t>true</t>
        </is>
      </c>
      <c r="N110" s="44" t="inlineStr"/>
      <c r="O110" s="44" t="inlineStr"/>
      <c r="P110" s="41" t="inlineStr">
        <is>
          <t>High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/>
    </row>
    <row r="111" ht="80" customHeight="1">
      <c r="A111" s="41" t="inlineStr">
        <is>
          <t>TC-108</t>
        </is>
      </c>
      <c r="B111" s="45" t="inlineStr">
        <is>
          <t>RED</t>
        </is>
      </c>
      <c r="C111" s="46" t="inlineStr">
        <is>
          <t>P1</t>
        </is>
      </c>
      <c r="D111" s="44" t="inlineStr">
        <is>
          <t>Optimistic-lock</t>
        </is>
      </c>
      <c r="E111" s="44" t="inlineStr">
        <is>
          <t>PUT petition expectedUpdatedAt sai định dạng → 400/409</t>
        </is>
      </c>
      <c r="F111" s="41" t="inlineStr"/>
      <c r="G111" s="41" t="inlineStr"/>
      <c r="H111" s="41" t="inlineStr"/>
      <c r="I111" s="44" t="inlineStr"/>
      <c r="J111" s="44" t="inlineStr">
        <is>
          <t>Chạy LIVE API trên local.</t>
        </is>
      </c>
      <c r="K111" s="44" t="inlineStr"/>
      <c r="L111" s="44" t="inlineStr"/>
      <c r="M111" s="44" t="inlineStr">
        <is>
          <t>true</t>
        </is>
      </c>
      <c r="N111" s="44" t="inlineStr"/>
      <c r="O111" s="44" t="inlineStr"/>
      <c r="P111" s="41" t="inlineStr">
        <is>
          <t>High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/>
    </row>
    <row r="112" ht="80" customHeight="1">
      <c r="A112" s="41" t="inlineStr">
        <is>
          <t>TC-109</t>
        </is>
      </c>
      <c r="B112" s="53" t="inlineStr">
        <is>
          <t>EP</t>
        </is>
      </c>
      <c r="C112" s="46" t="inlineStr">
        <is>
          <t>P1</t>
        </is>
      </c>
      <c r="D112" s="44" t="inlineStr">
        <is>
          <t>Đơn thư (Petition)</t>
        </is>
      </c>
      <c r="E112" s="44" t="inlineStr">
        <is>
          <t>EP content: detailContent có (summary rỗng) → bare-min content THOẢ</t>
        </is>
      </c>
      <c r="F112" s="41" t="inlineStr"/>
      <c r="G112" s="41" t="inlineStr"/>
      <c r="H112" s="41" t="inlineStr"/>
      <c r="I112" s="44" t="inlineStr"/>
      <c r="J112" s="44" t="inlineStr">
        <is>
          <t>Chạy LIVE API trên local. missing=</t>
        </is>
      </c>
      <c r="K112" s="44" t="inlineStr"/>
      <c r="L112" s="44" t="inlineStr"/>
      <c r="M112" s="44" t="inlineStr">
        <is>
          <t>true</t>
        </is>
      </c>
      <c r="N112" s="44" t="inlineStr"/>
      <c r="O112" s="44" t="inlineStr"/>
      <c r="P112" s="41" t="inlineStr">
        <is>
          <t>High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/>
    </row>
    <row r="113" ht="80" customHeight="1">
      <c r="A113" s="41" t="inlineStr">
        <is>
          <t>TC-110</t>
        </is>
      </c>
      <c r="B113" s="54" t="inlineStr">
        <is>
          <t>BOUNDARY</t>
        </is>
      </c>
      <c r="C113" s="46" t="inlineStr">
        <is>
          <t>P1</t>
        </is>
      </c>
      <c r="D113" s="44" t="inlineStr">
        <is>
          <t>Đơn thư (Petition)</t>
        </is>
      </c>
      <c r="E113" s="44" t="inlineStr">
        <is>
          <t>BOUNDARY: senderName 1 ký tự ("C") → không tính thiếu</t>
        </is>
      </c>
      <c r="F113" s="41" t="inlineStr"/>
      <c r="G113" s="41" t="inlineStr"/>
      <c r="H113" s="41" t="inlineStr"/>
      <c r="I113" s="44" t="inlineStr"/>
      <c r="J113" s="44" t="inlineStr">
        <is>
          <t>Chạy LIVE API trên local. missing=</t>
        </is>
      </c>
      <c r="K113" s="44" t="inlineStr"/>
      <c r="L113" s="44" t="inlineStr"/>
      <c r="M113" s="44" t="inlineStr">
        <is>
          <t>true</t>
        </is>
      </c>
      <c r="N113" s="44" t="inlineStr"/>
      <c r="O113" s="44" t="inlineStr"/>
      <c r="P113" s="41" t="inlineStr">
        <is>
          <t>High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/>
    </row>
    <row r="114" ht="80" customHeight="1">
      <c r="A114" s="41" t="inlineStr">
        <is>
          <t>TC-111</t>
        </is>
      </c>
      <c r="B114" s="54" t="inlineStr">
        <is>
          <t>BOUNDARY</t>
        </is>
      </c>
      <c r="C114" s="52" t="inlineStr">
        <is>
          <t>P2</t>
        </is>
      </c>
      <c r="D114" s="44" t="inlineStr">
        <is>
          <t>Đơn thư (Petition)</t>
        </is>
      </c>
      <c r="E114" s="44" t="inlineStr">
        <is>
          <t>readiness đơn thư trả đủ 7 docType</t>
        </is>
      </c>
      <c r="F114" s="41" t="inlineStr"/>
      <c r="G114" s="41" t="inlineStr"/>
      <c r="H114" s="41" t="inlineStr"/>
      <c r="I114" s="44" t="inlineStr"/>
      <c r="J114" s="44" t="inlineStr">
        <is>
          <t>Chạy LIVE API trên local. count=7</t>
        </is>
      </c>
      <c r="K114" s="44" t="inlineStr"/>
      <c r="L114" s="44" t="inlineStr"/>
      <c r="M114" s="44" t="inlineStr">
        <is>
          <t>true</t>
        </is>
      </c>
      <c r="N114" s="44" t="inlineStr"/>
      <c r="O114" s="44" t="inlineStr"/>
      <c r="P114" s="41" t="inlineStr">
        <is>
          <t>Medium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/>
    </row>
    <row r="115" ht="80" customHeight="1">
      <c r="A115" s="41" t="inlineStr">
        <is>
          <t>TC-112</t>
        </is>
      </c>
      <c r="B115" s="53" t="inlineStr">
        <is>
          <t>EP</t>
        </is>
      </c>
      <c r="C115" s="46" t="inlineStr">
        <is>
          <t>P1</t>
        </is>
      </c>
      <c r="D115" s="44" t="inlineStr">
        <is>
          <t>Đơn thư (Petition)</t>
        </is>
      </c>
      <c r="E115" s="44" t="inlineStr">
        <is>
          <t>EP content: cả detailContent &amp; summary rỗng → content THIẾU</t>
        </is>
      </c>
      <c r="F115" s="41" t="inlineStr"/>
      <c r="G115" s="41" t="inlineStr"/>
      <c r="H115" s="41" t="inlineStr"/>
      <c r="I115" s="44" t="inlineStr"/>
      <c r="J115" s="44" t="inlineStr">
        <is>
          <t>Chạy LIVE API trên local. missing=detailContent</t>
        </is>
      </c>
      <c r="K115" s="44" t="inlineStr"/>
      <c r="L115" s="44" t="inlineStr"/>
      <c r="M115" s="44" t="inlineStr">
        <is>
          <t>true</t>
        </is>
      </c>
      <c r="N115" s="44" t="inlineStr"/>
      <c r="O115" s="44" t="inlineStr"/>
      <c r="P115" s="41" t="inlineStr">
        <is>
          <t>High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/>
    </row>
    <row r="116" ht="80" customHeight="1">
      <c r="A116" s="41" t="inlineStr">
        <is>
          <t>TC-113</t>
        </is>
      </c>
      <c r="B116" s="53" t="inlineStr">
        <is>
          <t>EP</t>
        </is>
      </c>
      <c r="C116" s="52" t="inlineStr">
        <is>
          <t>P2</t>
        </is>
      </c>
      <c r="D116" s="44" t="inlineStr">
        <is>
          <t>Đơn thư (Petition)</t>
        </is>
      </c>
      <c r="E116" s="44" t="inlineStr">
        <is>
          <t>EP petitionType=TO_CAO hợp lệ → tạo 2xx</t>
        </is>
      </c>
      <c r="F116" s="41" t="inlineStr"/>
      <c r="G116" s="41" t="inlineStr"/>
      <c r="H116" s="41" t="inlineStr"/>
      <c r="I116" s="44" t="inlineStr"/>
      <c r="J116" s="44" t="inlineStr">
        <is>
          <t>Chạy LIVE API trên local.</t>
        </is>
      </c>
      <c r="K116" s="44" t="inlineStr"/>
      <c r="L116" s="44" t="inlineStr"/>
      <c r="M116" s="44" t="inlineStr">
        <is>
          <t>true</t>
        </is>
      </c>
      <c r="N116" s="44" t="inlineStr"/>
      <c r="O116" s="44" t="inlineStr"/>
      <c r="P116" s="41" t="inlineStr">
        <is>
          <t>Medium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/>
    </row>
    <row r="117" ht="80" customHeight="1">
      <c r="A117" s="41" t="inlineStr">
        <is>
          <t>TC-114</t>
        </is>
      </c>
      <c r="B117" s="53" t="inlineStr">
        <is>
          <t>EP</t>
        </is>
      </c>
      <c r="C117" s="52" t="inlineStr">
        <is>
          <t>P2</t>
        </is>
      </c>
      <c r="D117" s="44" t="inlineStr">
        <is>
          <t>Đơn thư (Petition)</t>
        </is>
      </c>
      <c r="E117" s="44" t="inlineStr">
        <is>
          <t>EP petitionType=KHIEU_NAI hợp lệ → tạo 2xx</t>
        </is>
      </c>
      <c r="F117" s="41" t="inlineStr"/>
      <c r="G117" s="41" t="inlineStr"/>
      <c r="H117" s="41" t="inlineStr"/>
      <c r="I117" s="44" t="inlineStr"/>
      <c r="J117" s="44" t="inlineStr">
        <is>
          <t>Chạy LIVE API trên local.</t>
        </is>
      </c>
      <c r="K117" s="44" t="inlineStr"/>
      <c r="L117" s="44" t="inlineStr"/>
      <c r="M117" s="44" t="inlineStr">
        <is>
          <t>true</t>
        </is>
      </c>
      <c r="N117" s="44" t="inlineStr"/>
      <c r="O117" s="44" t="inlineStr"/>
      <c r="P117" s="41" t="inlineStr">
        <is>
          <t>Medium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/>
    </row>
    <row r="118" ht="80" customHeight="1">
      <c r="A118" s="41" t="inlineStr">
        <is>
          <t>TC-115</t>
        </is>
      </c>
      <c r="B118" s="53" t="inlineStr">
        <is>
          <t>EP</t>
        </is>
      </c>
      <c r="C118" s="52" t="inlineStr">
        <is>
          <t>P2</t>
        </is>
      </c>
      <c r="D118" s="44" t="inlineStr">
        <is>
          <t>Đơn thư (Petition)</t>
        </is>
      </c>
      <c r="E118" s="44" t="inlineStr">
        <is>
          <t>EP petitionType=KIEN_NGHI hợp lệ → tạo 2xx</t>
        </is>
      </c>
      <c r="F118" s="41" t="inlineStr"/>
      <c r="G118" s="41" t="inlineStr"/>
      <c r="H118" s="41" t="inlineStr"/>
      <c r="I118" s="44" t="inlineStr"/>
      <c r="J118" s="44" t="inlineStr">
        <is>
          <t>Chạy LIVE API trên local.</t>
        </is>
      </c>
      <c r="K118" s="44" t="inlineStr"/>
      <c r="L118" s="44" t="inlineStr"/>
      <c r="M118" s="44" t="inlineStr">
        <is>
          <t>true</t>
        </is>
      </c>
      <c r="N118" s="44" t="inlineStr"/>
      <c r="O118" s="44" t="inlineStr"/>
      <c r="P118" s="41" t="inlineStr">
        <is>
          <t>Medium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/>
    </row>
    <row r="119" ht="80" customHeight="1">
      <c r="A119" s="41" t="inlineStr">
        <is>
          <t>TC-116</t>
        </is>
      </c>
      <c r="B119" s="53" t="inlineStr">
        <is>
          <t>EP</t>
        </is>
      </c>
      <c r="C119" s="52" t="inlineStr">
        <is>
          <t>P2</t>
        </is>
      </c>
      <c r="D119" s="44" t="inlineStr">
        <is>
          <t>Đơn thư (Petition)</t>
        </is>
      </c>
      <c r="E119" s="44" t="inlineStr">
        <is>
          <t>EP petitionType=PHAN_ANH hợp lệ → tạo 2xx</t>
        </is>
      </c>
      <c r="F119" s="41" t="inlineStr"/>
      <c r="G119" s="41" t="inlineStr"/>
      <c r="H119" s="41" t="inlineStr"/>
      <c r="I119" s="44" t="inlineStr"/>
      <c r="J119" s="44" t="inlineStr">
        <is>
          <t>Chạy LIVE API trên local.</t>
        </is>
      </c>
      <c r="K119" s="44" t="inlineStr"/>
      <c r="L119" s="44" t="inlineStr"/>
      <c r="M119" s="44" t="inlineStr">
        <is>
          <t>true</t>
        </is>
      </c>
      <c r="N119" s="44" t="inlineStr"/>
      <c r="O119" s="44" t="inlineStr"/>
      <c r="P119" s="41" t="inlineStr">
        <is>
          <t>Medium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/>
    </row>
    <row r="120" ht="80" customHeight="1">
      <c r="A120" s="41" t="inlineStr">
        <is>
          <t>TC-117</t>
        </is>
      </c>
      <c r="B120" s="54" t="inlineStr">
        <is>
          <t>BOUNDARY</t>
        </is>
      </c>
      <c r="C120" s="46" t="inlineStr">
        <is>
          <t>P1</t>
        </is>
      </c>
      <c r="D120" s="44" t="inlineStr">
        <is>
          <t>Vụ việc/Vụ án (Dynamic)</t>
        </is>
      </c>
      <c r="E120" s="44" t="inlineStr">
        <is>
          <t>BOUNDARY: đúng 1 templateId + đủ manualValues → 2xx</t>
        </is>
      </c>
      <c r="F120" s="41" t="inlineStr"/>
      <c r="G120" s="41" t="inlineStr"/>
      <c r="H120" s="41" t="inlineStr"/>
      <c r="I120" s="44" t="inlineStr"/>
      <c r="J120" s="44" t="inlineStr">
        <is>
          <t>Chạy LIVE API trên local.</t>
        </is>
      </c>
      <c r="K120" s="44" t="inlineStr"/>
      <c r="L120" s="44" t="inlineStr"/>
      <c r="M120" s="44" t="inlineStr">
        <is>
          <t>true</t>
        </is>
      </c>
      <c r="N120" s="44" t="inlineStr"/>
      <c r="O120" s="44" t="inlineStr"/>
      <c r="P120" s="41" t="inlineStr">
        <is>
          <t>High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/>
    </row>
    <row r="121" ht="80" customHeight="1">
      <c r="A121" s="41" t="inlineStr">
        <is>
          <t>TC-118</t>
        </is>
      </c>
      <c r="B121" s="56" t="inlineStr">
        <is>
          <t>INTEGRATION</t>
        </is>
      </c>
      <c r="C121" s="43" t="inlineStr">
        <is>
          <t>P0</t>
        </is>
      </c>
      <c r="D121" s="44" t="inlineStr">
        <is>
          <t>Đơn thư (Petition)</t>
        </is>
      </c>
      <c r="E121" s="44" t="inlineStr">
        <is>
          <t>UI đơn thư: mở popup "In chứng từ" → mẫu thiếu disabled + "Thiếu: …" → bổ sung → Lưu → enable → xuất download</t>
        </is>
      </c>
      <c r="F121" s="41" t="inlineStr"/>
      <c r="G121" s="41" t="inlineStr"/>
      <c r="H121" s="41" t="inlineStr"/>
      <c r="I121" s="44" t="inlineStr"/>
      <c r="J121" s="44" t="inlineStr">
        <is>
          <t>Chạy LIVE API trên local. tests/e2e/{petition,dynamic}-export-readiness.e2e.spec.ts (chromium) — đã chạy PASS trong phiên UAT</t>
        </is>
      </c>
      <c r="K121" s="44" t="inlineStr"/>
      <c r="L121" s="44" t="inlineStr"/>
      <c r="M121" s="44" t="inlineStr">
        <is>
          <t>luồng UI hoàn chỉnh</t>
        </is>
      </c>
      <c r="N121" s="44" t="inlineStr"/>
      <c r="O121" s="44" t="inlineStr"/>
      <c r="P121" s="41" t="inlineStr">
        <is>
          <t>Critical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/>
    </row>
    <row r="122" ht="80" customHeight="1">
      <c r="A122" s="41" t="inlineStr">
        <is>
          <t>TC-119</t>
        </is>
      </c>
      <c r="B122" s="56" t="inlineStr">
        <is>
          <t>INTEGRATION</t>
        </is>
      </c>
      <c r="C122" s="43" t="inlineStr">
        <is>
          <t>P0</t>
        </is>
      </c>
      <c r="D122" s="44" t="inlineStr">
        <is>
          <t>Vụ việc/Vụ án (Dynamic)</t>
        </is>
      </c>
      <c r="E122" s="44" t="inlineStr">
        <is>
          <t>UI vụ án: mở popup → mẫu thiếu khoá + "Thiếu" → nhập manualValues → enable → tick → xuất download</t>
        </is>
      </c>
      <c r="F122" s="41" t="inlineStr"/>
      <c r="G122" s="41" t="inlineStr"/>
      <c r="H122" s="41" t="inlineStr"/>
      <c r="I122" s="44" t="inlineStr"/>
      <c r="J122" s="44" t="inlineStr">
        <is>
          <t>Chạy LIVE API trên local. tests/e2e/{petition,dynamic}-export-readiness.e2e.spec.ts (chromium) — đã chạy PASS trong phiên UAT</t>
        </is>
      </c>
      <c r="K122" s="44" t="inlineStr"/>
      <c r="L122" s="44" t="inlineStr"/>
      <c r="M122" s="44" t="inlineStr">
        <is>
          <t>luồng UI hoàn chỉnh</t>
        </is>
      </c>
      <c r="N122" s="44" t="inlineStr"/>
      <c r="O122" s="44" t="inlineStr"/>
      <c r="P122" s="41" t="inlineStr">
        <is>
          <t>Critical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/>
    </row>
    <row r="123" ht="80" customHeight="1">
      <c r="A123" s="41" t="inlineStr">
        <is>
          <t>TC-120</t>
        </is>
      </c>
      <c r="B123" s="57" t="inlineStr">
        <is>
          <t>A11Y</t>
        </is>
      </c>
      <c r="C123" s="46" t="inlineStr">
        <is>
          <t>P1</t>
        </is>
      </c>
      <c r="D123" s="44" t="inlineStr">
        <is>
          <t>Đơn thư (Petition)</t>
        </is>
      </c>
      <c r="E123" s="44" t="inlineStr">
        <is>
          <t>Modal có role="dialog" + aria-modal="true" (focus/screen-reader nhận biết)</t>
        </is>
      </c>
      <c r="F123" s="41" t="inlineStr"/>
      <c r="G123" s="41" t="inlineStr"/>
      <c r="H123" s="41" t="inlineStr"/>
      <c r="I123" s="44" t="inlineStr"/>
      <c r="J123" s="44" t="inlineStr">
        <is>
          <t>Chạy LIVE API trên local. ExportDocumentsModal/DynamicExportDocumentsModal/TemplateRequiredModal</t>
        </is>
      </c>
      <c r="K123" s="44" t="inlineStr"/>
      <c r="L123" s="44" t="inlineStr"/>
      <c r="M123" s="44" t="inlineStr">
        <is>
          <t>role=dialog aria-modal</t>
        </is>
      </c>
      <c r="N123" s="44" t="inlineStr"/>
      <c r="O123" s="44" t="inlineStr"/>
      <c r="P123" s="41" t="inlineStr">
        <is>
          <t>High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/>
    </row>
    <row r="124" ht="80" customHeight="1">
      <c r="A124" s="41" t="inlineStr">
        <is>
          <t>TC-121</t>
        </is>
      </c>
      <c r="B124" s="57" t="inlineStr">
        <is>
          <t>A11Y</t>
        </is>
      </c>
      <c r="C124" s="46" t="inlineStr">
        <is>
          <t>P1</t>
        </is>
      </c>
      <c r="D124" s="44" t="inlineStr">
        <is>
          <t>Đơn thư (Petition)</t>
        </is>
      </c>
      <c r="E124" s="44" t="inlineStr">
        <is>
          <t>Thông báo lỗi/cảnh báo dùng role="alert" (đọc to cho screen-reader)</t>
        </is>
      </c>
      <c r="F124" s="41" t="inlineStr"/>
      <c r="G124" s="41" t="inlineStr"/>
      <c r="H124" s="41" t="inlineStr"/>
      <c r="I124" s="44" t="inlineStr"/>
      <c r="J124" s="44" t="inlineStr">
        <is>
          <t>Chạy LIVE API trên local. ExportReadinessChecklist + modals</t>
        </is>
      </c>
      <c r="K124" s="44" t="inlineStr"/>
      <c r="L124" s="44" t="inlineStr"/>
      <c r="M124" s="44" t="inlineStr">
        <is>
          <t>role=alert</t>
        </is>
      </c>
      <c r="N124" s="44" t="inlineStr"/>
      <c r="O124" s="44" t="inlineStr"/>
      <c r="P124" s="41" t="inlineStr">
        <is>
          <t>High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/>
    </row>
    <row r="125" ht="80" customHeight="1">
      <c r="A125" s="41" t="inlineStr">
        <is>
          <t>TC-122</t>
        </is>
      </c>
      <c r="B125" s="57" t="inlineStr">
        <is>
          <t>A11Y</t>
        </is>
      </c>
      <c r="C125" s="46" t="inlineStr">
        <is>
          <t>P1</t>
        </is>
      </c>
      <c r="D125" s="44" t="inlineStr">
        <is>
          <t>Vụ việc/Vụ án (Dynamic)</t>
        </is>
      </c>
      <c r="E125" s="44" t="inlineStr">
        <is>
          <t>Checkbox mẫu thiếu có trạng thái disabled rõ ràng + &lt;label&gt; liên kết (click label = toggle)</t>
        </is>
      </c>
      <c r="F125" s="41" t="inlineStr"/>
      <c r="G125" s="41" t="inlineStr"/>
      <c r="H125" s="41" t="inlineStr"/>
      <c r="I125" s="44" t="inlineStr"/>
      <c r="J125" s="44" t="inlineStr">
        <is>
          <t>Chạy LIVE API trên local. tests/e2e/{petition,dynamic}-export-readiness.e2e.spec.ts (chromium) — đã chạy PASS trong phiên UAT</t>
        </is>
      </c>
      <c r="K125" s="44" t="inlineStr"/>
      <c r="L125" s="44" t="inlineStr"/>
      <c r="M125" s="44" t="inlineStr">
        <is>
          <t>disabled + label</t>
        </is>
      </c>
      <c r="N125" s="44" t="inlineStr"/>
      <c r="O125" s="44" t="inlineStr"/>
      <c r="P125" s="41" t="inlineStr">
        <is>
          <t>High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/>
    </row>
    <row r="126" ht="80" customHeight="1">
      <c r="A126" s="41" t="inlineStr">
        <is>
          <t>TC-123</t>
        </is>
      </c>
      <c r="B126" s="57" t="inlineStr">
        <is>
          <t>A11Y</t>
        </is>
      </c>
      <c r="C126" s="46" t="inlineStr">
        <is>
          <t>P1</t>
        </is>
      </c>
      <c r="D126" s="44" t="inlineStr">
        <is>
          <t>Đơn thư (Petition)</t>
        </is>
      </c>
      <c r="E126" s="44" t="inlineStr">
        <is>
          <t>Ô bổ sung dùng &lt;label&gt; + input/textarea ngữ nghĩa (không div giả input)</t>
        </is>
      </c>
      <c r="F126" s="41" t="inlineStr"/>
      <c r="G126" s="41" t="inlineStr"/>
      <c r="H126" s="41" t="inlineStr"/>
      <c r="I126" s="44" t="inlineStr"/>
      <c r="J126" s="44" t="inlineStr">
        <is>
          <t>Chạy LIVE API trên local. ExportReadinessChecklist.tsx</t>
        </is>
      </c>
      <c r="K126" s="44" t="inlineStr"/>
      <c r="L126" s="44" t="inlineStr"/>
      <c r="M126" s="44" t="inlineStr">
        <is>
          <t>label+input</t>
        </is>
      </c>
      <c r="N126" s="44" t="inlineStr"/>
      <c r="O126" s="44" t="inlineStr"/>
      <c r="P126" s="41" t="inlineStr">
        <is>
          <t>High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/>
    </row>
    <row r="127" ht="80" customHeight="1">
      <c r="A127" s="41" t="inlineStr">
        <is>
          <t>TC-124</t>
        </is>
      </c>
      <c r="B127" s="57" t="inlineStr">
        <is>
          <t>A11Y</t>
        </is>
      </c>
      <c r="C127" s="52" t="inlineStr">
        <is>
          <t>P2</t>
        </is>
      </c>
      <c r="D127" s="44" t="inlineStr">
        <is>
          <t>Đơn thư (Petition)</t>
        </is>
      </c>
      <c r="E127" s="44" t="inlineStr">
        <is>
          <t>Nút đóng (X) có aria-label="Đóng"</t>
        </is>
      </c>
      <c r="F127" s="41" t="inlineStr"/>
      <c r="G127" s="41" t="inlineStr"/>
      <c r="H127" s="41" t="inlineStr"/>
      <c r="I127" s="44" t="inlineStr"/>
      <c r="J127" s="44" t="inlineStr">
        <is>
          <t>Chạy LIVE API trên local. DynamicExportDocumentsModal/ExportDocumentsModal</t>
        </is>
      </c>
      <c r="K127" s="44" t="inlineStr"/>
      <c r="L127" s="44" t="inlineStr"/>
      <c r="M127" s="44" t="inlineStr">
        <is>
          <t>aria-label</t>
        </is>
      </c>
      <c r="N127" s="44" t="inlineStr"/>
      <c r="O127" s="44" t="inlineStr"/>
      <c r="P127" s="41" t="inlineStr">
        <is>
          <t>Medium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/>
    </row>
    <row r="128" ht="80" customHeight="1">
      <c r="A128" s="41" t="inlineStr">
        <is>
          <t>TC-125</t>
        </is>
      </c>
      <c r="B128" s="58" t="inlineStr">
        <is>
          <t>COMPAT</t>
        </is>
      </c>
      <c r="C128" s="46" t="inlineStr">
        <is>
          <t>P1</t>
        </is>
      </c>
      <c r="D128" s="44" t="inlineStr">
        <is>
          <t>Vụ việc/Vụ án (Dynamic)</t>
        </is>
      </c>
      <c r="E128" s="44" t="inlineStr">
        <is>
          <t>Chromium (Playwright) — 2 luồng E2E xuất file .docx/.zip thành công</t>
        </is>
      </c>
      <c r="F128" s="41" t="inlineStr"/>
      <c r="G128" s="41" t="inlineStr"/>
      <c r="H128" s="41" t="inlineStr"/>
      <c r="I128" s="44" t="inlineStr"/>
      <c r="J128" s="44" t="inlineStr">
        <is>
          <t>Chạy LIVE API trên local. tests/e2e/{petition,dynamic}-export-readiness.e2e.spec.ts (chromium) — đã chạy PASS trong phiên UAT</t>
        </is>
      </c>
      <c r="K128" s="44" t="inlineStr"/>
      <c r="L128" s="44" t="inlineStr"/>
      <c r="M128" s="44" t="inlineStr">
        <is>
          <t>chromium pass</t>
        </is>
      </c>
      <c r="N128" s="44" t="inlineStr"/>
      <c r="O128" s="44" t="inlineStr"/>
      <c r="P128" s="41" t="inlineStr">
        <is>
          <t>High</t>
        </is>
      </c>
      <c r="Q128" s="44" t="inlineStr"/>
      <c r="R128" s="41" t="inlineStr"/>
      <c r="S128" s="41" t="inlineStr"/>
      <c r="T128" s="41" t="inlineStr"/>
      <c r="U128" s="41" t="inlineStr"/>
      <c r="V128" s="44" t="inlineStr"/>
      <c r="W128" s="41" t="inlineStr"/>
      <c r="X128" s="44" t="inlineStr"/>
    </row>
    <row r="129" ht="80" customHeight="1">
      <c r="A129" s="41" t="inlineStr">
        <is>
          <t>TC-126</t>
        </is>
      </c>
      <c r="B129" s="58" t="inlineStr">
        <is>
          <t>COMPAT</t>
        </is>
      </c>
      <c r="C129" s="52" t="inlineStr">
        <is>
          <t>P2</t>
        </is>
      </c>
      <c r="D129" s="44" t="inlineStr">
        <is>
          <t>Bảo mật/RBAC</t>
        </is>
      </c>
      <c r="E129" s="44" t="inlineStr">
        <is>
          <t>Download chứng từ: Content-Disposition filename* UTF-8 (tên file tiếng Việt mọi browser)</t>
        </is>
      </c>
      <c r="F129" s="41" t="inlineStr"/>
      <c r="G129" s="41" t="inlineStr"/>
      <c r="H129" s="41" t="inlineStr"/>
      <c r="I129" s="44" t="inlineStr"/>
      <c r="J129" s="44" t="inlineStr">
        <is>
          <t>Chạy LIVE API trên local. dynamic-export.service.ts</t>
        </is>
      </c>
      <c r="K129" s="44" t="inlineStr"/>
      <c r="L129" s="44" t="inlineStr"/>
      <c r="M129" s="44" t="inlineStr">
        <is>
          <t>filename* UTF-8</t>
        </is>
      </c>
      <c r="N129" s="44" t="inlineStr"/>
      <c r="O129" s="44" t="inlineStr"/>
      <c r="P129" s="41" t="inlineStr">
        <is>
          <t>Medium</t>
        </is>
      </c>
      <c r="Q129" s="44" t="inlineStr"/>
      <c r="R129" s="41" t="inlineStr"/>
      <c r="S129" s="41" t="inlineStr"/>
      <c r="T129" s="41" t="inlineStr"/>
      <c r="U129" s="41" t="inlineStr"/>
      <c r="V129" s="44" t="inlineStr"/>
      <c r="W129" s="41" t="inlineStr"/>
      <c r="X129" s="44" t="inlineStr"/>
    </row>
    <row r="130" ht="80" customHeight="1">
      <c r="A130" s="41" t="inlineStr">
        <is>
          <t>TC-127</t>
        </is>
      </c>
      <c r="B130" s="58" t="inlineStr">
        <is>
          <t>COMPAT</t>
        </is>
      </c>
      <c r="C130" s="52" t="inlineStr">
        <is>
          <t>P2</t>
        </is>
      </c>
      <c r="D130" s="44" t="inlineStr">
        <is>
          <t>Vụ việc/Vụ án (Dynamic)</t>
        </is>
      </c>
      <c r="E130" s="44" t="inlineStr">
        <is>
          <t>Responsive: modal max-w-lg + max-h-[90vh] overflow-y-auto (mobile/desktop)</t>
        </is>
      </c>
      <c r="F130" s="41" t="inlineStr"/>
      <c r="G130" s="41" t="inlineStr"/>
      <c r="H130" s="41" t="inlineStr"/>
      <c r="I130" s="44" t="inlineStr"/>
      <c r="J130" s="44" t="inlineStr">
        <is>
          <t>Chạy LIVE API trên local. DynamicExportDocumentsModal.tsx</t>
        </is>
      </c>
      <c r="K130" s="44" t="inlineStr"/>
      <c r="L130" s="44" t="inlineStr"/>
      <c r="M130" s="44" t="inlineStr">
        <is>
          <t>responsive container</t>
        </is>
      </c>
      <c r="N130" s="44" t="inlineStr"/>
      <c r="O130" s="44" t="inlineStr"/>
      <c r="P130" s="41" t="inlineStr">
        <is>
          <t>Medium</t>
        </is>
      </c>
      <c r="Q130" s="44" t="inlineStr"/>
      <c r="R130" s="41" t="inlineStr"/>
      <c r="S130" s="41" t="inlineStr"/>
      <c r="T130" s="41" t="inlineStr"/>
      <c r="U130" s="41" t="inlineStr"/>
      <c r="V130" s="44" t="inlineStr"/>
      <c r="W130" s="41" t="inlineStr"/>
      <c r="X130" s="44" t="inlineStr"/>
    </row>
    <row r="131" ht="80" customHeight="1">
      <c r="A131" s="41" t="inlineStr">
        <is>
          <t>TC-128</t>
        </is>
      </c>
      <c r="B131" s="42" t="inlineStr">
        <is>
          <t>GREEN</t>
        </is>
      </c>
      <c r="C131" s="59" t="inlineStr">
        <is>
          <t>P3</t>
        </is>
      </c>
      <c r="D131" s="44" t="inlineStr">
        <is>
          <t>Đơn thư (Petition)</t>
        </is>
      </c>
      <c r="E131" s="44" t="inlineStr">
        <is>
          <t>Dọn fixture đơn thư (DELETE)</t>
        </is>
      </c>
      <c r="F131" s="41" t="inlineStr"/>
      <c r="G131" s="41" t="inlineStr"/>
      <c r="H131" s="41" t="inlineStr"/>
      <c r="I131" s="44" t="inlineStr"/>
      <c r="J131" s="44" t="inlineStr">
        <is>
          <t>Chạy LIVE API trên local. DELETE /petitions/cmqxhnkrt0000r0m72evjyn1x</t>
        </is>
      </c>
      <c r="K131" s="44" t="inlineStr"/>
      <c r="L131" s="44" t="inlineStr"/>
      <c r="M131" s="44" t="inlineStr">
        <is>
          <t>đã dọn</t>
        </is>
      </c>
      <c r="N131" s="44" t="inlineStr"/>
      <c r="O131" s="44" t="inlineStr"/>
      <c r="P131" s="41" t="inlineStr">
        <is>
          <t>Low</t>
        </is>
      </c>
      <c r="Q131" s="44" t="inlineStr"/>
      <c r="R131" s="41" t="inlineStr"/>
      <c r="S131" s="41" t="inlineStr"/>
      <c r="T131" s="41" t="inlineStr"/>
      <c r="U131" s="41" t="inlineStr"/>
      <c r="V131" s="44" t="inlineStr"/>
      <c r="W131" s="41" t="inlineStr"/>
      <c r="X131" s="44" t="inlineStr"/>
    </row>
  </sheetData>
  <autoFilter ref="A3:X131"/>
  <mergeCells count="2">
    <mergeCell ref="A2:X2"/>
    <mergeCell ref="A1:X1"/>
  </mergeCells>
  <conditionalFormatting sqref="R4:R131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131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131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131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131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131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60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3">
      <c r="A3" s="44" t="inlineStr">
        <is>
          <t>ACC-ADMIN</t>
        </is>
      </c>
      <c r="B3" s="44" t="inlineStr">
        <is>
          <t>admin@pc02.local</t>
        </is>
      </c>
      <c r="C3" s="44" t="inlineStr">
        <is>
          <t>&lt;env&gt;</t>
        </is>
      </c>
      <c r="D3" s="44" t="inlineStr">
        <is>
          <t>ADMIN/SUPER_ADMIN</t>
        </is>
      </c>
      <c r="E3" s="44" t="inlineStr">
        <is>
          <t>active</t>
        </is>
      </c>
      <c r="F3" s="44" t="inlineStr">
        <is>
          <t>Full scope + Setting:write</t>
        </is>
      </c>
      <c r="G3" s="44" t="inlineStr"/>
    </row>
    <row r="4">
      <c r="A4" s="44" t="inlineStr">
        <is>
          <t>ACC-OFF1</t>
        </is>
      </c>
      <c r="B4" s="44" t="inlineStr">
        <is>
          <t>officer1@pc02.local</t>
        </is>
      </c>
      <c r="C4" s="44" t="inlineStr">
        <is>
          <t>&lt;env&gt;</t>
        </is>
      </c>
      <c r="D4" s="44" t="inlineStr">
        <is>
          <t>OFFICER</t>
        </is>
      </c>
      <c r="E4" s="44" t="inlineStr">
        <is>
          <t>active</t>
        </is>
      </c>
      <c r="F4" s="44" t="inlineStr">
        <is>
          <t>DataScope tổ 1 (không Setting:write)</t>
        </is>
      </c>
      <c r="G4" s="44" t="inlineStr"/>
    </row>
    <row r="5">
      <c r="A5" s="44" t="inlineStr">
        <is>
          <t>ACC-OFF2</t>
        </is>
      </c>
      <c r="B5" s="44" t="inlineStr">
        <is>
          <t>officer2@pc02.local</t>
        </is>
      </c>
      <c r="C5" s="44" t="inlineStr">
        <is>
          <t>&lt;env&gt;</t>
        </is>
      </c>
      <c r="D5" s="44" t="inlineStr">
        <is>
          <t>OFFICER</t>
        </is>
      </c>
      <c r="E5" s="44" t="inlineStr">
        <is>
          <t>active</t>
        </is>
      </c>
      <c r="F5" s="44" t="inlineStr">
        <is>
          <t>DataScope tổ 2 (isolation)</t>
        </is>
      </c>
      <c r="G5" s="44" t="inlineStr"/>
    </row>
    <row r="8" ht="25" customHeight="1">
      <c r="A8" s="60" t="inlineStr">
        <is>
          <t>2. BOUNDARY VALUES (BVA)</t>
        </is>
      </c>
    </row>
    <row r="9">
      <c r="A9" s="11" t="inlineStr">
        <is>
          <t>Field</t>
        </is>
      </c>
      <c r="B9" s="11" t="inlineStr">
        <is>
          <t>Giá trị</t>
        </is>
      </c>
      <c r="C9" s="11" t="inlineStr">
        <is>
          <t>Loại</t>
        </is>
      </c>
      <c r="D9" s="11" t="inlineStr">
        <is>
          <t>Kỳ vọng</t>
        </is>
      </c>
      <c r="E9" s="11" t="inlineStr">
        <is>
          <t>Ghi chú</t>
        </is>
      </c>
    </row>
    <row r="10">
      <c r="A10" s="44" t="inlineStr">
        <is>
          <t>nhanThay/deXuat</t>
        </is>
      </c>
      <c r="B10" s="44" t="inlineStr">
        <is>
          <t>"   " (chỉ space)</t>
        </is>
      </c>
      <c r="C10" s="44" t="inlineStr">
        <is>
          <t>whitespace</t>
        </is>
      </c>
      <c r="D10" s="44" t="inlineStr">
        <is>
          <t>Tính THIẾU (trim)</t>
        </is>
      </c>
      <c r="E10" s="44" t="inlineStr">
        <is>
          <t>BOUNDARY</t>
        </is>
      </c>
    </row>
    <row r="11">
      <c r="A11" s="44" t="inlineStr">
        <is>
          <t>detailContent</t>
        </is>
      </c>
      <c r="B11" s="44" t="inlineStr">
        <is>
          <t>rỗng nhưng summary có</t>
        </is>
      </c>
      <c r="C11" s="44" t="inlineStr">
        <is>
          <t>OR-rule</t>
        </is>
      </c>
      <c r="D11" s="44" t="inlineStr">
        <is>
          <t>Bare-min content THOẢ</t>
        </is>
      </c>
      <c r="E11" s="44" t="inlineStr">
        <is>
          <t>EP</t>
        </is>
      </c>
    </row>
    <row r="12">
      <c r="A12" s="44" t="inlineStr">
        <is>
          <t>docTypes</t>
        </is>
      </c>
      <c r="B12" s="44" t="inlineStr">
        <is>
          <t>[] (rỗng)</t>
        </is>
      </c>
      <c r="C12" s="44" t="inlineStr">
        <is>
          <t>array</t>
        </is>
      </c>
      <c r="D12" s="44" t="inlineStr">
        <is>
          <t>400</t>
        </is>
      </c>
      <c r="E12" s="44" t="inlineStr">
        <is>
          <t>RED</t>
        </is>
      </c>
    </row>
    <row r="13">
      <c r="A13" s="44" t="inlineStr">
        <is>
          <t>templateIds</t>
        </is>
      </c>
      <c r="B13" s="44" t="inlineStr">
        <is>
          <t>[t,t] (trùng)</t>
        </is>
      </c>
      <c r="C13" s="44" t="inlineStr">
        <is>
          <t>array</t>
        </is>
      </c>
      <c r="D13" s="44" t="inlineStr">
        <is>
          <t>400 (no double cấp số)</t>
        </is>
      </c>
      <c r="E13" s="44" t="inlineStr">
        <is>
          <t>RED</t>
        </is>
      </c>
    </row>
    <row r="16" ht="25" customHeight="1">
      <c r="A16" s="60" t="inlineStr">
        <is>
          <t>3. SECURITY PAYLOADS (OWASP)</t>
        </is>
      </c>
    </row>
    <row r="17">
      <c r="A17" s="11" t="inlineStr">
        <is>
          <t>Field/Endpoint</t>
        </is>
      </c>
      <c r="B17" s="11" t="inlineStr">
        <is>
          <t>Payload</t>
        </is>
      </c>
      <c r="C17" s="11" t="inlineStr">
        <is>
          <t>Loại tấn công</t>
        </is>
      </c>
      <c r="D17" s="11" t="inlineStr">
        <is>
          <t>Kỳ vọng</t>
        </is>
      </c>
      <c r="E17" s="11" t="inlineStr">
        <is>
          <t>OWASP Reference</t>
        </is>
      </c>
    </row>
    <row r="18">
      <c r="A18" s="44" t="inlineStr">
        <is>
          <t>lyDoTraDon (đơn thư)</t>
        </is>
      </c>
      <c r="B18" s="44" t="inlineStr">
        <is>
          <t>&lt;script&gt;alert(1)&lt;/script&gt; '; DROP TABLE petitions;--</t>
        </is>
      </c>
      <c r="C18" s="44" t="inlineStr">
        <is>
          <t>XSS/SQLi</t>
        </is>
      </c>
      <c r="D18" s="44" t="inlineStr">
        <is>
          <t>Escape → xuất 2xx, DB nguyên</t>
        </is>
      </c>
      <c r="E18" s="44" t="inlineStr">
        <is>
          <t>A03 Injection</t>
        </is>
      </c>
    </row>
    <row r="19">
      <c r="A19" s="44" t="inlineStr">
        <is>
          <t>manualValues.toiDanh (vụ án)</t>
        </is>
      </c>
      <c r="B19" s="44" t="inlineStr">
        <is>
          <t>{x} &lt;b&gt; {{y}}</t>
        </is>
      </c>
      <c r="C19" s="44" t="inlineStr">
        <is>
          <t>docxtemplater injection</t>
        </is>
      </c>
      <c r="D19" s="44" t="inlineStr">
        <is>
          <t>Escape ❴❵‹› → 2xx</t>
        </is>
      </c>
      <c r="E19" s="44" t="inlineStr">
        <is>
          <t>A03 Injection</t>
        </is>
      </c>
    </row>
    <row r="20">
      <c r="A20" s="44" t="inlineStr">
        <is>
          <t>export-readiness (no token)</t>
        </is>
      </c>
      <c r="B20" s="44" t="inlineStr">
        <is>
          <t>—</t>
        </is>
      </c>
      <c r="C20" s="44" t="inlineStr">
        <is>
          <t>Broken Auth</t>
        </is>
      </c>
      <c r="D20" s="44" t="inlineStr">
        <is>
          <t>401</t>
        </is>
      </c>
      <c r="E20" s="44" t="inlineStr">
        <is>
          <t>A07</t>
        </is>
      </c>
    </row>
    <row r="21">
      <c r="A21" s="44" t="inlineStr">
        <is>
          <t>case ngoài scope (officer)</t>
        </is>
      </c>
      <c r="B21" s="44" t="inlineStr">
        <is>
          <t>GET readiness</t>
        </is>
      </c>
      <c r="C21" s="44" t="inlineStr">
        <is>
          <t>IDOR/BOLA</t>
        </is>
      </c>
      <c r="D21" s="44" t="inlineStr">
        <is>
          <t>403/404</t>
        </is>
      </c>
      <c r="E21" s="44" t="inlineStr">
        <is>
          <t>A01 Broken Access Control</t>
        </is>
      </c>
    </row>
    <row r="22">
      <c r="A22" s="44" t="inlineStr">
        <is>
          <t>PATCH document-templates (officer)</t>
        </is>
      </c>
      <c r="B22" s="44" t="inlineStr">
        <is>
          <t>requiredVariables</t>
        </is>
      </c>
      <c r="C22" s="44" t="inlineStr">
        <is>
          <t>Privilege Esc</t>
        </is>
      </c>
      <c r="D22" s="44" t="inlineStr">
        <is>
          <t>403 (Setting:write)</t>
        </is>
      </c>
      <c r="E22" s="44" t="inlineStr">
        <is>
          <t>A01</t>
        </is>
      </c>
    </row>
  </sheetData>
  <mergeCells count="3">
    <mergeCell ref="A8:G8"/>
    <mergeCell ref="A16:G1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1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 ht="50" customHeight="1">
      <c r="A4" s="44" t="inlineStr">
        <is>
          <t>petition.anonymous.D0.empty</t>
        </is>
      </c>
      <c r="B4" s="62" t="inlineStr">
        <is>
          <t>Petition</t>
        </is>
      </c>
      <c r="C4" s="41" t="inlineStr"/>
      <c r="D4" s="41" t="inlineStr"/>
      <c r="E4" s="41" t="inlineStr">
        <is>
          <t>single</t>
        </is>
      </c>
      <c r="F4" s="44" t="inlineStr"/>
      <c r="G4" s="41" t="inlineStr"/>
      <c r="H4" s="44" t="inlineStr">
        <is>
          <t>"POST /petitions {senderIsAnonymous:true, senderName:\"\", detailContent:\"\", petitionType:TO_CAO}"</t>
        </is>
      </c>
      <c r="I4" s="44" t="inlineStr">
        <is>
          <t>"DELETE /petitions/:id"</t>
        </is>
      </c>
      <c r="J4" s="44" t="inlineStr">
        <is>
          <t>{"petId": "$.id"}</t>
        </is>
      </c>
      <c r="K4" s="44" t="inlineStr"/>
    </row>
    <row r="5" ht="50" customHeight="1">
      <c r="A5" s="44" t="inlineStr">
        <is>
          <t>petition.anonymous.D0.baremin</t>
        </is>
      </c>
      <c r="B5" s="62" t="inlineStr">
        <is>
          <t>Petition</t>
        </is>
      </c>
      <c r="C5" s="41" t="inlineStr"/>
      <c r="D5" s="41" t="inlineStr"/>
      <c r="E5" s="41" t="inlineStr">
        <is>
          <t>single</t>
        </is>
      </c>
      <c r="F5" s="44" t="inlineStr"/>
      <c r="G5" s="41" t="inlineStr"/>
      <c r="H5" s="44" t="inlineStr">
        <is>
          <t>"POST anon + PUT senderName+detailContent"</t>
        </is>
      </c>
      <c r="I5" s="44" t="inlineStr">
        <is>
          <t>"DELETE"</t>
        </is>
      </c>
      <c r="J5" s="44" t="inlineStr">
        <is>
          <t>{"id": "$.id"}</t>
        </is>
      </c>
      <c r="K5" s="44" t="inlineStr"/>
    </row>
    <row r="6" ht="50" customHeight="1">
      <c r="A6" s="44" t="inlineStr">
        <is>
          <t>case.normal.existing</t>
        </is>
      </c>
      <c r="B6" s="62" t="inlineStr">
        <is>
          <t>Case (VU_AN)</t>
        </is>
      </c>
      <c r="C6" s="41" t="inlineStr"/>
      <c r="D6" s="41" t="inlineStr"/>
      <c r="E6" s="41" t="inlineStr">
        <is>
          <t>single</t>
        </is>
      </c>
      <c r="F6" s="44" t="inlineStr"/>
      <c r="G6" s="41" t="inlineStr"/>
      <c r="H6" s="44" t="inlineStr">
        <is>
          <t>"GET /cases?limit=1 (record sẵn)"</t>
        </is>
      </c>
      <c r="I6" s="44" t="inlineStr">
        <is>
          <t>"— (không tạo)"</t>
        </is>
      </c>
      <c r="J6" s="44" t="inlineStr">
        <is>
          <t>{"caseId": "$.id"}</t>
        </is>
      </c>
      <c r="K6" s="44" t="inlineStr"/>
    </row>
    <row r="7" ht="50" customHeight="1">
      <c r="A7" s="44" t="inlineStr">
        <is>
          <t>incident.normal.existing</t>
        </is>
      </c>
      <c r="B7" s="62" t="inlineStr">
        <is>
          <t>Incident (VU_VIEC)</t>
        </is>
      </c>
      <c r="C7" s="41" t="inlineStr"/>
      <c r="D7" s="41" t="inlineStr"/>
      <c r="E7" s="41" t="inlineStr">
        <is>
          <t>single</t>
        </is>
      </c>
      <c r="F7" s="44" t="inlineStr"/>
      <c r="G7" s="41" t="inlineStr"/>
      <c r="H7" s="44" t="inlineStr">
        <is>
          <t>"GET /incidents?limit=1"</t>
        </is>
      </c>
      <c r="I7" s="44" t="inlineStr">
        <is>
          <t>"—"</t>
        </is>
      </c>
      <c r="J7" s="44" t="inlineStr">
        <is>
          <t>{"incId": "$.id"}</t>
        </is>
      </c>
      <c r="K7" s="44" t="inlineStr"/>
    </row>
  </sheetData>
  <autoFilter ref="A3:K7"/>
  <mergeCells count="2">
    <mergeCell ref="A2:K2"/>
    <mergeCell ref="A1:K1"/>
  </mergeCells>
  <dataValidations count="1">
    <dataValidation sqref="G4:G7" showDropDown="0" showInputMessage="0" showErrorMessage="0" allowBlank="1" type="list">
      <formula1>"api,sql,factory"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3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4" t="inlineStr">
        <is>
          <t>⚠️ REGRESSION LOG — Theo dõi lỗi level down (TC từng Đạt nay Không đạt)</t>
        </is>
      </c>
    </row>
    <row r="2" ht="35" customHeight="1">
      <c r="A2" s="61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5" t="inlineStr">
        <is>
          <t>Reg ID</t>
        </is>
      </c>
      <c r="B3" s="65" t="inlineStr">
        <is>
          <t>TC ID</t>
        </is>
      </c>
      <c r="C3" s="65" t="inlineStr">
        <is>
          <t>Module</t>
        </is>
      </c>
      <c r="D3" s="65" t="inlineStr">
        <is>
          <t>Lần phát hiện</t>
        </is>
      </c>
      <c r="E3" s="65" t="inlineStr">
        <is>
          <t>Bug gốc gây regression</t>
        </is>
      </c>
      <c r="F3" s="65" t="inlineStr">
        <is>
          <t>Status trước retest</t>
        </is>
      </c>
      <c r="G3" s="65" t="inlineStr">
        <is>
          <t>Status sau retest</t>
        </is>
      </c>
      <c r="H3" s="65" t="inlineStr">
        <is>
          <t>Severity gốc</t>
        </is>
      </c>
      <c r="I3" s="65" t="inlineStr">
        <is>
          <t>Severity regression</t>
        </is>
      </c>
      <c r="J3" s="65" t="inlineStr">
        <is>
          <t>Mô tả regression</t>
        </is>
      </c>
      <c r="K3" s="65" t="inlineStr">
        <is>
          <t>Đã fix?</t>
        </is>
      </c>
      <c r="L3" s="65" t="inlineStr">
        <is>
          <t>Ngày verify lại</t>
        </is>
      </c>
      <c r="M3" s="65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2026-06-28T07:50:27Z</dcterms:created>
  <dcterms:modified xmlns:dcterms="http://purl.org/dc/terms/" xmlns:xsi="http://www.w3.org/2001/XMLSchema-instance" xsi:type="dcterms:W3CDTF">2026-06-28T07:50:28Z</dcterms:modified>
</cp:coreProperties>
</file>