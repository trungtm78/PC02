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Data Matrix" sheetId="4" state="visible" r:id="rId4"/>
    <sheet xmlns:r="http://schemas.openxmlformats.org/officeDocument/2006/relationships" name="Bug Tracker" sheetId="5" state="visible" r:id="rId5"/>
    <sheet xmlns:r="http://schemas.openxmlformats.org/officeDocument/2006/relationships" name="Regression Log" sheetId="6" state="visible" r:id="rId6"/>
  </sheets>
  <definedNames>
    <definedName name="_xlnm._FilterDatabase" localSheetId="1" hidden="1">'Test Cases'!$A$3:$X$243</definedName>
    <definedName name="_xlnm._FilterDatabase" localSheetId="4" hidden="1">'Bug Tracker'!$A$3:$I$53</definedName>
    <definedName name="_xlnm._FilterDatabase" localSheetId="5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FFFFFF"/>
      <sz val="12"/>
    </font>
    <font>
      <name val="Arial"/>
      <i val="1"/>
      <color rgb="00C00000"/>
      <sz val="11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70AD47"/>
      <sz val="10"/>
    </font>
    <font>
      <name val="Arial"/>
      <b val="1"/>
      <color rgb="00C00000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B6C1"/>
      </patternFill>
    </fill>
    <fill>
      <patternFill patternType="solid">
        <fgColor rgb="00F4B084"/>
      </patternFill>
    </fill>
    <fill>
      <patternFill patternType="solid">
        <fgColor rgb="009BC2E6"/>
      </patternFill>
    </fill>
    <fill>
      <patternFill patternType="solid">
        <fgColor rgb="00FFE699"/>
      </patternFill>
    </fill>
    <fill>
      <patternFill patternType="solid">
        <fgColor rgb="00FCE4D6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2E75B6"/>
      </patternFill>
    </fill>
    <fill>
      <patternFill patternType="solid">
        <fgColor rgb="00F8CBAD"/>
      </patternFill>
    </fill>
    <fill>
      <patternFill patternType="solid">
        <fgColor rgb="00C9C9C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0" fillId="2" borderId="0" applyAlignment="1" pivotButton="0" quotePrefix="0" xfId="0">
      <alignment horizontal="center" vertical="center"/>
    </xf>
    <xf numFmtId="0" fontId="12" fillId="17" borderId="0" applyAlignment="1" pivotButton="0" quotePrefix="0" xfId="0">
      <alignment horizontal="left" vertical="center" indent="1"/>
    </xf>
    <xf numFmtId="0" fontId="13" fillId="0" borderId="1" pivotButton="0" quotePrefix="0" xfId="0"/>
    <xf numFmtId="0" fontId="14" fillId="0" borderId="1" pivotButton="0" quotePrefix="0" xfId="0"/>
    <xf numFmtId="0" fontId="2" fillId="0" borderId="1" pivotButton="0" quotePrefix="0" xfId="0"/>
    <xf numFmtId="164" fontId="15" fillId="0" borderId="1" pivotButton="0" quotePrefix="0" xfId="0"/>
    <xf numFmtId="0" fontId="16" fillId="0" borderId="1" pivotButton="0" quotePrefix="0" xfId="0"/>
    <xf numFmtId="164" fontId="11" fillId="0" borderId="1" pivotButton="0" quotePrefix="0" xfId="0"/>
    <xf numFmtId="164" fontId="17" fillId="0" borderId="1" pivotButton="0" quotePrefix="0" xfId="0"/>
    <xf numFmtId="0" fontId="8" fillId="17" borderId="0" applyAlignment="1" pivotButton="0" quotePrefix="0" xfId="0">
      <alignment horizontal="left" vertical="center" indent="1"/>
    </xf>
    <xf numFmtId="0" fontId="3" fillId="17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left"/>
    </xf>
    <xf numFmtId="0" fontId="18" fillId="13" borderId="1" applyAlignment="1" pivotButton="0" quotePrefix="0" xfId="0">
      <alignment horizontal="left"/>
    </xf>
    <xf numFmtId="0" fontId="18" fillId="5" borderId="1" applyAlignment="1" pivotButton="0" quotePrefix="0" xfId="0">
      <alignment horizontal="left"/>
    </xf>
    <xf numFmtId="0" fontId="18" fillId="6" borderId="1" applyAlignment="1" pivotButton="0" quotePrefix="0" xfId="0">
      <alignment horizontal="left"/>
    </xf>
    <xf numFmtId="0" fontId="18" fillId="7" borderId="1" applyAlignment="1" pivotButton="0" quotePrefix="0" xfId="0">
      <alignment horizontal="left"/>
    </xf>
    <xf numFmtId="0" fontId="18" fillId="8" borderId="1" applyAlignment="1" pivotButton="0" quotePrefix="0" xfId="0">
      <alignment horizontal="left"/>
    </xf>
    <xf numFmtId="0" fontId="18" fillId="9" borderId="1" applyAlignment="1" pivotButton="0" quotePrefix="0" xfId="0">
      <alignment horizontal="left"/>
    </xf>
    <xf numFmtId="0" fontId="18" fillId="10" borderId="1" applyAlignment="1" pivotButton="0" quotePrefix="0" xfId="0">
      <alignment horizontal="left"/>
    </xf>
    <xf numFmtId="0" fontId="18" fillId="16" borderId="1" applyAlignment="1" pivotButton="0" quotePrefix="0" xfId="0">
      <alignment horizontal="left"/>
    </xf>
    <xf numFmtId="0" fontId="18" fillId="14" borderId="1" applyAlignment="1" pivotButton="0" quotePrefix="0" xfId="0">
      <alignment horizontal="left"/>
    </xf>
    <xf numFmtId="0" fontId="18" fillId="15" borderId="1" applyAlignment="1" pivotButton="0" quotePrefix="0" xfId="0">
      <alignment horizontal="left"/>
    </xf>
    <xf numFmtId="0" fontId="18" fillId="11" borderId="1" applyAlignment="1" pivotButton="0" quotePrefix="0" xfId="0">
      <alignment horizontal="left"/>
    </xf>
    <xf numFmtId="0" fontId="18" fillId="12" borderId="1" applyAlignment="1" pivotButton="0" quotePrefix="0" xfId="0">
      <alignment horizontal="left"/>
    </xf>
    <xf numFmtId="0" fontId="18" fillId="18" borderId="1" applyAlignment="1" pivotButton="0" quotePrefix="0" xfId="0">
      <alignment horizontal="left"/>
    </xf>
    <xf numFmtId="0" fontId="18" fillId="19" borderId="1" applyAlignment="1" pivotButton="0" quotePrefix="0" xfId="0">
      <alignment horizontal="left"/>
    </xf>
    <xf numFmtId="0" fontId="18" fillId="2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20" fillId="0" borderId="1" applyAlignment="1" pivotButton="0" quotePrefix="0" xfId="0">
      <alignment horizontal="left"/>
    </xf>
    <xf numFmtId="0" fontId="8" fillId="21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 wrapText="1"/>
    </xf>
    <xf numFmtId="0" fontId="9" fillId="0" borderId="0" pivotButton="0" quotePrefix="0" xfId="0"/>
    <xf numFmtId="0" fontId="2" fillId="0" borderId="0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240</v>
      </c>
      <c r="C4" s="5" t="inlineStr">
        <is>
          <t>Số test case đã viết</t>
        </is>
      </c>
    </row>
    <row r="5">
      <c r="A5" s="3" t="inlineStr">
        <is>
          <t>✅ Đạt (cả 2 layer)</t>
        </is>
      </c>
      <c r="B5" s="4">
        <f>SUMPRODUCT(('Test Cases'!R4:R243="Đạt")*('Test Cases'!S4:S243="Đạt"))</f>
        <v/>
      </c>
      <c r="C5" s="5" t="inlineStr">
        <is>
          <t>TC pass cả API VÀ E2E</t>
        </is>
      </c>
    </row>
    <row r="6">
      <c r="A6" s="3" t="inlineStr">
        <is>
          <t>❌ Không đạt</t>
        </is>
      </c>
      <c r="B6" s="4">
        <f>SUMPRODUCT((('Test Cases'!R4:R243="Không đạt")+('Test Cases'!S4:S243="Không đạt"))&gt;0)*1</f>
        <v/>
      </c>
      <c r="C6" s="5" t="inlineStr">
        <is>
          <t>TC fail ít nhất 1 layer</t>
        </is>
      </c>
    </row>
    <row r="7">
      <c r="A7" s="3" t="inlineStr">
        <is>
          <t>API Đạt</t>
        </is>
      </c>
      <c r="B7" s="4">
        <f>COUNTIF('Test Cases'!R4:R243,"Đạt")</f>
        <v/>
      </c>
      <c r="C7" s="5" t="inlineStr">
        <is>
          <t>Layer 1 — API smoke</t>
        </is>
      </c>
    </row>
    <row r="8">
      <c r="A8" s="3" t="inlineStr">
        <is>
          <t>API Không đạt</t>
        </is>
      </c>
      <c r="B8" s="4">
        <f>COUNTIF('Test Cases'!R4:R243,"Không đạt")</f>
        <v/>
      </c>
      <c r="C8" s="5" t="inlineStr">
        <is>
          <t>API fail</t>
        </is>
      </c>
    </row>
    <row r="9">
      <c r="A9" s="3" t="inlineStr">
        <is>
          <t>E2E Đạt</t>
        </is>
      </c>
      <c r="B9" s="4">
        <f>COUNTIF('Test Cases'!S4:S243,"Đạt")</f>
        <v/>
      </c>
      <c r="C9" s="5" t="inlineStr">
        <is>
          <t>Layer 2 — UI E2E</t>
        </is>
      </c>
    </row>
    <row r="10">
      <c r="A10" s="3" t="inlineStr">
        <is>
          <t>E2E Không đạt</t>
        </is>
      </c>
      <c r="B10" s="4">
        <f>COUNTIF('Test Cases'!S4:S243,"Không đạt")</f>
        <v/>
      </c>
      <c r="C10" s="5" t="inlineStr">
        <is>
          <t>E2E fail</t>
        </is>
      </c>
    </row>
    <row r="11">
      <c r="A11" s="3" t="inlineStr">
        <is>
          <t>E2E Bỏ qua</t>
        </is>
      </c>
      <c r="B11" s="4">
        <f>COUNTIF('Test Cases'!S4:S243,"Bỏ qua")</f>
        <v/>
      </c>
      <c r="C11" s="5" t="inlineStr">
        <is>
          <t>Skip do API smoke fail</t>
        </is>
      </c>
    </row>
    <row r="12">
      <c r="A12" s="3" t="inlineStr">
        <is>
          <t>Chưa chạy</t>
        </is>
      </c>
      <c r="B12" s="4">
        <f>COUNTBLANK('Test Cases'!R4:R243)+COUNTIF('Test Cases'!R4:R243,"Chưa chạy")</f>
        <v/>
      </c>
      <c r="C12" s="5" t="inlineStr">
        <is>
          <t>Còn lại</t>
        </is>
      </c>
    </row>
    <row r="14">
      <c r="A14" s="3" t="inlineStr">
        <is>
          <t>Tỷ lệ đạt (cả 2 layer)</t>
        </is>
      </c>
      <c r="B14" s="6">
        <f>IFERROR(SUMPRODUCT(('Test Cases'!R4:R243="Đạt")*('Test Cases'!S4:S243="Đạt"))/(SUMPRODUCT(('Test Cases'!R4:R243="Đạt")*('Test Cases'!S4:S243="Đạt"))+SUMPRODUCT((('Test Cases'!R4:R243="Không đạt")+('Test Cases'!S4:S243="Không đạt"))&gt;0)),0)</f>
        <v/>
      </c>
      <c r="C14" s="7" t="inlineStr">
        <is>
          <t>API+E2E đều Đạt / Tổng đã chạy</t>
        </is>
      </c>
    </row>
    <row r="15">
      <c r="A15" s="3" t="inlineStr">
        <is>
          <t>API pass rate</t>
        </is>
      </c>
      <c r="B15" s="8">
        <f>IFERROR(COUNTIF('Test Cases'!R4:R243,"Đạt")/(COUNTIF('Test Cases'!R4:R243,"Đạt")+COUNTIF('Test Cases'!R4:R243,"Không đạt")),0)</f>
        <v/>
      </c>
      <c r="C15" s="7" t="inlineStr">
        <is>
          <t>Layer 1</t>
        </is>
      </c>
    </row>
    <row r="16">
      <c r="A16" s="3" t="inlineStr">
        <is>
          <t>E2E pass rate</t>
        </is>
      </c>
      <c r="B16" s="8">
        <f>IFERROR(COUNTIF('Test Cases'!S4:S243,"Đạt")/(COUNTIF('Test Cases'!S4:S243,"Đạt")+COUNTIF('Test Cases'!S4:S243,"Không đạt")),0)</f>
        <v/>
      </c>
      <c r="C16" s="7" t="inlineStr">
        <is>
          <t>Layer 2 (UI Chromium)</t>
        </is>
      </c>
    </row>
    <row r="17">
      <c r="A17" s="3" t="inlineStr">
        <is>
          <t>Tỷ lệ hoàn thành</t>
        </is>
      </c>
      <c r="B17" s="9">
        <f>IFERROR((COUNTIF('Test Cases'!R4:R243,"Đạt")+COUNTIF('Test Cases'!R4:R243,"Không đạt")+COUNTIF('Test Cases'!R4:R243,"Bị chặn"))/240,0)</f>
        <v/>
      </c>
      <c r="C17" s="7" t="inlineStr">
        <is>
          <t>API đã chạy / Tổng</t>
        </is>
      </c>
    </row>
    <row r="19">
      <c r="A19" s="10" t="inlineStr">
        <is>
          <t>ĐỘ PHỦ THEO LOẠI</t>
        </is>
      </c>
    </row>
    <row r="20">
      <c r="A20" s="11" t="inlineStr">
        <is>
          <t>Loại</t>
        </is>
      </c>
      <c r="B20" s="11" t="inlineStr">
        <is>
          <t>Số TC</t>
        </is>
      </c>
      <c r="C20" s="11" t="inlineStr">
        <is>
          <t>Tỷ lệ</t>
        </is>
      </c>
      <c r="D20" s="11" t="inlineStr">
        <is>
          <t>Pass</t>
        </is>
      </c>
      <c r="E20" s="11" t="inlineStr">
        <is>
          <t>Fail</t>
        </is>
      </c>
      <c r="F20" s="11" t="inlineStr">
        <is>
          <t>Pass rate</t>
        </is>
      </c>
    </row>
    <row r="21">
      <c r="A21" s="12" t="inlineStr">
        <is>
          <t>GREEN</t>
        </is>
      </c>
      <c r="B21" s="13">
        <f>COUNTIF('Test Cases'!B4:B243,"GREEN")</f>
        <v/>
      </c>
      <c r="C21" s="14">
        <f>IFERROR(B21/240,0)</f>
        <v/>
      </c>
      <c r="D21" s="13">
        <f>COUNTIFS('Test Cases'!B4:B243,"GREEN",'Test Cases'!S4:S243,"Đạt")</f>
        <v/>
      </c>
      <c r="E21" s="13">
        <f>COUNTIFS('Test Cases'!B4:B243,"GREEN",'Test Cases'!S4:S243,"Không đạt")</f>
        <v/>
      </c>
      <c r="F21" s="14">
        <f>IFERROR(D21/(D21+E21),0)</f>
        <v/>
      </c>
    </row>
    <row r="22">
      <c r="A22" s="15" t="inlineStr">
        <is>
          <t>RED</t>
        </is>
      </c>
      <c r="B22" s="13">
        <f>COUNTIF('Test Cases'!B4:B243,"RED")</f>
        <v/>
      </c>
      <c r="C22" s="14">
        <f>IFERROR(B22/240,0)</f>
        <v/>
      </c>
      <c r="D22" s="13">
        <f>COUNTIFS('Test Cases'!B4:B243,"RED",'Test Cases'!S4:S243,"Đạt")</f>
        <v/>
      </c>
      <c r="E22" s="13">
        <f>COUNTIFS('Test Cases'!B4:B243,"RED",'Test Cases'!S4:S243,"Không đạt")</f>
        <v/>
      </c>
      <c r="F22" s="14">
        <f>IFERROR(D22/(D22+E22),0)</f>
        <v/>
      </c>
    </row>
    <row r="23">
      <c r="A23" s="16" t="inlineStr">
        <is>
          <t>EDGE</t>
        </is>
      </c>
      <c r="B23" s="13">
        <f>COUNTIF('Test Cases'!B4:B243,"EDGE")</f>
        <v/>
      </c>
      <c r="C23" s="14">
        <f>IFERROR(B23/240,0)</f>
        <v/>
      </c>
      <c r="D23" s="13">
        <f>COUNTIFS('Test Cases'!B4:B243,"EDGE",'Test Cases'!S4:S243,"Đạt")</f>
        <v/>
      </c>
      <c r="E23" s="13">
        <f>COUNTIFS('Test Cases'!B4:B243,"EDGE",'Test Cases'!S4:S243,"Không đạt")</f>
        <v/>
      </c>
      <c r="F23" s="14">
        <f>IFERROR(D23/(D23+E23),0)</f>
        <v/>
      </c>
    </row>
    <row r="24">
      <c r="A24" s="17" t="inlineStr">
        <is>
          <t>BOUNDARY</t>
        </is>
      </c>
      <c r="B24" s="13">
        <f>COUNTIF('Test Cases'!B4:B243,"BOUNDARY")</f>
        <v/>
      </c>
      <c r="C24" s="14">
        <f>IFERROR(B24/240,0)</f>
        <v/>
      </c>
      <c r="D24" s="13">
        <f>COUNTIFS('Test Cases'!B4:B243,"BOUNDARY",'Test Cases'!S4:S243,"Đạt")</f>
        <v/>
      </c>
      <c r="E24" s="13">
        <f>COUNTIFS('Test Cases'!B4:B243,"BOUNDARY",'Test Cases'!S4:S243,"Không đạt")</f>
        <v/>
      </c>
      <c r="F24" s="14">
        <f>IFERROR(D24/(D24+E24),0)</f>
        <v/>
      </c>
    </row>
    <row r="25">
      <c r="A25" s="18" t="inlineStr">
        <is>
          <t>EP</t>
        </is>
      </c>
      <c r="B25" s="13">
        <f>COUNTIF('Test Cases'!B4:B243,"EP")</f>
        <v/>
      </c>
      <c r="C25" s="14">
        <f>IFERROR(B25/240,0)</f>
        <v/>
      </c>
      <c r="D25" s="13">
        <f>COUNTIFS('Test Cases'!B4:B243,"EP",'Test Cases'!S4:S243,"Đạt")</f>
        <v/>
      </c>
      <c r="E25" s="13">
        <f>COUNTIFS('Test Cases'!B4:B243,"EP",'Test Cases'!S4:S243,"Không đạt")</f>
        <v/>
      </c>
      <c r="F25" s="14">
        <f>IFERROR(D25/(D25+E25),0)</f>
        <v/>
      </c>
    </row>
    <row r="26">
      <c r="A26" s="19" t="inlineStr">
        <is>
          <t>STATE</t>
        </is>
      </c>
      <c r="B26" s="13">
        <f>COUNTIF('Test Cases'!B4:B243,"STATE")</f>
        <v/>
      </c>
      <c r="C26" s="14">
        <f>IFERROR(B26/240,0)</f>
        <v/>
      </c>
      <c r="D26" s="13">
        <f>COUNTIFS('Test Cases'!B4:B243,"STATE",'Test Cases'!S4:S243,"Đạt")</f>
        <v/>
      </c>
      <c r="E26" s="13">
        <f>COUNTIFS('Test Cases'!B4:B243,"STATE",'Test Cases'!S4:S243,"Không đạt")</f>
        <v/>
      </c>
      <c r="F26" s="14">
        <f>IFERROR(D26/(D26+E26),0)</f>
        <v/>
      </c>
    </row>
    <row r="27">
      <c r="A27" s="20" t="inlineStr">
        <is>
          <t>DECISION</t>
        </is>
      </c>
      <c r="B27" s="13">
        <f>COUNTIF('Test Cases'!B4:B243,"DECISION")</f>
        <v/>
      </c>
      <c r="C27" s="14">
        <f>IFERROR(B27/240,0)</f>
        <v/>
      </c>
      <c r="D27" s="13">
        <f>COUNTIFS('Test Cases'!B4:B243,"DECISION",'Test Cases'!S4:S243,"Đạt")</f>
        <v/>
      </c>
      <c r="E27" s="13">
        <f>COUNTIFS('Test Cases'!B4:B243,"DECISION",'Test Cases'!S4:S243,"Không đạt")</f>
        <v/>
      </c>
      <c r="F27" s="14">
        <f>IFERROR(D27/(D27+E27),0)</f>
        <v/>
      </c>
    </row>
    <row r="28">
      <c r="A28" s="21" t="inlineStr">
        <is>
          <t>SECURITY</t>
        </is>
      </c>
      <c r="B28" s="13">
        <f>COUNTIF('Test Cases'!B4:B243,"SECURITY")</f>
        <v/>
      </c>
      <c r="C28" s="14">
        <f>IFERROR(B28/240,0)</f>
        <v/>
      </c>
      <c r="D28" s="13">
        <f>COUNTIFS('Test Cases'!B4:B243,"SECURITY",'Test Cases'!S4:S243,"Đạt")</f>
        <v/>
      </c>
      <c r="E28" s="13">
        <f>COUNTIFS('Test Cases'!B4:B243,"SECURITY",'Test Cases'!S4:S243,"Không đạt")</f>
        <v/>
      </c>
      <c r="F28" s="14">
        <f>IFERROR(D28/(D28+E28),0)</f>
        <v/>
      </c>
    </row>
    <row r="29">
      <c r="A29" s="22" t="inlineStr">
        <is>
          <t>DATA</t>
        </is>
      </c>
      <c r="B29" s="13">
        <f>COUNTIF('Test Cases'!B4:B243,"DATA")</f>
        <v/>
      </c>
      <c r="C29" s="14">
        <f>IFERROR(B29/240,0)</f>
        <v/>
      </c>
      <c r="D29" s="13">
        <f>COUNTIFS('Test Cases'!B4:B243,"DATA",'Test Cases'!S4:S243,"Đạt")</f>
        <v/>
      </c>
      <c r="E29" s="13">
        <f>COUNTIFS('Test Cases'!B4:B243,"DATA",'Test Cases'!S4:S243,"Không đạt")</f>
        <v/>
      </c>
      <c r="F29" s="14">
        <f>IFERROR(D29/(D29+E29),0)</f>
        <v/>
      </c>
    </row>
    <row r="30">
      <c r="A30" s="23" t="inlineStr">
        <is>
          <t>PERFORMANCE</t>
        </is>
      </c>
      <c r="B30" s="13">
        <f>COUNTIF('Test Cases'!B4:B243,"PERFORMANCE")</f>
        <v/>
      </c>
      <c r="C30" s="14">
        <f>IFERROR(B30/240,0)</f>
        <v/>
      </c>
      <c r="D30" s="13">
        <f>COUNTIFS('Test Cases'!B4:B243,"PERFORMANCE",'Test Cases'!S4:S243,"Đạt")</f>
        <v/>
      </c>
      <c r="E30" s="13">
        <f>COUNTIFS('Test Cases'!B4:B243,"PERFORMANCE",'Test Cases'!S4:S243,"Không đạt")</f>
        <v/>
      </c>
      <c r="F30" s="14">
        <f>IFERROR(D30/(D30+E30),0)</f>
        <v/>
      </c>
    </row>
    <row r="31">
      <c r="A31" s="24" t="inlineStr">
        <is>
          <t>A11Y</t>
        </is>
      </c>
      <c r="B31" s="13">
        <f>COUNTIF('Test Cases'!B4:B243,"A11Y")</f>
        <v/>
      </c>
      <c r="C31" s="14">
        <f>IFERROR(B31/240,0)</f>
        <v/>
      </c>
      <c r="D31" s="13">
        <f>COUNTIFS('Test Cases'!B4:B243,"A11Y",'Test Cases'!S4:S243,"Đạt")</f>
        <v/>
      </c>
      <c r="E31" s="13">
        <f>COUNTIFS('Test Cases'!B4:B243,"A11Y",'Test Cases'!S4:S243,"Không đạt")</f>
        <v/>
      </c>
      <c r="F31" s="14">
        <f>IFERROR(D31/(D31+E31),0)</f>
        <v/>
      </c>
    </row>
    <row r="32">
      <c r="A32" s="25" t="inlineStr">
        <is>
          <t>COMPAT</t>
        </is>
      </c>
      <c r="B32" s="13">
        <f>COUNTIF('Test Cases'!B4:B243,"COMPAT")</f>
        <v/>
      </c>
      <c r="C32" s="14">
        <f>IFERROR(B32/240,0)</f>
        <v/>
      </c>
      <c r="D32" s="13">
        <f>COUNTIFS('Test Cases'!B4:B243,"COMPAT",'Test Cases'!S4:S243,"Đạt")</f>
        <v/>
      </c>
      <c r="E32" s="13">
        <f>COUNTIFS('Test Cases'!B4:B243,"COMPAT",'Test Cases'!S4:S243,"Không đạt")</f>
        <v/>
      </c>
      <c r="F32" s="14">
        <f>IFERROR(D32/(D32+E32),0)</f>
        <v/>
      </c>
    </row>
    <row r="33">
      <c r="A33" s="26" t="inlineStr">
        <is>
          <t>INTEGRATION</t>
        </is>
      </c>
      <c r="B33" s="13">
        <f>COUNTIF('Test Cases'!B4:B243,"INTEGRATION")</f>
        <v/>
      </c>
      <c r="C33" s="14">
        <f>IFERROR(B33/240,0)</f>
        <v/>
      </c>
      <c r="D33" s="13">
        <f>COUNTIFS('Test Cases'!B4:B243,"INTEGRATION",'Test Cases'!S4:S243,"Đạt")</f>
        <v/>
      </c>
      <c r="E33" s="13">
        <f>COUNTIFS('Test Cases'!B4:B243,"INTEGRATION",'Test Cases'!S4:S243,"Không đạt")</f>
        <v/>
      </c>
      <c r="F33" s="14">
        <f>IFERROR(D33/(D33+E33),0)</f>
        <v/>
      </c>
    </row>
    <row r="34">
      <c r="A34" s="27" t="inlineStr">
        <is>
          <t>REGRESSION</t>
        </is>
      </c>
      <c r="B34" s="13">
        <f>COUNTIF('Test Cases'!B4:B243,"REGRESSION")</f>
        <v/>
      </c>
      <c r="C34" s="14">
        <f>IFERROR(B34/240,0)</f>
        <v/>
      </c>
      <c r="D34" s="13">
        <f>COUNTIFS('Test Cases'!B4:B243,"REGRESSION",'Test Cases'!S4:S243,"Đạt")</f>
        <v/>
      </c>
      <c r="E34" s="13">
        <f>COUNTIFS('Test Cases'!B4:B243,"REGRESSION",'Test Cases'!S4:S243,"Không đạt")</f>
        <v/>
      </c>
      <c r="F34" s="14">
        <f>IFERROR(D34/(D34+E34),0)</f>
        <v/>
      </c>
    </row>
    <row r="35">
      <c r="A35" s="28" t="inlineStr">
        <is>
          <t>RECOVERY</t>
        </is>
      </c>
      <c r="B35" s="13">
        <f>COUNTIF('Test Cases'!B4:B243,"RECOVERY")</f>
        <v/>
      </c>
      <c r="C35" s="14">
        <f>IFERROR(B35/240,0)</f>
        <v/>
      </c>
      <c r="D35" s="13">
        <f>COUNTIFS('Test Cases'!B4:B243,"RECOVERY",'Test Cases'!S4:S243,"Đạt")</f>
        <v/>
      </c>
      <c r="E35" s="13">
        <f>COUNTIFS('Test Cases'!B4:B243,"RECOVERY",'Test Cases'!S4:S243,"Không đạt")</f>
        <v/>
      </c>
      <c r="F35" s="14">
        <f>IFERROR(D35/(D35+E35),0)</f>
        <v/>
      </c>
    </row>
    <row r="36">
      <c r="A36" s="29" t="inlineStr">
        <is>
          <t>AUDIT</t>
        </is>
      </c>
      <c r="B36" s="13">
        <f>COUNTIF('Test Cases'!B4:B243,"AUDIT")</f>
        <v/>
      </c>
      <c r="C36" s="14">
        <f>IFERROR(B36/240,0)</f>
        <v/>
      </c>
      <c r="D36" s="13">
        <f>COUNTIFS('Test Cases'!B4:B243,"AUDIT",'Test Cases'!S4:S243,"Đạt")</f>
        <v/>
      </c>
      <c r="E36" s="13">
        <f>COUNTIFS('Test Cases'!B4:B243,"AUDIT",'Test Cases'!S4:S243,"Không đạt")</f>
        <v/>
      </c>
      <c r="F36" s="14">
        <f>IFERROR(D36/(D36+E36),0)</f>
        <v/>
      </c>
    </row>
    <row r="37">
      <c r="A37" s="30" t="inlineStr">
        <is>
          <t>USABILITY</t>
        </is>
      </c>
      <c r="B37" s="13">
        <f>COUNTIF('Test Cases'!B4:B243,"USABILITY")</f>
        <v/>
      </c>
      <c r="C37" s="14">
        <f>IFERROR(B37/240,0)</f>
        <v/>
      </c>
      <c r="D37" s="13">
        <f>COUNTIFS('Test Cases'!B4:B243,"USABILITY",'Test Cases'!S4:S243,"Đạt")</f>
        <v/>
      </c>
      <c r="E37" s="13">
        <f>COUNTIFS('Test Cases'!B4:B243,"USABILITY",'Test Cases'!S4:S243,"Không đạt")</f>
        <v/>
      </c>
      <c r="F37" s="14">
        <f>IFERROR(D37/(D37+E37),0)</f>
        <v/>
      </c>
    </row>
    <row r="39">
      <c r="A39" s="10" t="inlineStr">
        <is>
          <t>THEO ĐỘ ƯU TIÊN</t>
        </is>
      </c>
    </row>
    <row r="40">
      <c r="A40" s="11" t="inlineStr">
        <is>
          <t>Priority</t>
        </is>
      </c>
      <c r="B40" s="11" t="inlineStr">
        <is>
          <t>Số TC</t>
        </is>
      </c>
      <c r="C40" s="11" t="inlineStr">
        <is>
          <t>Tỷ lệ</t>
        </is>
      </c>
      <c r="D40" s="11" t="inlineStr">
        <is>
          <t>Pass</t>
        </is>
      </c>
      <c r="E40" s="11" t="inlineStr">
        <is>
          <t>Fail</t>
        </is>
      </c>
      <c r="F40" s="11" t="inlineStr">
        <is>
          <t>Pass rate</t>
        </is>
      </c>
    </row>
    <row r="41">
      <c r="A41" s="31" t="inlineStr">
        <is>
          <t>P0</t>
        </is>
      </c>
      <c r="B41" s="13">
        <f>COUNTIF('Test Cases'!C4:C243,"P0")</f>
        <v/>
      </c>
      <c r="C41" s="14">
        <f>IFERROR(B41/240,0)</f>
        <v/>
      </c>
      <c r="D41" s="13">
        <f>COUNTIFS('Test Cases'!C4:C243,"P0",'Test Cases'!S4:S243,"Đạt")</f>
        <v/>
      </c>
      <c r="E41" s="13">
        <f>COUNTIFS('Test Cases'!C4:C243,"P0",'Test Cases'!S4:S243,"Không đạt")</f>
        <v/>
      </c>
      <c r="F41" s="14">
        <f>IFERROR(D41/(D41+E41),0)</f>
        <v/>
      </c>
    </row>
    <row r="42">
      <c r="A42" s="32" t="inlineStr">
        <is>
          <t>P1</t>
        </is>
      </c>
      <c r="B42" s="13">
        <f>COUNTIF('Test Cases'!C4:C243,"P1")</f>
        <v/>
      </c>
      <c r="C42" s="14">
        <f>IFERROR(B42/240,0)</f>
        <v/>
      </c>
      <c r="D42" s="13">
        <f>COUNTIFS('Test Cases'!C4:C243,"P1",'Test Cases'!S4:S243,"Đạt")</f>
        <v/>
      </c>
      <c r="E42" s="13">
        <f>COUNTIFS('Test Cases'!C4:C243,"P1",'Test Cases'!S4:S243,"Không đạt")</f>
        <v/>
      </c>
      <c r="F42" s="14">
        <f>IFERROR(D42/(D42+E42),0)</f>
        <v/>
      </c>
    </row>
    <row r="43">
      <c r="A43" s="33" t="inlineStr">
        <is>
          <t>P2</t>
        </is>
      </c>
      <c r="B43" s="13">
        <f>COUNTIF('Test Cases'!C4:C243,"P2")</f>
        <v/>
      </c>
      <c r="C43" s="14">
        <f>IFERROR(B43/240,0)</f>
        <v/>
      </c>
      <c r="D43" s="13">
        <f>COUNTIFS('Test Cases'!C4:C243,"P2",'Test Cases'!S4:S243,"Đạt")</f>
        <v/>
      </c>
      <c r="E43" s="13">
        <f>COUNTIFS('Test Cases'!C4:C243,"P2",'Test Cases'!S4:S243,"Không đạt")</f>
        <v/>
      </c>
      <c r="F43" s="14">
        <f>IFERROR(D43/(D43+E43),0)</f>
        <v/>
      </c>
    </row>
    <row r="44">
      <c r="A44" s="34" t="inlineStr">
        <is>
          <t>P3</t>
        </is>
      </c>
      <c r="B44" s="13">
        <f>COUNTIF('Test Cases'!C4:C243,"P3")</f>
        <v/>
      </c>
      <c r="C44" s="14">
        <f>IFERROR(B44/240,0)</f>
        <v/>
      </c>
      <c r="D44" s="13">
        <f>COUNTIFS('Test Cases'!C4:C243,"P3",'Test Cases'!S4:S243,"Đạt")</f>
        <v/>
      </c>
      <c r="E44" s="13">
        <f>COUNTIFS('Test Cases'!C4:C243,"P3",'Test Cases'!S4:S243,"Không đạt")</f>
        <v/>
      </c>
      <c r="F44" s="14">
        <f>IFERROR(D44/(D44+E44),0)</f>
        <v/>
      </c>
    </row>
    <row r="46">
      <c r="A46" s="10" t="inlineStr">
        <is>
          <t>EXIT CRITERIA</t>
        </is>
      </c>
    </row>
    <row r="47">
      <c r="A47" s="11" t="inlineStr">
        <is>
          <t>Tiêu chí</t>
        </is>
      </c>
      <c r="B47" s="11" t="inlineStr">
        <is>
          <t>Yêu cầu</t>
        </is>
      </c>
      <c r="C47" s="11" t="inlineStr">
        <is>
          <t>Thực tế</t>
        </is>
      </c>
      <c r="D47" s="11" t="inlineStr">
        <is>
          <t>Trạng thái</t>
        </is>
      </c>
    </row>
    <row r="48">
      <c r="A48" s="35" t="inlineStr">
        <is>
          <t>P0 pass rate</t>
        </is>
      </c>
      <c r="B48" s="13" t="inlineStr">
        <is>
          <t>≥ 100%</t>
        </is>
      </c>
      <c r="C48" s="14">
        <f>IFERROR(COUNTIFS('Test Cases'!C4:C243,"P0",'Test Cases'!S4:S243,"Đạt")/COUNTIF('Test Cases'!C4:C243,"P0"),0)</f>
        <v/>
      </c>
      <c r="D48" s="13">
        <f>IF(C48&gt;=1,"✅ Đạt","❌ Chưa đạt")</f>
        <v/>
      </c>
    </row>
    <row r="49">
      <c r="A49" s="35" t="inlineStr">
        <is>
          <t>P1 pass rate</t>
        </is>
      </c>
      <c r="B49" s="13" t="inlineStr">
        <is>
          <t>≥ 95%</t>
        </is>
      </c>
      <c r="C49" s="14">
        <f>IFERROR(COUNTIFS('Test Cases'!C4:C243,"P1",'Test Cases'!S4:S243,"Đạt")/COUNTIF('Test Cases'!C4:C243,"P1"),0)</f>
        <v/>
      </c>
      <c r="D49" s="13">
        <f>IF(C49&gt;=0.95,"✅ Đạt","❌ Chưa đạt")</f>
        <v/>
      </c>
    </row>
    <row r="50">
      <c r="A50" s="35" t="inlineStr">
        <is>
          <t>P2 pass rate</t>
        </is>
      </c>
      <c r="B50" s="13" t="inlineStr">
        <is>
          <t>≥ 85%</t>
        </is>
      </c>
      <c r="C50" s="14">
        <f>IFERROR(COUNTIFS('Test Cases'!C4:C243,"P2",'Test Cases'!S4:S243,"Đạt")/MAX(COUNTIF('Test Cases'!C4:C243,"P2"),1),1)</f>
        <v/>
      </c>
      <c r="D50" s="13">
        <f>IF(C50&gt;=0.85,"✅ Đạt","❌ Chưa đạt")</f>
        <v/>
      </c>
    </row>
    <row r="51">
      <c r="A51" s="35" t="inlineStr">
        <is>
          <t>Bug Critical mở</t>
        </is>
      </c>
      <c r="B51" s="13">
        <f> 0</f>
        <v/>
      </c>
      <c r="C51" s="13">
        <f>COUNTIFS('Bug Tracker'!D:D,"Critical",'Bug Tracker'!E:E,"Open")+COUNTIFS('Bug Tracker'!D:D,"Critical",'Bug Tracker'!E:E,"Fixing")+COUNTIFS('Bug Tracker'!D:D,"Critical",'Bug Tracker'!E:E,"Fixed")</f>
        <v/>
      </c>
      <c r="D51" s="13">
        <f>IF(C51=0,"✅ Đạt","❌ Chưa đạt")</f>
        <v/>
      </c>
    </row>
    <row r="52">
      <c r="A52" s="36" t="inlineStr">
        <is>
          <t>TC bị regression</t>
        </is>
      </c>
      <c r="B52" s="13">
        <f> 0</f>
        <v/>
      </c>
      <c r="C52" s="13">
        <f>COUNTIF('Test Cases'!U:U,"⚠️ REGRESSION")</f>
        <v/>
      </c>
      <c r="D52" s="13">
        <f>IF(C52=0,"✅ Không có","🚨 BLOCK RELEASE")</f>
        <v/>
      </c>
    </row>
    <row r="53">
      <c r="A53" s="36" t="inlineStr">
        <is>
          <t>Regression chưa fix</t>
        </is>
      </c>
      <c r="B53" s="13">
        <f> 0</f>
        <v/>
      </c>
      <c r="C53" s="13">
        <f>COUNTIF('Regression Log'!K:K,"No")+COUNTIF('Regression Log'!K:K,"Verifying")</f>
        <v/>
      </c>
      <c r="D53" s="13">
        <f>IF(C53=0,"✅ Không có","🚨 BLOCK RELEASE")</f>
        <v/>
      </c>
    </row>
    <row r="55" ht="40" customHeight="1">
      <c r="A55" s="37">
        <f>IF(OR(C52&gt;0,C53&gt;0),"🚨 CẢNH BÁO REGRESSION: "&amp;C52&amp;" TC level-down, "&amp;C53&amp;" bug regression chưa fix - XEM Regression Log sheet","")</f>
        <v/>
      </c>
    </row>
    <row r="57" ht="30" customHeight="1">
      <c r="A57" s="38">
        <f>IF(AND(C48&gt;=1,C49&gt;=0.95,C50&gt;=0.85,C51=0,C52=0,C53=0),"🎉 SẴN SÀNG RELEASE",IF(OR(C52&gt;0,C53&gt;0),"⛔ BLOCK RELEASE — CÓ REGRESSION (LEVEL DOWN)","⛔ CHƯA SẴN SÀNG RELEASE"))</f>
        <v/>
      </c>
    </row>
  </sheetData>
  <mergeCells count="7">
    <mergeCell ref="A46:F46"/>
    <mergeCell ref="A19:F19"/>
    <mergeCell ref="A1:F1"/>
    <mergeCell ref="A3:F3"/>
    <mergeCell ref="A39:F39"/>
    <mergeCell ref="A55:F55"/>
    <mergeCell ref="A57:F57"/>
  </mergeCells>
  <conditionalFormatting sqref="D52">
    <cfRule type="cellIs" priority="1" operator="equal" dxfId="0">
      <formula>"🚨 BLOCK RELEASE"</formula>
    </cfRule>
  </conditionalFormatting>
  <conditionalFormatting sqref="D53">
    <cfRule type="cellIs" priority="2" operator="equal" dxfId="0">
      <formula>"🚨 BLOCK RELEASE"</formula>
    </cfRule>
  </conditionalFormatting>
  <conditionalFormatting sqref="A57">
    <cfRule type="expression" priority="3" dxfId="1">
      <formula>OR(C52&gt;0,C53&gt;0)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22" customWidth="1" min="12" max="12"/>
    <col width="35" customWidth="1" min="13" max="13"/>
    <col width="30" customWidth="1" min="14" max="14"/>
    <col width="30" customWidth="1" min="15" max="15"/>
    <col width="14" customWidth="1" min="16" max="16"/>
    <col width="35" customWidth="1" min="17" max="17"/>
    <col width="14" customWidth="1" min="18" max="18"/>
    <col width="14" customWidth="1" min="19" max="19"/>
    <col width="14" customWidth="1" min="20" max="20"/>
    <col width="16" customWidth="1" min="21" max="21"/>
    <col width="22" customWidth="1" min="22" max="22"/>
    <col width="14" customWidth="1" min="23" max="23"/>
    <col width="25" customWidth="1" min="24" max="24"/>
  </cols>
  <sheetData>
    <row r="1" ht="30" customHeight="1">
      <c r="A1" s="38" t="inlineStr">
        <is>
          <t>BỘ TEST CASE UAT: petition_assignment</t>
        </is>
      </c>
    </row>
    <row r="2">
      <c r="A2" s="39" t="inlineStr">
        <is>
          <t>Tổng số TC: 240 | Ngày tạo: 08/06/2026 | Generated by uat-test-writer skill</t>
        </is>
      </c>
    </row>
    <row r="3" ht="40" customHeight="1">
      <c r="A3" s="40" t="inlineStr">
        <is>
          <t>TC-ID</t>
        </is>
      </c>
      <c r="B3" s="40" t="inlineStr">
        <is>
          <t>Loại</t>
        </is>
      </c>
      <c r="C3" s="40" t="inlineStr">
        <is>
          <t>Độ ưu tiên</t>
        </is>
      </c>
      <c r="D3" s="40" t="inlineStr">
        <is>
          <t>Module</t>
        </is>
      </c>
      <c r="E3" s="40" t="inlineStr">
        <is>
          <t>Tiêu đề</t>
        </is>
      </c>
      <c r="F3" s="40" t="inlineStr">
        <is>
          <t>Yêu cầu</t>
        </is>
      </c>
      <c r="G3" s="40" t="inlineStr">
        <is>
          <t>Kỹ thuật test</t>
        </is>
      </c>
      <c r="H3" s="40" t="inlineStr">
        <is>
          <t>Mức độ rủi ro</t>
        </is>
      </c>
      <c r="I3" s="40" t="inlineStr">
        <is>
          <t>Điều kiện tiên quyết</t>
        </is>
      </c>
      <c r="J3" s="40" t="inlineStr">
        <is>
          <t>Các bước kiểm thử</t>
        </is>
      </c>
      <c r="K3" s="40" t="inlineStr">
        <is>
          <t>Dữ liệu kiểm thử</t>
        </is>
      </c>
      <c r="L3" s="40" t="inlineStr">
        <is>
          <t>Data fixtures cần</t>
        </is>
      </c>
      <c r="M3" s="40" t="inlineStr">
        <is>
          <t>Kết quả mong đợi - UI</t>
        </is>
      </c>
      <c r="N3" s="40" t="inlineStr">
        <is>
          <t>Kết quả mong đợi - API</t>
        </is>
      </c>
      <c r="O3" s="40" t="inlineStr">
        <is>
          <t>Kết quả mong đợi - Side effects</t>
        </is>
      </c>
      <c r="P3" s="40" t="inlineStr">
        <is>
          <t>Severity nếu fail</t>
        </is>
      </c>
      <c r="Q3" s="40" t="inlineStr">
        <is>
          <t>Kết quả thực tế</t>
        </is>
      </c>
      <c r="R3" s="40" t="inlineStr">
        <is>
          <t>Trạng thái API</t>
        </is>
      </c>
      <c r="S3" s="40" t="inlineStr">
        <is>
          <t>Trạng thái E2E</t>
        </is>
      </c>
      <c r="T3" s="40" t="inlineStr">
        <is>
          <t>Bug ID</t>
        </is>
      </c>
      <c r="U3" s="40" t="inlineStr">
        <is>
          <t>Lần chạy cuối</t>
        </is>
      </c>
      <c r="V3" s="40" t="inlineStr">
        <is>
          <t>Lịch sử chạy</t>
        </is>
      </c>
      <c r="W3" s="40" t="inlineStr">
        <is>
          <t>Cờ regression</t>
        </is>
      </c>
      <c r="X3" s="40" t="inlineStr">
        <is>
          <t>Ghi chú</t>
        </is>
      </c>
    </row>
    <row r="4" ht="80" customHeight="1">
      <c r="A4" s="41" t="inlineStr">
        <is>
          <t>TC-001</t>
        </is>
      </c>
      <c r="B4" s="42" t="inlineStr">
        <is>
          <t>GREEN</t>
        </is>
      </c>
      <c r="C4" s="43" t="inlineStr">
        <is>
          <t>P0</t>
        </is>
      </c>
      <c r="D4" s="44" t="inlineStr">
        <is>
          <t>GET /assignments</t>
        </is>
      </c>
      <c r="E4" s="44" t="inlineStr">
        <is>
          <t>GET /assignments trả về danh sách 2 phân công đúng format</t>
        </is>
      </c>
      <c r="F4" s="41" t="inlineStr">
        <is>
          <t>REQ-PA-I</t>
        </is>
      </c>
      <c r="G4" s="41" t="inlineStr">
        <is>
          <t>Black-box</t>
        </is>
      </c>
      <c r="H4" s="41" t="inlineStr">
        <is>
          <t>Cao</t>
        </is>
      </c>
      <c r="I4" s="44" t="inlineStr">
        <is>
          <t>Petition tồn tại với 2 assignment (user-1 LEAD, user-2 SUPPORT)</t>
        </is>
      </c>
      <c r="J4" s="44" t="inlineStr">
        <is>
          <t>GET /api/v1/petitions/:id/assignments với JWT hợp lệ</t>
        </is>
      </c>
      <c r="K4" s="44" t="inlineStr">
        <is>
          <t>account.officer.primary, petition.with_2_assignments.D7</t>
        </is>
      </c>
      <c r="L4" s="44" t="inlineStr">
        <is>
          <t>petition.with_2_assignments.D7</t>
        </is>
      </c>
      <c r="M4" s="44" t="inlineStr">
        <is>
          <t>Hiển thị 2 row trong danh sách, role đúng</t>
        </is>
      </c>
      <c r="N4" s="44" t="inlineStr">
        <is>
          <t>HTTP 200, array 2 phần tử, mỗi phần tử có id, petitionId, userId, role, assignedAt, user{id,username,firstName,lastName}</t>
        </is>
      </c>
      <c r="O4" s="44" t="inlineStr">
        <is>
          <t>Không có side effect DB</t>
        </is>
      </c>
      <c r="P4" s="41" t="inlineStr">
        <is>
          <t>Critical</t>
        </is>
      </c>
      <c r="Q4" s="44" t="inlineStr"/>
      <c r="R4" s="41" t="inlineStr"/>
      <c r="S4" s="41" t="inlineStr"/>
      <c r="T4" s="41" t="inlineStr"/>
      <c r="U4" s="41" t="inlineStr"/>
      <c r="V4" s="44" t="inlineStr"/>
      <c r="W4" s="41" t="inlineStr"/>
      <c r="X4" s="44" t="inlineStr">
        <is>
          <t>Happy path — endpoint cần pass P0</t>
        </is>
      </c>
    </row>
    <row r="5" ht="80" customHeight="1">
      <c r="A5" s="41" t="inlineStr">
        <is>
          <t>TC-002</t>
        </is>
      </c>
      <c r="B5" s="42" t="inlineStr">
        <is>
          <t>GREEN</t>
        </is>
      </c>
      <c r="C5" s="43" t="inlineStr">
        <is>
          <t>P0</t>
        </is>
      </c>
      <c r="D5" s="44" t="inlineStr">
        <is>
          <t>GET /assignments</t>
        </is>
      </c>
      <c r="E5" s="44" t="inlineStr">
        <is>
          <t>GET /assignments trả về [] khi chưa có phân công</t>
        </is>
      </c>
      <c r="F5" s="41" t="inlineStr">
        <is>
          <t>REQ-PA-I</t>
        </is>
      </c>
      <c r="G5" s="41" t="inlineStr">
        <is>
          <t>Black-box</t>
        </is>
      </c>
      <c r="H5" s="41" t="inlineStr">
        <is>
          <t>Cao</t>
        </is>
      </c>
      <c r="I5" s="44" t="inlineStr">
        <is>
          <t>Petition mới tạo, chưa có assignment</t>
        </is>
      </c>
      <c r="J5" s="44" t="inlineStr">
        <is>
          <t>GET /api/v1/petitions/:id/assignments</t>
        </is>
      </c>
      <c r="K5" s="44" t="inlineStr">
        <is>
          <t>account.officer.primary, petition.new.D0</t>
        </is>
      </c>
      <c r="L5" s="44" t="inlineStr">
        <is>
          <t>petition.new.D0</t>
        </is>
      </c>
      <c r="M5" s="44" t="inlineStr">
        <is>
          <t>Hiển thị 'Chưa có cán bộ được phân công'</t>
        </is>
      </c>
      <c r="N5" s="44" t="inlineStr">
        <is>
          <t>HTTP 200, data = []</t>
        </is>
      </c>
      <c r="O5" s="44" t="inlineStr">
        <is>
          <t>Không side effect</t>
        </is>
      </c>
      <c r="P5" s="41" t="inlineStr">
        <is>
          <t>High</t>
        </is>
      </c>
      <c r="Q5" s="44" t="inlineStr"/>
      <c r="R5" s="41" t="inlineStr"/>
      <c r="S5" s="41" t="inlineStr"/>
      <c r="T5" s="41" t="inlineStr"/>
      <c r="U5" s="41" t="inlineStr"/>
      <c r="V5" s="44" t="inlineStr"/>
      <c r="W5" s="41" t="inlineStr"/>
      <c r="X5" s="44" t="inlineStr">
        <is>
          <t>Empty state</t>
        </is>
      </c>
    </row>
    <row r="6" ht="80" customHeight="1">
      <c r="A6" s="41" t="inlineStr">
        <is>
          <t>TC-003</t>
        </is>
      </c>
      <c r="B6" s="42" t="inlineStr">
        <is>
          <t>GREEN</t>
        </is>
      </c>
      <c r="C6" s="43" t="inlineStr">
        <is>
          <t>P0</t>
        </is>
      </c>
      <c r="D6" s="44" t="inlineStr">
        <is>
          <t>GET /assignments</t>
        </is>
      </c>
      <c r="E6" s="44" t="inlineStr">
        <is>
          <t>GET /assignments — response có đủ fields user.username, assignedBy</t>
        </is>
      </c>
      <c r="F6" s="41" t="inlineStr">
        <is>
          <t>REQ-PA-I</t>
        </is>
      </c>
      <c r="G6" s="41" t="inlineStr">
        <is>
          <t>Black-box</t>
        </is>
      </c>
      <c r="H6" s="41" t="inlineStr">
        <is>
          <t>Cao</t>
        </is>
      </c>
      <c r="I6" s="44" t="inlineStr">
        <is>
          <t>Petition có 1 assignment</t>
        </is>
      </c>
      <c r="J6" s="44" t="inlineStr">
        <is>
          <t>GET /api/v1/petitions/:id/assignments → kiểm tra JSON response</t>
        </is>
      </c>
      <c r="K6" s="44" t="inlineStr">
        <is>
          <t>petition.with_1_assignment.D7</t>
        </is>
      </c>
      <c r="L6" s="44" t="inlineStr">
        <is>
          <t>petition.with_1_assignment.D7</t>
        </is>
      </c>
      <c r="M6" s="44" t="inlineStr">
        <is>
          <t>Tên cán bộ hiển thị đúng (firstName + lastName hoặc username)</t>
        </is>
      </c>
      <c r="N6" s="44" t="inlineStr">
        <is>
          <t>HTTP 200, item.user.username ≠ null, item.assignedBy có {id, username}</t>
        </is>
      </c>
      <c r="O6" s="44" t="inlineStr">
        <is>
          <t>-</t>
        </is>
      </c>
      <c r="P6" s="41" t="inlineStr">
        <is>
          <t>High</t>
        </is>
      </c>
      <c r="Q6" s="44" t="inlineStr"/>
      <c r="R6" s="41" t="inlineStr"/>
      <c r="S6" s="41" t="inlineStr"/>
      <c r="T6" s="41" t="inlineStr"/>
      <c r="U6" s="41" t="inlineStr"/>
      <c r="V6" s="44" t="inlineStr"/>
      <c r="W6" s="41" t="inlineStr"/>
      <c r="X6" s="44" t="inlineStr">
        <is>
          <t>username field phải có — fix từ /review adversarial</t>
        </is>
      </c>
    </row>
    <row r="7" ht="80" customHeight="1">
      <c r="A7" s="41" t="inlineStr">
        <is>
          <t>TC-004</t>
        </is>
      </c>
      <c r="B7" s="42" t="inlineStr">
        <is>
          <t>GREEN</t>
        </is>
      </c>
      <c r="C7" s="43" t="inlineStr">
        <is>
          <t>P0</t>
        </is>
      </c>
      <c r="D7" s="44" t="inlineStr">
        <is>
          <t>GET /assignments</t>
        </is>
      </c>
      <c r="E7" s="44" t="inlineStr">
        <is>
          <t>GET /assignments — response sắp xếp theo assignedAt tăng dần</t>
        </is>
      </c>
      <c r="F7" s="41" t="inlineStr">
        <is>
          <t>REQ-PA-I</t>
        </is>
      </c>
      <c r="G7" s="41" t="inlineStr">
        <is>
          <t>Black-box</t>
        </is>
      </c>
      <c r="H7" s="41" t="inlineStr">
        <is>
          <t>TB</t>
        </is>
      </c>
      <c r="I7" s="44" t="inlineStr">
        <is>
          <t>Petition có 3 assignments tạo lần lượt cách nhau 1 giây</t>
        </is>
      </c>
      <c r="J7" s="44" t="inlineStr">
        <is>
          <t>GET /api/v1/petitions/:id/assignments</t>
        </is>
      </c>
      <c r="K7" s="44" t="inlineStr">
        <is>
          <t>petition.with_3_assignments.D7</t>
        </is>
      </c>
      <c r="L7" s="44" t="inlineStr">
        <is>
          <t>petition.with_3_assignments.D7</t>
        </is>
      </c>
      <c r="M7" s="44" t="inlineStr">
        <is>
          <t>Cán bộ đầu tiên phân công ở đầu list</t>
        </is>
      </c>
      <c r="N7" s="44" t="inlineStr">
        <is>
          <t>HTTP 200, items[0].assignedAt &lt; items[1].assignedAt &lt; items[2].assignedAt</t>
        </is>
      </c>
      <c r="O7" s="44" t="inlineStr">
        <is>
          <t>-</t>
        </is>
      </c>
      <c r="P7" s="41" t="inlineStr">
        <is>
          <t>Medium</t>
        </is>
      </c>
      <c r="Q7" s="44" t="inlineStr"/>
      <c r="R7" s="41" t="inlineStr"/>
      <c r="S7" s="41" t="inlineStr"/>
      <c r="T7" s="41" t="inlineStr"/>
      <c r="U7" s="41" t="inlineStr"/>
      <c r="V7" s="44" t="inlineStr"/>
      <c r="W7" s="41" t="inlineStr"/>
      <c r="X7" s="44" t="inlineStr">
        <is>
          <t>orderBy assignedAt asc</t>
        </is>
      </c>
    </row>
    <row r="8" ht="80" customHeight="1">
      <c r="A8" s="41" t="inlineStr">
        <is>
          <t>TC-005</t>
        </is>
      </c>
      <c r="B8" s="42" t="inlineStr">
        <is>
          <t>GREEN</t>
        </is>
      </c>
      <c r="C8" s="43" t="inlineStr">
        <is>
          <t>P0</t>
        </is>
      </c>
      <c r="D8" s="44" t="inlineStr">
        <is>
          <t>POST /assignments</t>
        </is>
      </c>
      <c r="E8" s="44" t="inlineStr">
        <is>
          <t>POST /assignments — thêm phân công với role SUPPORT → 201</t>
        </is>
      </c>
      <c r="F8" s="41" t="inlineStr">
        <is>
          <t>REQ-PA-I</t>
        </is>
      </c>
      <c r="G8" s="41" t="inlineStr">
        <is>
          <t>Black-box</t>
        </is>
      </c>
      <c r="H8" s="41" t="inlineStr">
        <is>
          <t>Cao</t>
        </is>
      </c>
      <c r="I8" s="44" t="inlineStr">
        <is>
          <t>Petition tồn tại, user-3 chưa được assign</t>
        </is>
      </c>
      <c r="J8" s="44" t="inlineStr">
        <is>
          <t>POST /api/v1/petitions/:id/assignments body {userId:'user-3', role:'SUPPORT'}</t>
        </is>
      </c>
      <c r="K8" s="44" t="inlineStr">
        <is>
          <t>account.officer.primary, petition.new.D0, user.officer2</t>
        </is>
      </c>
      <c r="L8" s="44" t="inlineStr">
        <is>
          <t>petition.new.D0</t>
        </is>
      </c>
      <c r="M8" s="44" t="inlineStr">
        <is>
          <t>user-3 xuất hiện trong danh sách với badge 'Hỗ trợ'</t>
        </is>
      </c>
      <c r="N8" s="44" t="inlineStr">
        <is>
          <t>HTTP 201, response.userId='user-3', response.role='SUPPORT', response.user.username present</t>
        </is>
      </c>
      <c r="O8" s="44" t="inlineStr">
        <is>
          <t>petition_assignments table: 1 row mới, assignedAt = now()</t>
        </is>
      </c>
      <c r="P8" s="41" t="inlineStr">
        <is>
          <t>Critical</t>
        </is>
      </c>
      <c r="Q8" s="44" t="inlineStr"/>
      <c r="R8" s="41" t="inlineStr"/>
      <c r="S8" s="41" t="inlineStr"/>
      <c r="T8" s="41" t="inlineStr"/>
      <c r="U8" s="41" t="inlineStr"/>
      <c r="V8" s="44" t="inlineStr"/>
      <c r="W8" s="41" t="inlineStr"/>
      <c r="X8" s="44" t="inlineStr">
        <is>
          <t>Core create flow</t>
        </is>
      </c>
    </row>
    <row r="9" ht="80" customHeight="1">
      <c r="A9" s="41" t="inlineStr">
        <is>
          <t>TC-006</t>
        </is>
      </c>
      <c r="B9" s="42" t="inlineStr">
        <is>
          <t>GREEN</t>
        </is>
      </c>
      <c r="C9" s="43" t="inlineStr">
        <is>
          <t>P0</t>
        </is>
      </c>
      <c r="D9" s="44" t="inlineStr">
        <is>
          <t>POST /assignments</t>
        </is>
      </c>
      <c r="E9" s="44" t="inlineStr">
        <is>
          <t>POST /assignments — thêm phân công với role LEAD → 201</t>
        </is>
      </c>
      <c r="F9" s="41" t="inlineStr">
        <is>
          <t>REQ-PA-I</t>
        </is>
      </c>
      <c r="G9" s="41" t="inlineStr">
        <is>
          <t>Black-box</t>
        </is>
      </c>
      <c r="H9" s="41" t="inlineStr">
        <is>
          <t>Cao</t>
        </is>
      </c>
      <c r="I9" s="44" t="inlineStr">
        <is>
          <t>Petition tồn tại, user-3 chưa assigned</t>
        </is>
      </c>
      <c r="J9" s="44" t="inlineStr">
        <is>
          <t>POST /api/v1/petitions/:id/assignments body {userId:'user-3', role:'LEAD'}</t>
        </is>
      </c>
      <c r="K9" s="44" t="inlineStr">
        <is>
          <t>petition.new.D0, user.officer2</t>
        </is>
      </c>
      <c r="L9" s="44" t="inlineStr">
        <is>
          <t>petition.new.D0</t>
        </is>
      </c>
      <c r="M9" s="44" t="inlineStr">
        <is>
          <t>Badge 'Chủ trì' màu xanh hiện bên cạnh tên</t>
        </is>
      </c>
      <c r="N9" s="44" t="inlineStr">
        <is>
          <t>HTTP 201, response.role='LEAD'</t>
        </is>
      </c>
      <c r="O9" s="44" t="inlineStr">
        <is>
          <t>1 row trong petition_assignments với role='LEAD'</t>
        </is>
      </c>
      <c r="P9" s="41" t="inlineStr">
        <is>
          <t>Critical</t>
        </is>
      </c>
      <c r="Q9" s="44" t="inlineStr"/>
      <c r="R9" s="41" t="inlineStr"/>
      <c r="S9" s="41" t="inlineStr"/>
      <c r="T9" s="41" t="inlineStr"/>
      <c r="U9" s="41" t="inlineStr"/>
      <c r="V9" s="44" t="inlineStr"/>
      <c r="W9" s="41" t="inlineStr"/>
      <c r="X9" s="44" t="inlineStr">
        <is>
          <t>LEAD role flow</t>
        </is>
      </c>
    </row>
    <row r="10" ht="80" customHeight="1">
      <c r="A10" s="41" t="inlineStr">
        <is>
          <t>TC-007</t>
        </is>
      </c>
      <c r="B10" s="42" t="inlineStr">
        <is>
          <t>GREEN</t>
        </is>
      </c>
      <c r="C10" s="43" t="inlineStr">
        <is>
          <t>P0</t>
        </is>
      </c>
      <c r="D10" s="44" t="inlineStr">
        <is>
          <t>POST /assignments</t>
        </is>
      </c>
      <c r="E10" s="44" t="inlineStr">
        <is>
          <t>POST /assignments — không gửi role → default SUPPORT</t>
        </is>
      </c>
      <c r="F10" s="41" t="inlineStr">
        <is>
          <t>REQ-PA-I</t>
        </is>
      </c>
      <c r="G10" s="41" t="inlineStr">
        <is>
          <t>Black-box</t>
        </is>
      </c>
      <c r="H10" s="41" t="inlineStr">
        <is>
          <t>TB</t>
        </is>
      </c>
      <c r="I10" s="44" t="inlineStr">
        <is>
          <t>Petition tồn tại, user chưa assigned</t>
        </is>
      </c>
      <c r="J10" s="44" t="inlineStr">
        <is>
          <t>POST /api/v1/petitions/:id/assignments body {userId:'user-3'} (không có role)</t>
        </is>
      </c>
      <c r="K10" s="44" t="inlineStr">
        <is>
          <t>petition.new.D0, user.officer2</t>
        </is>
      </c>
      <c r="L10" s="44" t="inlineStr">
        <is>
          <t>petition.new.D0</t>
        </is>
      </c>
      <c r="M10" s="44" t="inlineStr">
        <is>
          <t>Badge 'Hỗ trợ' hiển thị</t>
        </is>
      </c>
      <c r="N10" s="44" t="inlineStr">
        <is>
          <t>HTTP 201, response.role='SUPPORT'</t>
        </is>
      </c>
      <c r="O10" s="44" t="inlineStr">
        <is>
          <t>role='SUPPORT' trong DB</t>
        </is>
      </c>
      <c r="P10" s="41" t="inlineStr">
        <is>
          <t>High</t>
        </is>
      </c>
      <c r="Q10" s="44" t="inlineStr"/>
      <c r="R10" s="41" t="inlineStr"/>
      <c r="S10" s="41" t="inlineStr"/>
      <c r="T10" s="41" t="inlineStr"/>
      <c r="U10" s="41" t="inlineStr"/>
      <c r="V10" s="44" t="inlineStr"/>
      <c r="W10" s="41" t="inlineStr"/>
      <c r="X10" s="44" t="inlineStr">
        <is>
          <t>Controller default: dto.role ?? 'SUPPORT'</t>
        </is>
      </c>
    </row>
    <row r="11" ht="80" customHeight="1">
      <c r="A11" s="41" t="inlineStr">
        <is>
          <t>TC-008</t>
        </is>
      </c>
      <c r="B11" s="42" t="inlineStr">
        <is>
          <t>GREEN</t>
        </is>
      </c>
      <c r="C11" s="43" t="inlineStr">
        <is>
          <t>P0</t>
        </is>
      </c>
      <c r="D11" s="44" t="inlineStr">
        <is>
          <t>DELETE /assignments</t>
        </is>
      </c>
      <c r="E11" s="44" t="inlineStr">
        <is>
          <t>DELETE /assignments/:userId — xóa thành công → 200 + {success:true}</t>
        </is>
      </c>
      <c r="F11" s="41" t="inlineStr">
        <is>
          <t>REQ-PA-I</t>
        </is>
      </c>
      <c r="G11" s="41" t="inlineStr">
        <is>
          <t>Black-box</t>
        </is>
      </c>
      <c r="H11" s="41" t="inlineStr">
        <is>
          <t>Cao</t>
        </is>
      </c>
      <c r="I11" s="44" t="inlineStr">
        <is>
          <t>Petition có user-1 được assigned</t>
        </is>
      </c>
      <c r="J11" s="44" t="inlineStr">
        <is>
          <t>DELETE /api/v1/petitions/:id/assignments/user-1</t>
        </is>
      </c>
      <c r="K11" s="44" t="inlineStr">
        <is>
          <t>petition.with_1_assignment.D7</t>
        </is>
      </c>
      <c r="L11" s="44" t="inlineStr">
        <is>
          <t>petition.with_1_assignment.D7</t>
        </is>
      </c>
      <c r="M11" s="44" t="inlineStr">
        <is>
          <t>user-1 biến mất khỏi danh sách, hiện lại trong dropdown</t>
        </is>
      </c>
      <c r="N11" s="44" t="inlineStr">
        <is>
          <t>HTTP 200, response = {success:true}</t>
        </is>
      </c>
      <c r="O11" s="44" t="inlineStr">
        <is>
          <t>petition_assignments: row với userId=user-1 bị xóa</t>
        </is>
      </c>
      <c r="P11" s="41" t="inlineStr">
        <is>
          <t>Critical</t>
        </is>
      </c>
      <c r="Q11" s="44" t="inlineStr"/>
      <c r="R11" s="41" t="inlineStr"/>
      <c r="S11" s="41" t="inlineStr"/>
      <c r="T11" s="41" t="inlineStr"/>
      <c r="U11" s="41" t="inlineStr"/>
      <c r="V11" s="44" t="inlineStr"/>
      <c r="W11" s="41" t="inlineStr"/>
      <c r="X11" s="44" t="inlineStr">
        <is>
          <t>HTTP 200 (không phải 204) theo @HttpCode(HttpStatus.OK)</t>
        </is>
      </c>
    </row>
    <row r="12" ht="80" customHeight="1">
      <c r="A12" s="41" t="inlineStr">
        <is>
          <t>TC-009</t>
        </is>
      </c>
      <c r="B12" s="42" t="inlineStr">
        <is>
          <t>GREEN</t>
        </is>
      </c>
      <c r="C12" s="43" t="inlineStr">
        <is>
          <t>P0</t>
        </is>
      </c>
      <c r="D12" s="44" t="inlineStr">
        <is>
          <t>PATCH /assign</t>
        </is>
      </c>
      <c r="E12" s="44" t="inlineStr">
        <is>
          <t>PATCH /assign — auto-gán trưởng đội khi không gửi assignedToId</t>
        </is>
      </c>
      <c r="F12" s="41" t="inlineStr">
        <is>
          <t>REQ-PA-I</t>
        </is>
      </c>
      <c r="G12" s="41" t="inlineStr">
        <is>
          <t>Black-box</t>
        </is>
      </c>
      <c r="H12" s="41" t="inlineStr">
        <is>
          <t>Cao</t>
        </is>
      </c>
      <c r="I12" s="44" t="inlineStr">
        <is>
          <t>Team-A có user-leader (isLeader=true)</t>
        </is>
      </c>
      <c r="J12" s="44" t="inlineStr">
        <is>
          <t>PATCH /api/v1/petitions/:id/assign body {assignedTeamId:'team-A', expectedUpdatedAt:'...'}</t>
        </is>
      </c>
      <c r="K12" s="44" t="inlineStr">
        <is>
          <t>petition.unassigned.D0, team.with_leader</t>
        </is>
      </c>
      <c r="L12" s="44" t="inlineStr">
        <is>
          <t>petition.unassigned.D0</t>
        </is>
      </c>
      <c r="M12" s="44" t="inlineStr">
        <is>
          <t>Tên đội trưởng xuất hiện trong field 'Phụ trách'</t>
        </is>
      </c>
      <c r="N12" s="44" t="inlineStr">
        <is>
          <t>HTTP 200, petition.assignedToId = leaderId, petition.assignedTeamId = 'team-A'</t>
        </is>
      </c>
      <c r="O12" s="44" t="inlineStr">
        <is>
          <t>Petition row cập nhật assignedToId + assignedTeamId</t>
        </is>
      </c>
      <c r="P12" s="41" t="inlineStr">
        <is>
          <t>Critical</t>
        </is>
      </c>
      <c r="Q12" s="44" t="inlineStr"/>
      <c r="R12" s="41" t="inlineStr"/>
      <c r="S12" s="41" t="inlineStr"/>
      <c r="T12" s="41" t="inlineStr"/>
      <c r="U12" s="41" t="inlineStr"/>
      <c r="V12" s="44" t="inlineStr"/>
      <c r="W12" s="41" t="inlineStr"/>
      <c r="X12" s="44" t="inlineStr">
        <is>
          <t>Nhóm I core feature — auto-assign to leader</t>
        </is>
      </c>
    </row>
    <row r="13" ht="80" customHeight="1">
      <c r="A13" s="41" t="inlineStr">
        <is>
          <t>TC-010</t>
        </is>
      </c>
      <c r="B13" s="42" t="inlineStr">
        <is>
          <t>GREEN</t>
        </is>
      </c>
      <c r="C13" s="45" t="inlineStr">
        <is>
          <t>P1</t>
        </is>
      </c>
      <c r="D13" s="44" t="inlineStr">
        <is>
          <t>PATCH /assign</t>
        </is>
      </c>
      <c r="E13" s="44" t="inlineStr">
        <is>
          <t>PATCH /assign — gán với assignedToId hợp lệ trong team</t>
        </is>
      </c>
      <c r="F13" s="41" t="inlineStr">
        <is>
          <t>REQ-PA-I</t>
        </is>
      </c>
      <c r="G13" s="41" t="inlineStr">
        <is>
          <t>Black-box</t>
        </is>
      </c>
      <c r="H13" s="41" t="inlineStr">
        <is>
          <t>Cao</t>
        </is>
      </c>
      <c r="I13" s="44" t="inlineStr">
        <is>
          <t>Team-A có user-officer1 là thành viên</t>
        </is>
      </c>
      <c r="J13" s="44" t="inlineStr">
        <is>
          <t>PATCH /assign body {assignedTeamId:'team-A', assignedToId:'user-officer1', expectedUpdatedAt}</t>
        </is>
      </c>
      <c r="K13" s="44" t="inlineStr">
        <is>
          <t>petition.unassigned.D0, team.with_members</t>
        </is>
      </c>
      <c r="L13" s="44" t="inlineStr">
        <is>
          <t>petition.unassigned.D0</t>
        </is>
      </c>
      <c r="M13" s="44" t="inlineStr">
        <is>
          <t>Cán bộ user-officer1 hiển thị trong chi tiết đơn</t>
        </is>
      </c>
      <c r="N13" s="44" t="inlineStr">
        <is>
          <t>HTTP 200, petition.assignedToId = 'user-officer1'</t>
        </is>
      </c>
      <c r="O13" s="44" t="inlineStr">
        <is>
          <t>assignedToId cập nhật trong DB</t>
        </is>
      </c>
      <c r="P13" s="41" t="inlineStr">
        <is>
          <t>High</t>
        </is>
      </c>
      <c r="Q13" s="44" t="inlineStr"/>
      <c r="R13" s="41" t="inlineStr"/>
      <c r="S13" s="41" t="inlineStr"/>
      <c r="T13" s="41" t="inlineStr"/>
      <c r="U13" s="41" t="inlineStr"/>
      <c r="V13" s="44" t="inlineStr"/>
      <c r="W13" s="41" t="inlineStr"/>
      <c r="X13" s="44" t="inlineStr">
        <is>
          <t>Explicit assignment</t>
        </is>
      </c>
    </row>
    <row r="14" ht="80" customHeight="1">
      <c r="A14" s="41" t="inlineStr">
        <is>
          <t>TC-011</t>
        </is>
      </c>
      <c r="B14" s="42" t="inlineStr">
        <is>
          <t>GREEN</t>
        </is>
      </c>
      <c r="C14" s="45" t="inlineStr">
        <is>
          <t>P1</t>
        </is>
      </c>
      <c r="D14" s="44" t="inlineStr">
        <is>
          <t>POST /assignments</t>
        </is>
      </c>
      <c r="E14" s="44" t="inlineStr">
        <is>
          <t>POST /assignments — response bao gồm user relation đầy đủ</t>
        </is>
      </c>
      <c r="F14" s="41" t="inlineStr">
        <is>
          <t>REQ-PA-I</t>
        </is>
      </c>
      <c r="G14" s="41" t="inlineStr">
        <is>
          <t>Black-box</t>
        </is>
      </c>
      <c r="H14" s="41" t="inlineStr">
        <is>
          <t>TB</t>
        </is>
      </c>
      <c r="I14" s="44" t="inlineStr">
        <is>
          <t>user-3 có firstName='Lê', lastName='Văn C', username='levanc'</t>
        </is>
      </c>
      <c r="J14" s="44" t="inlineStr">
        <is>
          <t>POST /assignments {userId:'user-3', role:'SUPPORT'} → inspect response</t>
        </is>
      </c>
      <c r="K14" s="44" t="inlineStr">
        <is>
          <t>petition.new.D0, user.officer3_with_name</t>
        </is>
      </c>
      <c r="L14" s="44" t="inlineStr">
        <is>
          <t>petition.new.D0</t>
        </is>
      </c>
      <c r="M14" s="44" t="inlineStr">
        <is>
          <t>-</t>
        </is>
      </c>
      <c r="N14" s="44" t="inlineStr">
        <is>
          <t>HTTP 201, response.user.firstName='Lê', response.user.lastName='Văn C', response.user.username='levanc', response.assignedBy.username present</t>
        </is>
      </c>
      <c r="O14" s="44" t="inlineStr">
        <is>
          <t>-</t>
        </is>
      </c>
      <c r="P14" s="41" t="inlineStr">
        <is>
          <t>High</t>
        </is>
      </c>
      <c r="Q14" s="44" t="inlineStr"/>
      <c r="R14" s="41" t="inlineStr"/>
      <c r="S14" s="41" t="inlineStr"/>
      <c r="T14" s="41" t="inlineStr"/>
      <c r="U14" s="41" t="inlineStr"/>
      <c r="V14" s="44" t="inlineStr"/>
      <c r="W14" s="41" t="inlineStr"/>
      <c r="X14" s="44" t="inlineStr">
        <is>
          <t>user relation + assignedBy relation</t>
        </is>
      </c>
    </row>
    <row r="15" ht="80" customHeight="1">
      <c r="A15" s="41" t="inlineStr">
        <is>
          <t>TC-012</t>
        </is>
      </c>
      <c r="B15" s="42" t="inlineStr">
        <is>
          <t>GREEN</t>
        </is>
      </c>
      <c r="C15" s="45" t="inlineStr">
        <is>
          <t>P1</t>
        </is>
      </c>
      <c r="D15" s="44" t="inlineStr">
        <is>
          <t>UI Phân công</t>
        </is>
      </c>
      <c r="E15" s="44" t="inlineStr">
        <is>
          <t>UI — section header và form load khi mở PetitionFormPage edit mode</t>
        </is>
      </c>
      <c r="F15" s="41" t="inlineStr">
        <is>
          <t>REQ-PA-I</t>
        </is>
      </c>
      <c r="G15" s="41" t="inlineStr">
        <is>
          <t>UI / Use case</t>
        </is>
      </c>
      <c r="H15" s="41" t="inlineStr">
        <is>
          <t>TB</t>
        </is>
      </c>
      <c r="I15" s="44" t="inlineStr">
        <is>
          <t>Đăng nhập officer, mở petition edit page</t>
        </is>
      </c>
      <c r="J15" s="44" t="inlineStr">
        <is>
          <t>1. Navigate /petitions/:id/edit
2. Cuộn đến section 'Phân công cán bộ'</t>
        </is>
      </c>
      <c r="K15" s="44" t="inlineStr">
        <is>
          <t>account.officer.primary, petition.any.D7</t>
        </is>
      </c>
      <c r="L15" s="44" t="inlineStr">
        <is>
          <t>petition.any.D7</t>
        </is>
      </c>
      <c r="M15" s="44" t="inlineStr">
        <is>
          <t>Section 'Phân công cán bộ' hiển thị với form select Cán bộ + Vai trò + nút Thêm</t>
        </is>
      </c>
      <c r="N15" s="44" t="inlineStr">
        <is>
          <t>GET /petitions/:id/assignments tự động gọi khi load</t>
        </is>
      </c>
      <c r="O15" s="44" t="inlineStr">
        <is>
          <t>-</t>
        </is>
      </c>
      <c r="P15" s="41" t="inlineStr">
        <is>
          <t>High</t>
        </is>
      </c>
      <c r="Q15" s="44" t="inlineStr"/>
      <c r="R15" s="41" t="inlineStr"/>
      <c r="S15" s="41" t="inlineStr"/>
      <c r="T15" s="41" t="inlineStr"/>
      <c r="U15" s="41" t="inlineStr"/>
      <c r="V15" s="44" t="inlineStr"/>
      <c r="W15" s="41" t="inlineStr"/>
      <c r="X15" s="44" t="inlineStr">
        <is>
          <t>E2E navigation test</t>
        </is>
      </c>
    </row>
    <row r="16" ht="80" customHeight="1">
      <c r="A16" s="41" t="inlineStr">
        <is>
          <t>TC-013</t>
        </is>
      </c>
      <c r="B16" s="42" t="inlineStr">
        <is>
          <t>GREEN</t>
        </is>
      </c>
      <c r="C16" s="43" t="inlineStr">
        <is>
          <t>P0</t>
        </is>
      </c>
      <c r="D16" s="44" t="inlineStr">
        <is>
          <t>UI Phân công</t>
        </is>
      </c>
      <c r="E16" s="44" t="inlineStr">
        <is>
          <t>UI — danh sách 2 assignments hiển thị đúng sau load</t>
        </is>
      </c>
      <c r="F16" s="41" t="inlineStr">
        <is>
          <t>REQ-PA-I</t>
        </is>
      </c>
      <c r="G16" s="41" t="inlineStr">
        <is>
          <t>UI / Use case</t>
        </is>
      </c>
      <c r="H16" s="41" t="inlineStr">
        <is>
          <t>Cao</t>
        </is>
      </c>
      <c r="I16" s="44" t="inlineStr">
        <is>
          <t>Petition có 2 assignments: user-1 LEAD, user-2 SUPPORT</t>
        </is>
      </c>
      <c r="J16" s="44" t="inlineStr">
        <is>
          <t>1. Mở /petitions/:id/edit
2. Kiểm tra danh sách</t>
        </is>
      </c>
      <c r="K16" s="44" t="inlineStr">
        <is>
          <t>petition.with_2_assignments.D7</t>
        </is>
      </c>
      <c r="L16" s="44" t="inlineStr">
        <is>
          <t>petition.with_2_assignments.D7</t>
        </is>
      </c>
      <c r="M16" s="44" t="inlineStr">
        <is>
          <t>2 item trong danh sách. user-1 có badge 'Chủ trì' (xanh). user-2 có badge 'Hỗ trợ' (xám). Mỗi item có nút xóa (trash icon)</t>
        </is>
      </c>
      <c r="N16" s="44" t="inlineStr">
        <is>
          <t>-</t>
        </is>
      </c>
      <c r="O16" s="44" t="inlineStr">
        <is>
          <t>-</t>
        </is>
      </c>
      <c r="P16" s="41" t="inlineStr">
        <is>
          <t>Critical</t>
        </is>
      </c>
      <c r="Q16" s="44" t="inlineStr"/>
      <c r="R16" s="41" t="inlineStr"/>
      <c r="S16" s="41" t="inlineStr"/>
      <c r="T16" s="41" t="inlineStr"/>
      <c r="U16" s="41" t="inlineStr"/>
      <c r="V16" s="44" t="inlineStr"/>
      <c r="W16" s="41" t="inlineStr"/>
      <c r="X16" s="44" t="inlineStr">
        <is>
          <t>UI rendering test</t>
        </is>
      </c>
    </row>
    <row r="17" ht="80" customHeight="1">
      <c r="A17" s="41" t="inlineStr">
        <is>
          <t>TC-014</t>
        </is>
      </c>
      <c r="B17" s="42" t="inlineStr">
        <is>
          <t>GREEN</t>
        </is>
      </c>
      <c r="C17" s="43" t="inlineStr">
        <is>
          <t>P0</t>
        </is>
      </c>
      <c r="D17" s="44" t="inlineStr">
        <is>
          <t>UI Phân công</t>
        </is>
      </c>
      <c r="E17" s="44" t="inlineStr">
        <is>
          <t>UI — nút Thêm disabled khi chưa chọn cán bộ</t>
        </is>
      </c>
      <c r="F17" s="41" t="inlineStr">
        <is>
          <t>REQ-PA-I</t>
        </is>
      </c>
      <c r="G17" s="41" t="inlineStr">
        <is>
          <t>UI / State</t>
        </is>
      </c>
      <c r="H17" s="41" t="inlineStr">
        <is>
          <t>Cao</t>
        </is>
      </c>
      <c r="I17" s="44" t="inlineStr">
        <is>
          <t>Petition load xong, không có assignment</t>
        </is>
      </c>
      <c r="J17" s="44" t="inlineStr">
        <is>
          <t>1. Mở edit page
2. Kiểm tra nút Thêm</t>
        </is>
      </c>
      <c r="K17" s="44" t="inlineStr">
        <is>
          <t>petition.new.D0</t>
        </is>
      </c>
      <c r="L17" s="44" t="inlineStr">
        <is>
          <t>petition.new.D0</t>
        </is>
      </c>
      <c r="M17" s="44" t="inlineStr">
        <is>
          <t>Nút 'Thêm' disabled (opacity-50), không thể click</t>
        </is>
      </c>
      <c r="N17" s="44" t="inlineStr">
        <is>
          <t>-</t>
        </is>
      </c>
      <c r="O17" s="44" t="inlineStr">
        <is>
          <t>-</t>
        </is>
      </c>
      <c r="P17" s="41" t="inlineStr">
        <is>
          <t>High</t>
        </is>
      </c>
      <c r="Q17" s="44" t="inlineStr"/>
      <c r="R17" s="41" t="inlineStr"/>
      <c r="S17" s="41" t="inlineStr"/>
      <c r="T17" s="41" t="inlineStr"/>
      <c r="U17" s="41" t="inlineStr"/>
      <c r="V17" s="44" t="inlineStr"/>
      <c r="W17" s="41" t="inlineStr"/>
      <c r="X17" s="44" t="inlineStr">
        <is>
          <t>disabled={!addUserId || isAdding}</t>
        </is>
      </c>
    </row>
    <row r="18" ht="80" customHeight="1">
      <c r="A18" s="41" t="inlineStr">
        <is>
          <t>TC-015</t>
        </is>
      </c>
      <c r="B18" s="42" t="inlineStr">
        <is>
          <t>GREEN</t>
        </is>
      </c>
      <c r="C18" s="43" t="inlineStr">
        <is>
          <t>P0</t>
        </is>
      </c>
      <c r="D18" s="44" t="inlineStr">
        <is>
          <t>UI Phân công</t>
        </is>
      </c>
      <c r="E18" s="44" t="inlineStr">
        <is>
          <t>UI — chọn cán bộ → nút Thêm enabled → click → assignment xuất hiện</t>
        </is>
      </c>
      <c r="F18" s="41" t="inlineStr">
        <is>
          <t>REQ-PA-I</t>
        </is>
      </c>
      <c r="G18" s="41" t="inlineStr">
        <is>
          <t>UI / End-to-end</t>
        </is>
      </c>
      <c r="H18" s="41" t="inlineStr">
        <is>
          <t>Cao</t>
        </is>
      </c>
      <c r="I18" s="44" t="inlineStr">
        <is>
          <t>Petition có 0 assignments, userOptions có 3 users</t>
        </is>
      </c>
      <c r="J18" s="44" t="inlineStr">
        <is>
          <t>1. Chọn user-3 trong dropdown
2. Để role SUPPORT mặc định
3. Click Thêm
4. Kiểm tra danh sách</t>
        </is>
      </c>
      <c r="K18" s="44" t="inlineStr">
        <is>
          <t>petition.new.D0</t>
        </is>
      </c>
      <c r="L18" s="44" t="inlineStr">
        <is>
          <t>petition.new.D0</t>
        </is>
      </c>
      <c r="M18" s="44" t="inlineStr">
        <is>
          <t>user-3 xuất hiện trong danh sách với badge 'Hỗ trợ'. Dropdown trở về placeholder '-- Chọn cán bộ --'</t>
        </is>
      </c>
      <c r="N18" s="44" t="inlineStr">
        <is>
          <t>POST /petitions/:id/assignments được gọi với {userId:'user-3', role:'SUPPORT'}</t>
        </is>
      </c>
      <c r="O18" s="44" t="inlineStr">
        <is>
          <t>1 row mới trong petition_assignments</t>
        </is>
      </c>
      <c r="P18" s="41" t="inlineStr">
        <is>
          <t>Critical</t>
        </is>
      </c>
      <c r="Q18" s="44" t="inlineStr"/>
      <c r="R18" s="41" t="inlineStr"/>
      <c r="S18" s="41" t="inlineStr"/>
      <c r="T18" s="41" t="inlineStr"/>
      <c r="U18" s="41" t="inlineStr"/>
      <c r="V18" s="44" t="inlineStr"/>
      <c r="W18" s="41" t="inlineStr"/>
      <c r="X18" s="44" t="inlineStr">
        <is>
          <t>Full add flow E2E</t>
        </is>
      </c>
    </row>
    <row r="19" ht="80" customHeight="1">
      <c r="A19" s="41" t="inlineStr">
        <is>
          <t>TC-016</t>
        </is>
      </c>
      <c r="B19" s="42" t="inlineStr">
        <is>
          <t>GREEN</t>
        </is>
      </c>
      <c r="C19" s="45" t="inlineStr">
        <is>
          <t>P1</t>
        </is>
      </c>
      <c r="D19" s="44" t="inlineStr">
        <is>
          <t>UI Phân công</t>
        </is>
      </c>
      <c r="E19" s="44" t="inlineStr">
        <is>
          <t>UI — chọn role LEAD → badge 'Chủ trì' màu xanh</t>
        </is>
      </c>
      <c r="F19" s="41" t="inlineStr">
        <is>
          <t>REQ-PA-I</t>
        </is>
      </c>
      <c r="G19" s="41" t="inlineStr">
        <is>
          <t>UI / State</t>
        </is>
      </c>
      <c r="H19" s="41" t="inlineStr">
        <is>
          <t>TB</t>
        </is>
      </c>
      <c r="I19" s="44" t="inlineStr">
        <is>
          <t>Petition có 0 assignments</t>
        </is>
      </c>
      <c r="J19" s="44" t="inlineStr">
        <is>
          <t>1. Chọn user-3
2. Đổi vai trò thành 'Chủ trì'
3. Click Thêm</t>
        </is>
      </c>
      <c r="K19" s="44" t="inlineStr">
        <is>
          <t>petition.new.D0</t>
        </is>
      </c>
      <c r="L19" s="44" t="inlineStr">
        <is>
          <t>petition.new.D0</t>
        </is>
      </c>
      <c r="M19" s="44" t="inlineStr">
        <is>
          <t>Badge hiển thị 'Chủ trì' với class bg-blue-100 text-blue-700</t>
        </is>
      </c>
      <c r="N19" s="44" t="inlineStr">
        <is>
          <t>POST với role='LEAD'</t>
        </is>
      </c>
      <c r="O19" s="44" t="inlineStr">
        <is>
          <t>-</t>
        </is>
      </c>
      <c r="P19" s="41" t="inlineStr">
        <is>
          <t>Medium</t>
        </is>
      </c>
      <c r="Q19" s="44" t="inlineStr"/>
      <c r="R19" s="41" t="inlineStr"/>
      <c r="S19" s="41" t="inlineStr"/>
      <c r="T19" s="41" t="inlineStr"/>
      <c r="U19" s="41" t="inlineStr"/>
      <c r="V19" s="44" t="inlineStr"/>
      <c r="W19" s="41" t="inlineStr"/>
      <c r="X19" s="44" t="inlineStr">
        <is>
          <t>LEAD role badge styling</t>
        </is>
      </c>
    </row>
    <row r="20" ht="80" customHeight="1">
      <c r="A20" s="41" t="inlineStr">
        <is>
          <t>TC-017</t>
        </is>
      </c>
      <c r="B20" s="42" t="inlineStr">
        <is>
          <t>GREEN</t>
        </is>
      </c>
      <c r="C20" s="43" t="inlineStr">
        <is>
          <t>P0</t>
        </is>
      </c>
      <c r="D20" s="44" t="inlineStr">
        <is>
          <t>UI Phân công</t>
        </is>
      </c>
      <c r="E20" s="44" t="inlineStr">
        <is>
          <t>UI — click xóa → assignment biến mất, user về dropdown</t>
        </is>
      </c>
      <c r="F20" s="41" t="inlineStr">
        <is>
          <t>REQ-PA-I</t>
        </is>
      </c>
      <c r="G20" s="41" t="inlineStr">
        <is>
          <t>UI / End-to-end</t>
        </is>
      </c>
      <c r="H20" s="41" t="inlineStr">
        <is>
          <t>Cao</t>
        </is>
      </c>
      <c r="I20" s="44" t="inlineStr">
        <is>
          <t>Petition có user-1 assigned</t>
        </is>
      </c>
      <c r="J20" s="44" t="inlineStr">
        <is>
          <t>1. Click nút trash của user-1
2. Kiểm tra list + dropdown</t>
        </is>
      </c>
      <c r="K20" s="44" t="inlineStr">
        <is>
          <t>petition.with_1_assignment.D7</t>
        </is>
      </c>
      <c r="L20" s="44" t="inlineStr">
        <is>
          <t>petition.with_1_assignment.D7</t>
        </is>
      </c>
      <c r="M20" s="44" t="inlineStr">
        <is>
          <t>user-1 biến mất khỏi list. Dropdown cán bộ lại có user-1 làm option</t>
        </is>
      </c>
      <c r="N20" s="44" t="inlineStr">
        <is>
          <t>DELETE /petitions/:id/assignments/user-1</t>
        </is>
      </c>
      <c r="O20" s="44" t="inlineStr">
        <is>
          <t>Row bị xóa khỏi DB</t>
        </is>
      </c>
      <c r="P20" s="41" t="inlineStr">
        <is>
          <t>Critical</t>
        </is>
      </c>
      <c r="Q20" s="44" t="inlineStr"/>
      <c r="R20" s="41" t="inlineStr"/>
      <c r="S20" s="41" t="inlineStr"/>
      <c r="T20" s="41" t="inlineStr"/>
      <c r="U20" s="41" t="inlineStr"/>
      <c r="V20" s="44" t="inlineStr"/>
      <c r="W20" s="41" t="inlineStr"/>
      <c r="X20" s="44" t="inlineStr">
        <is>
          <t>Remove flow + dropdown sync</t>
        </is>
      </c>
    </row>
    <row r="21" ht="80" customHeight="1">
      <c r="A21" s="41" t="inlineStr">
        <is>
          <t>TC-018</t>
        </is>
      </c>
      <c r="B21" s="42" t="inlineStr">
        <is>
          <t>GREEN</t>
        </is>
      </c>
      <c r="C21" s="43" t="inlineStr">
        <is>
          <t>P0</t>
        </is>
      </c>
      <c r="D21" s="44" t="inlineStr">
        <is>
          <t>UI Phân công</t>
        </is>
      </c>
      <c r="E21" s="44" t="inlineStr">
        <is>
          <t>UI — user đã assigned không hiển thị trong dropdown Cán bộ</t>
        </is>
      </c>
      <c r="F21" s="41" t="inlineStr">
        <is>
          <t>REQ-PA-I</t>
        </is>
      </c>
      <c r="G21" s="41" t="inlineStr">
        <is>
          <t>UI / Filter</t>
        </is>
      </c>
      <c r="H21" s="41" t="inlineStr">
        <is>
          <t>Cao</t>
        </is>
      </c>
      <c r="I21" s="44" t="inlineStr">
        <is>
          <t>Petition có user-1 và user-2 assigned trong 3 users tổng</t>
        </is>
      </c>
      <c r="J21" s="44" t="inlineStr">
        <is>
          <t>1. Mở edit page
2. Kiểm tra options của select Cán bộ</t>
        </is>
      </c>
      <c r="K21" s="44" t="inlineStr">
        <is>
          <t>petition.with_2_assignments.D7</t>
        </is>
      </c>
      <c r="L21" s="44" t="inlineStr">
        <is>
          <t>petition.with_2_assignments.D7</t>
        </is>
      </c>
      <c r="M21" s="44" t="inlineStr">
        <is>
          <t>Dropdown chỉ có user-3. user-1 và user-2 không xuất hiện</t>
        </is>
      </c>
      <c r="N21" s="44" t="inlineStr">
        <is>
          <t>-</t>
        </is>
      </c>
      <c r="O21" s="44" t="inlineStr">
        <is>
          <t>-</t>
        </is>
      </c>
      <c r="P21" s="41" t="inlineStr">
        <is>
          <t>Critical</t>
        </is>
      </c>
      <c r="Q21" s="44" t="inlineStr"/>
      <c r="R21" s="41" t="inlineStr"/>
      <c r="S21" s="41" t="inlineStr"/>
      <c r="T21" s="41" t="inlineStr"/>
      <c r="U21" s="41" t="inlineStr"/>
      <c r="V21" s="44" t="inlineStr"/>
      <c r="W21" s="41" t="inlineStr"/>
      <c r="X21" s="44" t="inlineStr">
        <is>
          <t>availableUsers = userOptions.filter(u =&gt; !assignments.some(a =&gt; a.userId===u.id))</t>
        </is>
      </c>
    </row>
    <row r="22" ht="80" customHeight="1">
      <c r="A22" s="41" t="inlineStr">
        <is>
          <t>TC-019</t>
        </is>
      </c>
      <c r="B22" s="46" t="inlineStr">
        <is>
          <t>RED</t>
        </is>
      </c>
      <c r="C22" s="43" t="inlineStr">
        <is>
          <t>P0</t>
        </is>
      </c>
      <c r="D22" s="44" t="inlineStr">
        <is>
          <t>GET /assignments</t>
        </is>
      </c>
      <c r="E22" s="44" t="inlineStr">
        <is>
          <t>GET /assignments — không có JWT → 401</t>
        </is>
      </c>
      <c r="F22" s="41" t="inlineStr">
        <is>
          <t>REQ-PA-AUTH</t>
        </is>
      </c>
      <c r="G22" s="41" t="inlineStr">
        <is>
          <t>Security / Auth</t>
        </is>
      </c>
      <c r="H22" s="41" t="inlineStr">
        <is>
          <t>Cao</t>
        </is>
      </c>
      <c r="I22" s="44" t="inlineStr">
        <is>
          <t>-</t>
        </is>
      </c>
      <c r="J22" s="44" t="inlineStr">
        <is>
          <t>GET /api/v1/petitions/:id/assignments không có Authorization header</t>
        </is>
      </c>
      <c r="K22" s="44" t="inlineStr">
        <is>
          <t>-</t>
        </is>
      </c>
      <c r="L22" s="44" t="inlineStr">
        <is>
          <t>petition.any.D7</t>
        </is>
      </c>
      <c r="M22" s="44" t="inlineStr">
        <is>
          <t>-</t>
        </is>
      </c>
      <c r="N22" s="44" t="inlineStr">
        <is>
          <t>HTTP 401, message='Unauthorized'</t>
        </is>
      </c>
      <c r="O22" s="44" t="inlineStr">
        <is>
          <t>-</t>
        </is>
      </c>
      <c r="P22" s="41" t="inlineStr">
        <is>
          <t>Critical</t>
        </is>
      </c>
      <c r="Q22" s="44" t="inlineStr"/>
      <c r="R22" s="41" t="inlineStr"/>
      <c r="S22" s="41" t="inlineStr"/>
      <c r="T22" s="41" t="inlineStr"/>
      <c r="U22" s="41" t="inlineStr"/>
      <c r="V22" s="44" t="inlineStr"/>
      <c r="W22" s="41" t="inlineStr"/>
      <c r="X22" s="44" t="inlineStr">
        <is>
          <t>Bắt buộc authenticate</t>
        </is>
      </c>
    </row>
    <row r="23" ht="80" customHeight="1">
      <c r="A23" s="41" t="inlineStr">
        <is>
          <t>TC-020</t>
        </is>
      </c>
      <c r="B23" s="46" t="inlineStr">
        <is>
          <t>RED</t>
        </is>
      </c>
      <c r="C23" s="43" t="inlineStr">
        <is>
          <t>P0</t>
        </is>
      </c>
      <c r="D23" s="44" t="inlineStr">
        <is>
          <t>POST /assignments</t>
        </is>
      </c>
      <c r="E23" s="44" t="inlineStr">
        <is>
          <t>POST /assignments — không có JWT → 401</t>
        </is>
      </c>
      <c r="F23" s="41" t="inlineStr">
        <is>
          <t>REQ-PA-AUTH</t>
        </is>
      </c>
      <c r="G23" s="41" t="inlineStr">
        <is>
          <t>Security / Auth</t>
        </is>
      </c>
      <c r="H23" s="41" t="inlineStr">
        <is>
          <t>Cao</t>
        </is>
      </c>
      <c r="I23" s="44" t="inlineStr">
        <is>
          <t>-</t>
        </is>
      </c>
      <c r="J23" s="44" t="inlineStr">
        <is>
          <t>POST /assignments body {userId, role} không có JWT</t>
        </is>
      </c>
      <c r="K23" s="44" t="inlineStr">
        <is>
          <t>-</t>
        </is>
      </c>
      <c r="L23" s="44" t="inlineStr">
        <is>
          <t>petition.any.D7</t>
        </is>
      </c>
      <c r="M23" s="44" t="inlineStr">
        <is>
          <t>-</t>
        </is>
      </c>
      <c r="N23" s="44" t="inlineStr">
        <is>
          <t>HTTP 401</t>
        </is>
      </c>
      <c r="O23" s="44" t="inlineStr">
        <is>
          <t>-</t>
        </is>
      </c>
      <c r="P23" s="41" t="inlineStr">
        <is>
          <t>Critical</t>
        </is>
      </c>
      <c r="Q23" s="44" t="inlineStr"/>
      <c r="R23" s="41" t="inlineStr"/>
      <c r="S23" s="41" t="inlineStr"/>
      <c r="T23" s="41" t="inlineStr"/>
      <c r="U23" s="41" t="inlineStr"/>
      <c r="V23" s="44" t="inlineStr"/>
      <c r="W23" s="41" t="inlineStr"/>
      <c r="X23" s="44" t="inlineStr">
        <is>
          <t>Auth guard</t>
        </is>
      </c>
    </row>
    <row r="24" ht="80" customHeight="1">
      <c r="A24" s="41" t="inlineStr">
        <is>
          <t>TC-021</t>
        </is>
      </c>
      <c r="B24" s="46" t="inlineStr">
        <is>
          <t>RED</t>
        </is>
      </c>
      <c r="C24" s="43" t="inlineStr">
        <is>
          <t>P0</t>
        </is>
      </c>
      <c r="D24" s="44" t="inlineStr">
        <is>
          <t>DELETE /assignments</t>
        </is>
      </c>
      <c r="E24" s="44" t="inlineStr">
        <is>
          <t>DELETE /assignments — không có JWT → 401</t>
        </is>
      </c>
      <c r="F24" s="41" t="inlineStr">
        <is>
          <t>REQ-PA-AUTH</t>
        </is>
      </c>
      <c r="G24" s="41" t="inlineStr">
        <is>
          <t>Security / Auth</t>
        </is>
      </c>
      <c r="H24" s="41" t="inlineStr">
        <is>
          <t>Cao</t>
        </is>
      </c>
      <c r="I24" s="44" t="inlineStr">
        <is>
          <t>-</t>
        </is>
      </c>
      <c r="J24" s="44" t="inlineStr">
        <is>
          <t>DELETE /assignments/:userId không có JWT</t>
        </is>
      </c>
      <c r="K24" s="44" t="inlineStr">
        <is>
          <t>-</t>
        </is>
      </c>
      <c r="L24" s="44" t="inlineStr">
        <is>
          <t>petition.with_1_assignment.D7</t>
        </is>
      </c>
      <c r="M24" s="44" t="inlineStr">
        <is>
          <t>-</t>
        </is>
      </c>
      <c r="N24" s="44" t="inlineStr">
        <is>
          <t>HTTP 401</t>
        </is>
      </c>
      <c r="O24" s="44" t="inlineStr">
        <is>
          <t>Không có row bị xóa</t>
        </is>
      </c>
      <c r="P24" s="41" t="inlineStr">
        <is>
          <t>Critical</t>
        </is>
      </c>
      <c r="Q24" s="44" t="inlineStr"/>
      <c r="R24" s="41" t="inlineStr"/>
      <c r="S24" s="41" t="inlineStr"/>
      <c r="T24" s="41" t="inlineStr"/>
      <c r="U24" s="41" t="inlineStr"/>
      <c r="V24" s="44" t="inlineStr"/>
      <c r="W24" s="41" t="inlineStr"/>
      <c r="X24" s="44" t="inlineStr">
        <is>
          <t>Auth guard</t>
        </is>
      </c>
    </row>
    <row r="25" ht="80" customHeight="1">
      <c r="A25" s="41" t="inlineStr">
        <is>
          <t>TC-022</t>
        </is>
      </c>
      <c r="B25" s="46" t="inlineStr">
        <is>
          <t>RED</t>
        </is>
      </c>
      <c r="C25" s="43" t="inlineStr">
        <is>
          <t>P0</t>
        </is>
      </c>
      <c r="D25" s="44" t="inlineStr">
        <is>
          <t>PATCH /assign</t>
        </is>
      </c>
      <c r="E25" s="44" t="inlineStr">
        <is>
          <t>PATCH /assign — không có JWT → 401</t>
        </is>
      </c>
      <c r="F25" s="41" t="inlineStr">
        <is>
          <t>REQ-PA-AUTH</t>
        </is>
      </c>
      <c r="G25" s="41" t="inlineStr">
        <is>
          <t>Security / Auth</t>
        </is>
      </c>
      <c r="H25" s="41" t="inlineStr">
        <is>
          <t>Cao</t>
        </is>
      </c>
      <c r="I25" s="44" t="inlineStr">
        <is>
          <t>-</t>
        </is>
      </c>
      <c r="J25" s="44" t="inlineStr">
        <is>
          <t>PATCH /assign body {assignedTeamId} không có JWT</t>
        </is>
      </c>
      <c r="K25" s="44" t="inlineStr">
        <is>
          <t>-</t>
        </is>
      </c>
      <c r="L25" s="44" t="inlineStr">
        <is>
          <t>petition.unassigned.D0</t>
        </is>
      </c>
      <c r="M25" s="44" t="inlineStr">
        <is>
          <t>-</t>
        </is>
      </c>
      <c r="N25" s="44" t="inlineStr">
        <is>
          <t>HTTP 401</t>
        </is>
      </c>
      <c r="O25" s="44" t="inlineStr">
        <is>
          <t>-</t>
        </is>
      </c>
      <c r="P25" s="41" t="inlineStr">
        <is>
          <t>Critical</t>
        </is>
      </c>
      <c r="Q25" s="44" t="inlineStr"/>
      <c r="R25" s="41" t="inlineStr"/>
      <c r="S25" s="41" t="inlineStr"/>
      <c r="T25" s="41" t="inlineStr"/>
      <c r="U25" s="41" t="inlineStr"/>
      <c r="V25" s="44" t="inlineStr"/>
      <c r="W25" s="41" t="inlineStr"/>
      <c r="X25" s="44" t="inlineStr">
        <is>
          <t>Auth guard DispatchGuard</t>
        </is>
      </c>
    </row>
    <row r="26" ht="80" customHeight="1">
      <c r="A26" s="41" t="inlineStr">
        <is>
          <t>TC-023</t>
        </is>
      </c>
      <c r="B26" s="46" t="inlineStr">
        <is>
          <t>RED</t>
        </is>
      </c>
      <c r="C26" s="43" t="inlineStr">
        <is>
          <t>P0</t>
        </is>
      </c>
      <c r="D26" s="44" t="inlineStr">
        <is>
          <t>POST /assignments</t>
        </is>
      </c>
      <c r="E26" s="44" t="inlineStr">
        <is>
          <t>POST /assignments — user chỉ có quyền read Petition (không có edit) → 403</t>
        </is>
      </c>
      <c r="F26" s="41" t="inlineStr">
        <is>
          <t>REQ-PA-AUTH</t>
        </is>
      </c>
      <c r="G26" s="41" t="inlineStr">
        <is>
          <t>Authorization / RBAC</t>
        </is>
      </c>
      <c r="H26" s="41" t="inlineStr">
        <is>
          <t>Cao</t>
        </is>
      </c>
      <c r="I26" s="44" t="inlineStr">
        <is>
          <t>Đăng nhập với tài khoản viewer (chỉ read Petition)</t>
        </is>
      </c>
      <c r="J26" s="44" t="inlineStr">
        <is>
          <t>POST /assignments với JWT viewer</t>
        </is>
      </c>
      <c r="K26" s="44" t="inlineStr">
        <is>
          <t>account.viewer.primary, petition.any.D7</t>
        </is>
      </c>
      <c r="L26" s="44" t="inlineStr">
        <is>
          <t>petition.any.D7</t>
        </is>
      </c>
      <c r="M26" s="44" t="inlineStr">
        <is>
          <t>-</t>
        </is>
      </c>
      <c r="N26" s="44" t="inlineStr">
        <is>
          <t>HTTP 403, message='Forbidden resource'</t>
        </is>
      </c>
      <c r="O26" s="44" t="inlineStr">
        <is>
          <t>Không có row mới tạo</t>
        </is>
      </c>
      <c r="P26" s="41" t="inlineStr">
        <is>
          <t>Critical</t>
        </is>
      </c>
      <c r="Q26" s="44" t="inlineStr"/>
      <c r="R26" s="41" t="inlineStr"/>
      <c r="S26" s="41" t="inlineStr"/>
      <c r="T26" s="41" t="inlineStr"/>
      <c r="U26" s="41" t="inlineStr"/>
      <c r="V26" s="44" t="inlineStr"/>
      <c r="W26" s="41" t="inlineStr"/>
      <c r="X26" s="44" t="inlineStr">
        <is>
          <t>RequirePermissions action:edit subject:Petition</t>
        </is>
      </c>
    </row>
    <row r="27" ht="80" customHeight="1">
      <c r="A27" s="41" t="inlineStr">
        <is>
          <t>TC-024</t>
        </is>
      </c>
      <c r="B27" s="46" t="inlineStr">
        <is>
          <t>RED</t>
        </is>
      </c>
      <c r="C27" s="43" t="inlineStr">
        <is>
          <t>P0</t>
        </is>
      </c>
      <c r="D27" s="44" t="inlineStr">
        <is>
          <t>DELETE /assignments</t>
        </is>
      </c>
      <c r="E27" s="44" t="inlineStr">
        <is>
          <t>DELETE /assignments — user chỉ có quyền read → 403</t>
        </is>
      </c>
      <c r="F27" s="41" t="inlineStr">
        <is>
          <t>REQ-PA-AUTH</t>
        </is>
      </c>
      <c r="G27" s="41" t="inlineStr">
        <is>
          <t>Authorization / RBAC</t>
        </is>
      </c>
      <c r="H27" s="41" t="inlineStr">
        <is>
          <t>Cao</t>
        </is>
      </c>
      <c r="I27" s="44" t="inlineStr">
        <is>
          <t>Đăng nhập với account viewer</t>
        </is>
      </c>
      <c r="J27" s="44" t="inlineStr">
        <is>
          <t>DELETE /assignments/:userId với JWT viewer</t>
        </is>
      </c>
      <c r="K27" s="44" t="inlineStr">
        <is>
          <t>account.viewer.primary, petition.with_1_assignment.D7</t>
        </is>
      </c>
      <c r="L27" s="44" t="inlineStr">
        <is>
          <t>petition.with_1_assignment.D7</t>
        </is>
      </c>
      <c r="M27" s="44" t="inlineStr">
        <is>
          <t>-</t>
        </is>
      </c>
      <c r="N27" s="44" t="inlineStr">
        <is>
          <t>HTTP 403</t>
        </is>
      </c>
      <c r="O27" s="44" t="inlineStr">
        <is>
          <t>Không bị xóa</t>
        </is>
      </c>
      <c r="P27" s="41" t="inlineStr">
        <is>
          <t>Critical</t>
        </is>
      </c>
      <c r="Q27" s="44" t="inlineStr"/>
      <c r="R27" s="41" t="inlineStr"/>
      <c r="S27" s="41" t="inlineStr"/>
      <c r="T27" s="41" t="inlineStr"/>
      <c r="U27" s="41" t="inlineStr"/>
      <c r="V27" s="44" t="inlineStr"/>
      <c r="W27" s="41" t="inlineStr"/>
      <c r="X27" s="44" t="inlineStr">
        <is>
          <t>edit permission required</t>
        </is>
      </c>
    </row>
    <row r="28" ht="80" customHeight="1">
      <c r="A28" s="41" t="inlineStr">
        <is>
          <t>TC-025</t>
        </is>
      </c>
      <c r="B28" s="46" t="inlineStr">
        <is>
          <t>RED</t>
        </is>
      </c>
      <c r="C28" s="43" t="inlineStr">
        <is>
          <t>P0</t>
        </is>
      </c>
      <c r="D28" s="44" t="inlineStr">
        <is>
          <t>PATCH /assign</t>
        </is>
      </c>
      <c r="E28" s="44" t="inlineStr">
        <is>
          <t>PATCH /assign — user không có DispatchGuard role → 403</t>
        </is>
      </c>
      <c r="F28" s="41" t="inlineStr">
        <is>
          <t>REQ-PA-AUTH</t>
        </is>
      </c>
      <c r="G28" s="41" t="inlineStr">
        <is>
          <t>Authorization / RBAC</t>
        </is>
      </c>
      <c r="H28" s="41" t="inlineStr">
        <is>
          <t>Cao</t>
        </is>
      </c>
      <c r="I28" s="44" t="inlineStr">
        <is>
          <t>Đăng nhập với officer (không có DISPATCH permission)</t>
        </is>
      </c>
      <c r="J28" s="44" t="inlineStr">
        <is>
          <t>PATCH /assign với JWT officer thường</t>
        </is>
      </c>
      <c r="K28" s="44" t="inlineStr">
        <is>
          <t>account.officer.primary, petition.unassigned.D0</t>
        </is>
      </c>
      <c r="L28" s="44" t="inlineStr">
        <is>
          <t>petition.unassigned.D0</t>
        </is>
      </c>
      <c r="M28" s="44" t="inlineStr">
        <is>
          <t>-</t>
        </is>
      </c>
      <c r="N28" s="44" t="inlineStr">
        <is>
          <t>HTTP 403</t>
        </is>
      </c>
      <c r="O28" s="44" t="inlineStr">
        <is>
          <t>petition không thay đổi</t>
        </is>
      </c>
      <c r="P28" s="41" t="inlineStr">
        <is>
          <t>Critical</t>
        </is>
      </c>
      <c r="Q28" s="44" t="inlineStr"/>
      <c r="R28" s="41" t="inlineStr"/>
      <c r="S28" s="41" t="inlineStr"/>
      <c r="T28" s="41" t="inlineStr"/>
      <c r="U28" s="41" t="inlineStr"/>
      <c r="V28" s="44" t="inlineStr"/>
      <c r="W28" s="41" t="inlineStr"/>
      <c r="X28" s="44" t="inlineStr">
        <is>
          <t>DispatchGuard chỉ ADMIN/DISPATCHER</t>
        </is>
      </c>
    </row>
    <row r="29" ht="80" customHeight="1">
      <c r="A29" s="41" t="inlineStr">
        <is>
          <t>TC-026</t>
        </is>
      </c>
      <c r="B29" s="46" t="inlineStr">
        <is>
          <t>RED</t>
        </is>
      </c>
      <c r="C29" s="43" t="inlineStr">
        <is>
          <t>P0</t>
        </is>
      </c>
      <c r="D29" s="44" t="inlineStr">
        <is>
          <t>GET /assignments</t>
        </is>
      </c>
      <c r="E29" s="44" t="inlineStr">
        <is>
          <t>GET /assignments — petitionId không tồn tại → 404</t>
        </is>
      </c>
      <c r="F29" s="41" t="inlineStr">
        <is>
          <t>REQ-PA-NOTFOUND</t>
        </is>
      </c>
      <c r="G29" s="41" t="inlineStr">
        <is>
          <t>Negative / Not found</t>
        </is>
      </c>
      <c r="H29" s="41" t="inlineStr">
        <is>
          <t>Cao</t>
        </is>
      </c>
      <c r="I29" s="44" t="inlineStr">
        <is>
          <t>-</t>
        </is>
      </c>
      <c r="J29" s="44" t="inlineStr">
        <is>
          <t>GET /api/v1/petitions/non-existent-id/assignments</t>
        </is>
      </c>
      <c r="K29" s="44" t="inlineStr">
        <is>
          <t>account.officer.primary</t>
        </is>
      </c>
      <c r="L29" s="44" t="inlineStr">
        <is>
          <t>account.officer.primary</t>
        </is>
      </c>
      <c r="M29" s="44" t="inlineStr">
        <is>
          <t>-</t>
        </is>
      </c>
      <c r="N29" s="44" t="inlineStr">
        <is>
          <t>HTTP 404, message contains 'Đơn thư không tồn tại'</t>
        </is>
      </c>
      <c r="O29" s="44" t="inlineStr">
        <is>
          <t>-</t>
        </is>
      </c>
      <c r="P29" s="41" t="inlineStr">
        <is>
          <t>High</t>
        </is>
      </c>
      <c r="Q29" s="44" t="inlineStr"/>
      <c r="R29" s="41" t="inlineStr"/>
      <c r="S29" s="41" t="inlineStr"/>
      <c r="T29" s="41" t="inlineStr"/>
      <c r="U29" s="41" t="inlineStr"/>
      <c r="V29" s="44" t="inlineStr"/>
      <c r="W29" s="41" t="inlineStr"/>
      <c r="X29" s="44" t="inlineStr">
        <is>
          <t>Service: findFirst({id, deletedAt:null})</t>
        </is>
      </c>
    </row>
    <row r="30" ht="80" customHeight="1">
      <c r="A30" s="41" t="inlineStr">
        <is>
          <t>TC-027</t>
        </is>
      </c>
      <c r="B30" s="46" t="inlineStr">
        <is>
          <t>RED</t>
        </is>
      </c>
      <c r="C30" s="43" t="inlineStr">
        <is>
          <t>P0</t>
        </is>
      </c>
      <c r="D30" s="44" t="inlineStr">
        <is>
          <t>POST /assignments</t>
        </is>
      </c>
      <c r="E30" s="44" t="inlineStr">
        <is>
          <t>POST /assignments — petitionId không tồn tại → 404</t>
        </is>
      </c>
      <c r="F30" s="41" t="inlineStr">
        <is>
          <t>REQ-PA-NOTFOUND</t>
        </is>
      </c>
      <c r="G30" s="41" t="inlineStr">
        <is>
          <t>Negative / Not found</t>
        </is>
      </c>
      <c r="H30" s="41" t="inlineStr">
        <is>
          <t>Cao</t>
        </is>
      </c>
      <c r="I30" s="44" t="inlineStr">
        <is>
          <t>-</t>
        </is>
      </c>
      <c r="J30" s="44" t="inlineStr">
        <is>
          <t>POST /api/v1/petitions/non-existent/assignments {userId:'user-1', role:'SUPPORT'}</t>
        </is>
      </c>
      <c r="K30" s="44" t="inlineStr">
        <is>
          <t>account.officer.primary</t>
        </is>
      </c>
      <c r="L30" s="44" t="inlineStr">
        <is>
          <t>account.officer.primary</t>
        </is>
      </c>
      <c r="M30" s="44" t="inlineStr">
        <is>
          <t>-</t>
        </is>
      </c>
      <c r="N30" s="44" t="inlineStr">
        <is>
          <t>HTTP 404, message='Đơn thư không tồn tại'</t>
        </is>
      </c>
      <c r="O30" s="44" t="inlineStr">
        <is>
          <t>Không tạo row mới</t>
        </is>
      </c>
      <c r="P30" s="41" t="inlineStr">
        <is>
          <t>High</t>
        </is>
      </c>
      <c r="Q30" s="44" t="inlineStr"/>
      <c r="R30" s="41" t="inlineStr"/>
      <c r="S30" s="41" t="inlineStr"/>
      <c r="T30" s="41" t="inlineStr"/>
      <c r="U30" s="41" t="inlineStr"/>
      <c r="V30" s="44" t="inlineStr"/>
      <c r="W30" s="41" t="inlineStr"/>
      <c r="X30" s="44" t="inlineStr">
        <is>
          <t>addAssignment: petition check first</t>
        </is>
      </c>
    </row>
    <row r="31" ht="80" customHeight="1">
      <c r="A31" s="41" t="inlineStr">
        <is>
          <t>TC-028</t>
        </is>
      </c>
      <c r="B31" s="46" t="inlineStr">
        <is>
          <t>RED</t>
        </is>
      </c>
      <c r="C31" s="43" t="inlineStr">
        <is>
          <t>P0</t>
        </is>
      </c>
      <c r="D31" s="44" t="inlineStr">
        <is>
          <t>DELETE /assignments</t>
        </is>
      </c>
      <c r="E31" s="44" t="inlineStr">
        <is>
          <t>DELETE /assignments — petitionId không tồn tại → 404</t>
        </is>
      </c>
      <c r="F31" s="41" t="inlineStr">
        <is>
          <t>REQ-PA-NOTFOUND</t>
        </is>
      </c>
      <c r="G31" s="41" t="inlineStr">
        <is>
          <t>Negative / Not found</t>
        </is>
      </c>
      <c r="H31" s="41" t="inlineStr">
        <is>
          <t>Cao</t>
        </is>
      </c>
      <c r="I31" s="44" t="inlineStr">
        <is>
          <t>-</t>
        </is>
      </c>
      <c r="J31" s="44" t="inlineStr">
        <is>
          <t>DELETE /api/v1/petitions/non-existent/assignments/user-1</t>
        </is>
      </c>
      <c r="K31" s="44" t="inlineStr">
        <is>
          <t>account.officer.primary</t>
        </is>
      </c>
      <c r="L31" s="44" t="inlineStr">
        <is>
          <t>account.officer.primary</t>
        </is>
      </c>
      <c r="M31" s="44" t="inlineStr">
        <is>
          <t>-</t>
        </is>
      </c>
      <c r="N31" s="44" t="inlineStr">
        <is>
          <t>HTTP 404</t>
        </is>
      </c>
      <c r="O31" s="44" t="inlineStr">
        <is>
          <t>Không có gì bị xóa</t>
        </is>
      </c>
      <c r="P31" s="41" t="inlineStr">
        <is>
          <t>High</t>
        </is>
      </c>
      <c r="Q31" s="44" t="inlineStr"/>
      <c r="R31" s="41" t="inlineStr"/>
      <c r="S31" s="41" t="inlineStr"/>
      <c r="T31" s="41" t="inlineStr"/>
      <c r="U31" s="41" t="inlineStr"/>
      <c r="V31" s="44" t="inlineStr"/>
      <c r="W31" s="41" t="inlineStr"/>
      <c r="X31" s="44" t="inlineStr">
        <is>
          <t>removeAssignment: petition check</t>
        </is>
      </c>
    </row>
    <row r="32" ht="80" customHeight="1">
      <c r="A32" s="41" t="inlineStr">
        <is>
          <t>TC-029</t>
        </is>
      </c>
      <c r="B32" s="46" t="inlineStr">
        <is>
          <t>RED</t>
        </is>
      </c>
      <c r="C32" s="43" t="inlineStr">
        <is>
          <t>P0</t>
        </is>
      </c>
      <c r="D32" s="44" t="inlineStr">
        <is>
          <t>DELETE /assignments</t>
        </is>
      </c>
      <c r="E32" s="44" t="inlineStr">
        <is>
          <t>DELETE /assignments — userId không có assignment → 404</t>
        </is>
      </c>
      <c r="F32" s="41" t="inlineStr">
        <is>
          <t>REQ-PA-NOTFOUND</t>
        </is>
      </c>
      <c r="G32" s="41" t="inlineStr">
        <is>
          <t>Negative / Not found</t>
        </is>
      </c>
      <c r="H32" s="41" t="inlineStr">
        <is>
          <t>Cao</t>
        </is>
      </c>
      <c r="I32" s="44" t="inlineStr">
        <is>
          <t>Petition tồn tại, user-99 không được assigned</t>
        </is>
      </c>
      <c r="J32" s="44" t="inlineStr">
        <is>
          <t>DELETE /api/v1/petitions/:id/assignments/user-99</t>
        </is>
      </c>
      <c r="K32" s="44" t="inlineStr">
        <is>
          <t>petition.with_1_assignment.D7</t>
        </is>
      </c>
      <c r="L32" s="44" t="inlineStr">
        <is>
          <t>petition.with_1_assignment.D7</t>
        </is>
      </c>
      <c r="M32" s="44" t="inlineStr">
        <is>
          <t>-</t>
        </is>
      </c>
      <c r="N32" s="44" t="inlineStr">
        <is>
          <t>HTTP 404, message='Cán bộ chưa được phân công cho đơn thư này'</t>
        </is>
      </c>
      <c r="O32" s="44" t="inlineStr">
        <is>
          <t>-</t>
        </is>
      </c>
      <c r="P32" s="41" t="inlineStr">
        <is>
          <t>High</t>
        </is>
      </c>
      <c r="Q32" s="44" t="inlineStr"/>
      <c r="R32" s="41" t="inlineStr"/>
      <c r="S32" s="41" t="inlineStr"/>
      <c r="T32" s="41" t="inlineStr"/>
      <c r="U32" s="41" t="inlineStr"/>
      <c r="V32" s="44" t="inlineStr"/>
      <c r="W32" s="41" t="inlineStr"/>
      <c r="X32" s="44" t="inlineStr">
        <is>
          <t>removeAssignment: assignment findUnique</t>
        </is>
      </c>
    </row>
    <row r="33" ht="80" customHeight="1">
      <c r="A33" s="41" t="inlineStr">
        <is>
          <t>TC-030</t>
        </is>
      </c>
      <c r="B33" s="46" t="inlineStr">
        <is>
          <t>RED</t>
        </is>
      </c>
      <c r="C33" s="43" t="inlineStr">
        <is>
          <t>P0</t>
        </is>
      </c>
      <c r="D33" s="44" t="inlineStr">
        <is>
          <t>POST /assignments</t>
        </is>
      </c>
      <c r="E33" s="44" t="inlineStr">
        <is>
          <t>POST /assignments — JWT hết hạn → 401</t>
        </is>
      </c>
      <c r="F33" s="41" t="inlineStr">
        <is>
          <t>REQ-PA-AUTH</t>
        </is>
      </c>
      <c r="G33" s="41" t="inlineStr">
        <is>
          <t>Security / Session</t>
        </is>
      </c>
      <c r="H33" s="41" t="inlineStr">
        <is>
          <t>Cao</t>
        </is>
      </c>
      <c r="I33" s="44" t="inlineStr">
        <is>
          <t>JWT đã expire</t>
        </is>
      </c>
      <c r="J33" s="44" t="inlineStr">
        <is>
          <t>POST /assignments với expired JWT</t>
        </is>
      </c>
      <c r="K33" s="44" t="inlineStr">
        <is>
          <t>account.officer.primary (expired token)</t>
        </is>
      </c>
      <c r="L33" s="44" t="inlineStr">
        <is>
          <t>-</t>
        </is>
      </c>
      <c r="M33" s="44" t="inlineStr">
        <is>
          <t>-</t>
        </is>
      </c>
      <c r="N33" s="44" t="inlineStr">
        <is>
          <t>HTTP 401, message='Unauthorized'</t>
        </is>
      </c>
      <c r="O33" s="44" t="inlineStr">
        <is>
          <t>-</t>
        </is>
      </c>
      <c r="P33" s="41" t="inlineStr">
        <is>
          <t>Critical</t>
        </is>
      </c>
      <c r="Q33" s="44" t="inlineStr"/>
      <c r="R33" s="41" t="inlineStr"/>
      <c r="S33" s="41" t="inlineStr"/>
      <c r="T33" s="41" t="inlineStr"/>
      <c r="U33" s="41" t="inlineStr"/>
      <c r="V33" s="44" t="inlineStr"/>
      <c r="W33" s="41" t="inlineStr"/>
      <c r="X33" s="44" t="inlineStr">
        <is>
          <t>Token expiry check</t>
        </is>
      </c>
    </row>
    <row r="34" ht="80" customHeight="1">
      <c r="A34" s="41" t="inlineStr">
        <is>
          <t>TC-031</t>
        </is>
      </c>
      <c r="B34" s="46" t="inlineStr">
        <is>
          <t>RED</t>
        </is>
      </c>
      <c r="C34" s="43" t="inlineStr">
        <is>
          <t>P0</t>
        </is>
      </c>
      <c r="D34" s="44" t="inlineStr">
        <is>
          <t>POST /assignments</t>
        </is>
      </c>
      <c r="E34" s="44" t="inlineStr">
        <is>
          <t>POST /assignments — thêm user đã assigned → 409 ConflictException</t>
        </is>
      </c>
      <c r="F34" s="41" t="inlineStr">
        <is>
          <t>REQ-PA-BIZ</t>
        </is>
      </c>
      <c r="G34" s="41" t="inlineStr">
        <is>
          <t>Negative / Duplicate</t>
        </is>
      </c>
      <c r="H34" s="41" t="inlineStr">
        <is>
          <t>Cao</t>
        </is>
      </c>
      <c r="I34" s="44" t="inlineStr">
        <is>
          <t>user-1 đã được assign cho petition-001</t>
        </is>
      </c>
      <c r="J34" s="44" t="inlineStr">
        <is>
          <t>POST /petitions/petition-001/assignments body {userId:'user-1', role:'SUPPORT'}</t>
        </is>
      </c>
      <c r="K34" s="44" t="inlineStr">
        <is>
          <t>petition.with_1_assignment.D7</t>
        </is>
      </c>
      <c r="L34" s="44" t="inlineStr">
        <is>
          <t>petition.with_1_assignment.D7</t>
        </is>
      </c>
      <c r="M34" s="44" t="inlineStr">
        <is>
          <t>Hiện error message 'Không thể thêm phân công'</t>
        </is>
      </c>
      <c r="N34" s="44" t="inlineStr">
        <is>
          <t>HTTP 409, message='Cán bộ đã được phân công cho đơn thư này'</t>
        </is>
      </c>
      <c r="O34" s="44" t="inlineStr">
        <is>
          <t>Không tạo row trùng</t>
        </is>
      </c>
      <c r="P34" s="41" t="inlineStr">
        <is>
          <t>Critical</t>
        </is>
      </c>
      <c r="Q34" s="44" t="inlineStr"/>
      <c r="R34" s="41" t="inlineStr"/>
      <c r="S34" s="41" t="inlineStr"/>
      <c r="T34" s="41" t="inlineStr"/>
      <c r="U34" s="41" t="inlineStr"/>
      <c r="V34" s="44" t="inlineStr"/>
      <c r="W34" s="41" t="inlineStr"/>
      <c r="X34" s="44" t="inlineStr">
        <is>
          <t>@@unique([petitionId, userId]) + ConflictException</t>
        </is>
      </c>
    </row>
    <row r="35" ht="80" customHeight="1">
      <c r="A35" s="41" t="inlineStr">
        <is>
          <t>TC-032</t>
        </is>
      </c>
      <c r="B35" s="46" t="inlineStr">
        <is>
          <t>RED</t>
        </is>
      </c>
      <c r="C35" s="43" t="inlineStr">
        <is>
          <t>P0</t>
        </is>
      </c>
      <c r="D35" s="44" t="inlineStr">
        <is>
          <t>POST /assignments</t>
        </is>
      </c>
      <c r="E35" s="44" t="inlineStr">
        <is>
          <t>POST /assignments — P2002 race condition (2 request đồng thời cùng userId) → 409</t>
        </is>
      </c>
      <c r="F35" s="41" t="inlineStr">
        <is>
          <t>REQ-PA-BIZ</t>
        </is>
      </c>
      <c r="G35" s="41" t="inlineStr">
        <is>
          <t>Concurrency / Race</t>
        </is>
      </c>
      <c r="H35" s="41" t="inlineStr">
        <is>
          <t>Cao</t>
        </is>
      </c>
      <c r="I35" s="44" t="inlineStr">
        <is>
          <t>user-1 chưa assigned, 2 POST request gửi đồng thời</t>
        </is>
      </c>
      <c r="J35" s="44" t="inlineStr">
        <is>
          <t>Gửi song song: POST {userId:'user-1'} × 2</t>
        </is>
      </c>
      <c r="K35" s="44" t="inlineStr">
        <is>
          <t>petition.new.D0</t>
        </is>
      </c>
      <c r="L35" s="44" t="inlineStr">
        <is>
          <t>petition.new.D0</t>
        </is>
      </c>
      <c r="M35" s="44" t="inlineStr">
        <is>
          <t>1 request thành công, 1 request nhận lỗi</t>
        </is>
      </c>
      <c r="N35" s="44" t="inlineStr">
        <is>
          <t>HTTP 201 (1 request), HTTP 409 (request còn lại)</t>
        </is>
      </c>
      <c r="O35" s="44" t="inlineStr">
        <is>
          <t>Chỉ 1 row trong DB</t>
        </is>
      </c>
      <c r="P35" s="41" t="inlineStr">
        <is>
          <t>Critical</t>
        </is>
      </c>
      <c r="Q35" s="44" t="inlineStr"/>
      <c r="R35" s="41" t="inlineStr"/>
      <c r="S35" s="41" t="inlineStr"/>
      <c r="T35" s="41" t="inlineStr"/>
      <c r="U35" s="41" t="inlineStr"/>
      <c r="V35" s="44" t="inlineStr"/>
      <c r="W35" s="41" t="inlineStr"/>
      <c r="X35" s="44" t="inlineStr">
        <is>
          <t>P2002 caught → ConflictException 409</t>
        </is>
      </c>
    </row>
    <row r="36" ht="80" customHeight="1">
      <c r="A36" s="41" t="inlineStr">
        <is>
          <t>TC-033</t>
        </is>
      </c>
      <c r="B36" s="46" t="inlineStr">
        <is>
          <t>RED</t>
        </is>
      </c>
      <c r="C36" s="43" t="inlineStr">
        <is>
          <t>P0</t>
        </is>
      </c>
      <c r="D36" s="44" t="inlineStr">
        <is>
          <t>POST /assignments</t>
        </is>
      </c>
      <c r="E36" s="44" t="inlineStr">
        <is>
          <t>POST /assignments — petition bị soft-delete (deletedAt ≠ null) → 404</t>
        </is>
      </c>
      <c r="F36" s="41" t="inlineStr">
        <is>
          <t>REQ-PA-BIZ</t>
        </is>
      </c>
      <c r="G36" s="41" t="inlineStr">
        <is>
          <t>State / Soft delete</t>
        </is>
      </c>
      <c r="H36" s="41" t="inlineStr">
        <is>
          <t>Cao</t>
        </is>
      </c>
      <c r="I36" s="44" t="inlineStr">
        <is>
          <t>Petition đã bị xóa mềm</t>
        </is>
      </c>
      <c r="J36" s="44" t="inlineStr">
        <is>
          <t>POST /petitions/deleted-petition/assignments {userId, role}</t>
        </is>
      </c>
      <c r="K36" s="44" t="inlineStr">
        <is>
          <t>petition.deleted.D0</t>
        </is>
      </c>
      <c r="L36" s="44" t="inlineStr">
        <is>
          <t>petition.deleted.D0</t>
        </is>
      </c>
      <c r="M36" s="44" t="inlineStr">
        <is>
          <t>-</t>
        </is>
      </c>
      <c r="N36" s="44" t="inlineStr">
        <is>
          <t>HTTP 404, message='Đơn thư không tồn tại'</t>
        </is>
      </c>
      <c r="O36" s="44" t="inlineStr">
        <is>
          <t>Không tạo row</t>
        </is>
      </c>
      <c r="P36" s="41" t="inlineStr">
        <is>
          <t>Critical</t>
        </is>
      </c>
      <c r="Q36" s="44" t="inlineStr"/>
      <c r="R36" s="41" t="inlineStr"/>
      <c r="S36" s="41" t="inlineStr"/>
      <c r="T36" s="41" t="inlineStr"/>
      <c r="U36" s="41" t="inlineStr"/>
      <c r="V36" s="44" t="inlineStr"/>
      <c r="W36" s="41" t="inlineStr"/>
      <c r="X36" s="44" t="inlineStr">
        <is>
          <t>findFirst({id, deletedAt: null})</t>
        </is>
      </c>
    </row>
    <row r="37" ht="80" customHeight="1">
      <c r="A37" s="41" t="inlineStr">
        <is>
          <t>TC-034</t>
        </is>
      </c>
      <c r="B37" s="46" t="inlineStr">
        <is>
          <t>RED</t>
        </is>
      </c>
      <c r="C37" s="43" t="inlineStr">
        <is>
          <t>P0</t>
        </is>
      </c>
      <c r="D37" s="44" t="inlineStr">
        <is>
          <t>DELETE /assignments</t>
        </is>
      </c>
      <c r="E37" s="44" t="inlineStr">
        <is>
          <t>DELETE /assignments — petition đã soft-delete → 404</t>
        </is>
      </c>
      <c r="F37" s="41" t="inlineStr">
        <is>
          <t>REQ-PA-BIZ</t>
        </is>
      </c>
      <c r="G37" s="41" t="inlineStr">
        <is>
          <t>State / Soft delete</t>
        </is>
      </c>
      <c r="H37" s="41" t="inlineStr">
        <is>
          <t>Cao</t>
        </is>
      </c>
      <c r="I37" s="44" t="inlineStr">
        <is>
          <t>Petition đã bị xóa mềm</t>
        </is>
      </c>
      <c r="J37" s="44" t="inlineStr">
        <is>
          <t>DELETE /petitions/deleted-petition/assignments/user-1</t>
        </is>
      </c>
      <c r="K37" s="44" t="inlineStr">
        <is>
          <t>petition.deleted.D0</t>
        </is>
      </c>
      <c r="L37" s="44" t="inlineStr">
        <is>
          <t>petition.deleted.D0</t>
        </is>
      </c>
      <c r="M37" s="44" t="inlineStr">
        <is>
          <t>-</t>
        </is>
      </c>
      <c r="N37" s="44" t="inlineStr">
        <is>
          <t>HTTP 404</t>
        </is>
      </c>
      <c r="O37" s="44" t="inlineStr">
        <is>
          <t>-</t>
        </is>
      </c>
      <c r="P37" s="41" t="inlineStr">
        <is>
          <t>High</t>
        </is>
      </c>
      <c r="Q37" s="44" t="inlineStr"/>
      <c r="R37" s="41" t="inlineStr"/>
      <c r="S37" s="41" t="inlineStr"/>
      <c r="T37" s="41" t="inlineStr"/>
      <c r="U37" s="41" t="inlineStr"/>
      <c r="V37" s="44" t="inlineStr"/>
      <c r="W37" s="41" t="inlineStr"/>
      <c r="X37" s="44" t="inlineStr">
        <is>
          <t>removeAssignment: petition check deletedAt</t>
        </is>
      </c>
    </row>
    <row r="38" ht="80" customHeight="1">
      <c r="A38" s="41" t="inlineStr">
        <is>
          <t>TC-035</t>
        </is>
      </c>
      <c r="B38" s="46" t="inlineStr">
        <is>
          <t>RED</t>
        </is>
      </c>
      <c r="C38" s="43" t="inlineStr">
        <is>
          <t>P0</t>
        </is>
      </c>
      <c r="D38" s="44" t="inlineStr">
        <is>
          <t>PATCH /assign</t>
        </is>
      </c>
      <c r="E38" s="44" t="inlineStr">
        <is>
          <t>PATCH /assign — teamId không tồn tại trong DB → 400</t>
        </is>
      </c>
      <c r="F38" s="41" t="inlineStr">
        <is>
          <t>REQ-PA-BIZ</t>
        </is>
      </c>
      <c r="G38" s="41" t="inlineStr">
        <is>
          <t>Negative / Invalid ref</t>
        </is>
      </c>
      <c r="H38" s="41" t="inlineStr">
        <is>
          <t>Cao</t>
        </is>
      </c>
      <c r="I38" s="44" t="inlineStr">
        <is>
          <t>-</t>
        </is>
      </c>
      <c r="J38" s="44" t="inlineStr">
        <is>
          <t>PATCH /assign body {assignedTeamId:'nonexistent-team', expectedUpdatedAt}</t>
        </is>
      </c>
      <c r="K38" s="44" t="inlineStr">
        <is>
          <t>petition.unassigned.D0</t>
        </is>
      </c>
      <c r="L38" s="44" t="inlineStr">
        <is>
          <t>petition.unassigned.D0</t>
        </is>
      </c>
      <c r="M38" s="44" t="inlineStr">
        <is>
          <t>Thông báo lỗi team không tồn tại</t>
        </is>
      </c>
      <c r="N38" s="44" t="inlineStr">
        <is>
          <t>HTTP 400, message='Tổ không tồn tại hoặc đã ngừng hoạt động'</t>
        </is>
      </c>
      <c r="O38" s="44" t="inlineStr">
        <is>
          <t>Petition không thay đổi</t>
        </is>
      </c>
      <c r="P38" s="41" t="inlineStr">
        <is>
          <t>High</t>
        </is>
      </c>
      <c r="Q38" s="44" t="inlineStr"/>
      <c r="R38" s="41" t="inlineStr"/>
      <c r="S38" s="41" t="inlineStr"/>
      <c r="T38" s="41" t="inlineStr"/>
      <c r="U38" s="41" t="inlineStr"/>
      <c r="V38" s="44" t="inlineStr"/>
      <c r="W38" s="41" t="inlineStr"/>
      <c r="X38" s="44" t="inlineStr">
        <is>
          <t>team findUnique + isActive check</t>
        </is>
      </c>
    </row>
    <row r="39" ht="80" customHeight="1">
      <c r="A39" s="41" t="inlineStr">
        <is>
          <t>TC-036</t>
        </is>
      </c>
      <c r="B39" s="46" t="inlineStr">
        <is>
          <t>RED</t>
        </is>
      </c>
      <c r="C39" s="43" t="inlineStr">
        <is>
          <t>P0</t>
        </is>
      </c>
      <c r="D39" s="44" t="inlineStr">
        <is>
          <t>PATCH /assign</t>
        </is>
      </c>
      <c r="E39" s="44" t="inlineStr">
        <is>
          <t>PATCH /assign — team tồn tại nhưng isActive=false → 400</t>
        </is>
      </c>
      <c r="F39" s="41" t="inlineStr">
        <is>
          <t>REQ-PA-BIZ</t>
        </is>
      </c>
      <c r="G39" s="41" t="inlineStr">
        <is>
          <t>State / Inactive</t>
        </is>
      </c>
      <c r="H39" s="41" t="inlineStr">
        <is>
          <t>Cao</t>
        </is>
      </c>
      <c r="I39" s="44" t="inlineStr">
        <is>
          <t>Team-B tồn tại, isActive=false</t>
        </is>
      </c>
      <c r="J39" s="44" t="inlineStr">
        <is>
          <t>PATCH /assign body {assignedTeamId:'team-B', expectedUpdatedAt}</t>
        </is>
      </c>
      <c r="K39" s="44" t="inlineStr">
        <is>
          <t>petition.unassigned.D0, team.inactive</t>
        </is>
      </c>
      <c r="L39" s="44" t="inlineStr">
        <is>
          <t>petition.unassigned.D0</t>
        </is>
      </c>
      <c r="M39" s="44" t="inlineStr">
        <is>
          <t>Hiện lỗi team ngừng hoạt động</t>
        </is>
      </c>
      <c r="N39" s="44" t="inlineStr">
        <is>
          <t>HTTP 400, message='Tổ không tồn tại hoặc đã ngừng hoạt động'</t>
        </is>
      </c>
      <c r="O39" s="44" t="inlineStr">
        <is>
          <t>Không thay đổi</t>
        </is>
      </c>
      <c r="P39" s="41" t="inlineStr">
        <is>
          <t>High</t>
        </is>
      </c>
      <c r="Q39" s="44" t="inlineStr"/>
      <c r="R39" s="41" t="inlineStr"/>
      <c r="S39" s="41" t="inlineStr"/>
      <c r="T39" s="41" t="inlineStr"/>
      <c r="U39" s="41" t="inlineStr"/>
      <c r="V39" s="44" t="inlineStr"/>
      <c r="W39" s="41" t="inlineStr"/>
      <c r="X39" s="44" t="inlineStr">
        <is>
          <t>isActive validation</t>
        </is>
      </c>
    </row>
    <row r="40" ht="80" customHeight="1">
      <c r="A40" s="41" t="inlineStr">
        <is>
          <t>TC-037</t>
        </is>
      </c>
      <c r="B40" s="46" t="inlineStr">
        <is>
          <t>RED</t>
        </is>
      </c>
      <c r="C40" s="43" t="inlineStr">
        <is>
          <t>P0</t>
        </is>
      </c>
      <c r="D40" s="44" t="inlineStr">
        <is>
          <t>PATCH /assign</t>
        </is>
      </c>
      <c r="E40" s="44" t="inlineStr">
        <is>
          <t>PATCH /assign — assignedToId không thuộc assignedTeamId → 400</t>
        </is>
      </c>
      <c r="F40" s="41" t="inlineStr">
        <is>
          <t>REQ-PA-BIZ</t>
        </is>
      </c>
      <c r="G40" s="41" t="inlineStr">
        <is>
          <t>Negative / Cross-team</t>
        </is>
      </c>
      <c r="H40" s="41" t="inlineStr">
        <is>
          <t>Cao</t>
        </is>
      </c>
      <c r="I40" s="44" t="inlineStr">
        <is>
          <t>user-officer2 thuộc team-B, không thuộc team-A</t>
        </is>
      </c>
      <c r="J40" s="44" t="inlineStr">
        <is>
          <t>PATCH /assign body {assignedTeamId:'team-A', assignedToId:'user-officer2', expectedUpdatedAt}</t>
        </is>
      </c>
      <c r="K40" s="44" t="inlineStr">
        <is>
          <t>petition.unassigned.D0, team.a_and_b_members</t>
        </is>
      </c>
      <c r="L40" s="44" t="inlineStr">
        <is>
          <t>petition.unassigned.D0</t>
        </is>
      </c>
      <c r="M40" s="44" t="inlineStr">
        <is>
          <t>-</t>
        </is>
      </c>
      <c r="N40" s="44" t="inlineStr">
        <is>
          <t>HTTP 400, message='Cán bộ xử lý không thuộc tổ được chỉ định'</t>
        </is>
      </c>
      <c r="O40" s="44" t="inlineStr">
        <is>
          <t>assignedToId không thay đổi</t>
        </is>
      </c>
      <c r="P40" s="41" t="inlineStr">
        <is>
          <t>High</t>
        </is>
      </c>
      <c r="Q40" s="44" t="inlineStr"/>
      <c r="R40" s="41" t="inlineStr"/>
      <c r="S40" s="41" t="inlineStr"/>
      <c r="T40" s="41" t="inlineStr"/>
      <c r="U40" s="41" t="inlineStr"/>
      <c r="V40" s="44" t="inlineStr"/>
      <c r="W40" s="41" t="inlineStr"/>
      <c r="X40" s="44" t="inlineStr">
        <is>
          <t>member validation</t>
        </is>
      </c>
    </row>
    <row r="41" ht="80" customHeight="1">
      <c r="A41" s="41" t="inlineStr">
        <is>
          <t>TC-038</t>
        </is>
      </c>
      <c r="B41" s="46" t="inlineStr">
        <is>
          <t>RED</t>
        </is>
      </c>
      <c r="C41" s="43" t="inlineStr">
        <is>
          <t>P0</t>
        </is>
      </c>
      <c r="D41" s="44" t="inlineStr">
        <is>
          <t>PATCH /assign</t>
        </is>
      </c>
      <c r="E41" s="44" t="inlineStr">
        <is>
          <t>PATCH /assign — expectedUpdatedAt không khớp → 409 (optimistic lock)</t>
        </is>
      </c>
      <c r="F41" s="41" t="inlineStr">
        <is>
          <t>REQ-PA-BIZ</t>
        </is>
      </c>
      <c r="G41" s="41" t="inlineStr">
        <is>
          <t>Concurrency / Optimistic lock</t>
        </is>
      </c>
      <c r="H41" s="41" t="inlineStr">
        <is>
          <t>Cao</t>
        </is>
      </c>
      <c r="I41" s="44" t="inlineStr">
        <is>
          <t>Petition updatedAt = T1</t>
        </is>
      </c>
      <c r="J41" s="44" t="inlineStr">
        <is>
          <t>PATCH /assign với expectedUpdatedAt = T0 (cũ hơn T1)</t>
        </is>
      </c>
      <c r="K41" s="44" t="inlineStr">
        <is>
          <t>petition.updated.D7</t>
        </is>
      </c>
      <c r="L41" s="44" t="inlineStr">
        <is>
          <t>petition.updated.D7</t>
        </is>
      </c>
      <c r="M41" s="44" t="inlineStr">
        <is>
          <t>Thông báo 'Đơn thư đã bị chỉnh sửa bởi người khác'</t>
        </is>
      </c>
      <c r="N41" s="44" t="inlineStr">
        <is>
          <t>HTTP 409, message='Đơn thư đã được chỉnh sửa bởi người dùng khác'</t>
        </is>
      </c>
      <c r="O41" s="44" t="inlineStr">
        <is>
          <t>Không thay đổi</t>
        </is>
      </c>
      <c r="P41" s="41" t="inlineStr">
        <is>
          <t>Critical</t>
        </is>
      </c>
      <c r="Q41" s="44" t="inlineStr"/>
      <c r="R41" s="41" t="inlineStr"/>
      <c r="S41" s="41" t="inlineStr"/>
      <c r="T41" s="41" t="inlineStr"/>
      <c r="U41" s="41" t="inlineStr"/>
      <c r="V41" s="44" t="inlineStr"/>
      <c r="W41" s="41" t="inlineStr"/>
      <c r="X41" s="44" t="inlineStr">
        <is>
          <t>P2025 detection — optimistic lock</t>
        </is>
      </c>
    </row>
    <row r="42" ht="80" customHeight="1">
      <c r="A42" s="41" t="inlineStr">
        <is>
          <t>TC-039</t>
        </is>
      </c>
      <c r="B42" s="46" t="inlineStr">
        <is>
          <t>RED</t>
        </is>
      </c>
      <c r="C42" s="45" t="inlineStr">
        <is>
          <t>P1</t>
        </is>
      </c>
      <c r="D42" s="44" t="inlineStr">
        <is>
          <t>POST /assignments</t>
        </is>
      </c>
      <c r="E42" s="44" t="inlineStr">
        <is>
          <t>POST /assignments — role là giá trị không hợp lệ 'MANAGER' → 400</t>
        </is>
      </c>
      <c r="F42" s="41" t="inlineStr">
        <is>
          <t>REQ-PA-VALID</t>
        </is>
      </c>
      <c r="G42" s="41" t="inlineStr">
        <is>
          <t>Negative / Invalid enum</t>
        </is>
      </c>
      <c r="H42" s="41" t="inlineStr">
        <is>
          <t>TB</t>
        </is>
      </c>
      <c r="I42" s="44" t="inlineStr">
        <is>
          <t>-</t>
        </is>
      </c>
      <c r="J42" s="44" t="inlineStr">
        <is>
          <t>POST /assignments body {userId:'user-3', role:'MANAGER'}</t>
        </is>
      </c>
      <c r="K42" s="44" t="inlineStr">
        <is>
          <t>petition.new.D0</t>
        </is>
      </c>
      <c r="L42" s="44" t="inlineStr">
        <is>
          <t>petition.new.D0</t>
        </is>
      </c>
      <c r="M42" s="44" t="inlineStr">
        <is>
          <t>-</t>
        </is>
      </c>
      <c r="N42" s="44" t="inlineStr">
        <is>
          <t>HTTP 400 hoặc HTTP 201 với role='MANAGER' (tùy validation)</t>
        </is>
      </c>
      <c r="O42" s="44" t="inlineStr">
        <is>
          <t>Nếu không có enum validation: row với role='MANAGER' trong DB</t>
        </is>
      </c>
      <c r="P42" s="41" t="inlineStr">
        <is>
          <t>Medium</t>
        </is>
      </c>
      <c r="Q42" s="44" t="inlineStr"/>
      <c r="R42" s="41" t="inlineStr"/>
      <c r="S42" s="41" t="inlineStr"/>
      <c r="T42" s="41" t="inlineStr"/>
      <c r="U42" s="41" t="inlineStr"/>
      <c r="V42" s="44" t="inlineStr"/>
      <c r="W42" s="41" t="inlineStr"/>
      <c r="X42" s="44" t="inlineStr">
        <is>
          <t>role là String trong schema, FE enforces enum — cần kiểm tra BE validation</t>
        </is>
      </c>
    </row>
    <row r="43" ht="80" customHeight="1">
      <c r="A43" s="41" t="inlineStr">
        <is>
          <t>TC-040</t>
        </is>
      </c>
      <c r="B43" s="46" t="inlineStr">
        <is>
          <t>RED</t>
        </is>
      </c>
      <c r="C43" s="43" t="inlineStr">
        <is>
          <t>P0</t>
        </is>
      </c>
      <c r="D43" s="44" t="inlineStr">
        <is>
          <t>POST /assignments</t>
        </is>
      </c>
      <c r="E43" s="44" t="inlineStr">
        <is>
          <t>POST /assignments — thiếu userId (body rỗng) → 400</t>
        </is>
      </c>
      <c r="F43" s="41" t="inlineStr">
        <is>
          <t>REQ-PA-VALID</t>
        </is>
      </c>
      <c r="G43" s="41" t="inlineStr">
        <is>
          <t>Negative / Missing required</t>
        </is>
      </c>
      <c r="H43" s="41" t="inlineStr">
        <is>
          <t>Cao</t>
        </is>
      </c>
      <c r="I43" s="44" t="inlineStr">
        <is>
          <t>-</t>
        </is>
      </c>
      <c r="J43" s="44" t="inlineStr">
        <is>
          <t>POST /assignments body {}</t>
        </is>
      </c>
      <c r="K43" s="44" t="inlineStr">
        <is>
          <t>petition.new.D0</t>
        </is>
      </c>
      <c r="L43" s="44" t="inlineStr">
        <is>
          <t>petition.new.D0</t>
        </is>
      </c>
      <c r="M43" s="44" t="inlineStr">
        <is>
          <t>-</t>
        </is>
      </c>
      <c r="N43" s="44" t="inlineStr">
        <is>
          <t>HTTP 400, validation error: userId is required</t>
        </is>
      </c>
      <c r="O43" s="44" t="inlineStr">
        <is>
          <t>Không tạo row</t>
        </is>
      </c>
      <c r="P43" s="41" t="inlineStr">
        <is>
          <t>High</t>
        </is>
      </c>
      <c r="Q43" s="44" t="inlineStr"/>
      <c r="R43" s="41" t="inlineStr"/>
      <c r="S43" s="41" t="inlineStr"/>
      <c r="T43" s="41" t="inlineStr"/>
      <c r="U43" s="41" t="inlineStr"/>
      <c r="V43" s="44" t="inlineStr"/>
      <c r="W43" s="41" t="inlineStr"/>
      <c r="X43" s="44" t="inlineStr">
        <is>
          <t>DTO validation @IsNotEmpty()</t>
        </is>
      </c>
    </row>
    <row r="44" ht="80" customHeight="1">
      <c r="A44" s="41" t="inlineStr">
        <is>
          <t>TC-041</t>
        </is>
      </c>
      <c r="B44" s="46" t="inlineStr">
        <is>
          <t>RED</t>
        </is>
      </c>
      <c r="C44" s="43" t="inlineStr">
        <is>
          <t>P0</t>
        </is>
      </c>
      <c r="D44" s="44" t="inlineStr">
        <is>
          <t>POST /assignments</t>
        </is>
      </c>
      <c r="E44" s="44" t="inlineStr">
        <is>
          <t>POST /assignments — userId = null → 400</t>
        </is>
      </c>
      <c r="F44" s="41" t="inlineStr">
        <is>
          <t>REQ-PA-VALID</t>
        </is>
      </c>
      <c r="G44" s="41" t="inlineStr">
        <is>
          <t>Negative / Null value</t>
        </is>
      </c>
      <c r="H44" s="41" t="inlineStr">
        <is>
          <t>Cao</t>
        </is>
      </c>
      <c r="I44" s="44" t="inlineStr">
        <is>
          <t>-</t>
        </is>
      </c>
      <c r="J44" s="44" t="inlineStr">
        <is>
          <t>POST /assignments body {userId: null, role:'SUPPORT'}</t>
        </is>
      </c>
      <c r="K44" s="44" t="inlineStr">
        <is>
          <t>petition.new.D0</t>
        </is>
      </c>
      <c r="L44" s="44" t="inlineStr">
        <is>
          <t>petition.new.D0</t>
        </is>
      </c>
      <c r="M44" s="44" t="inlineStr">
        <is>
          <t>-</t>
        </is>
      </c>
      <c r="N44" s="44" t="inlineStr">
        <is>
          <t>HTTP 400</t>
        </is>
      </c>
      <c r="O44" s="44" t="inlineStr">
        <is>
          <t>Không tạo row</t>
        </is>
      </c>
      <c r="P44" s="41" t="inlineStr">
        <is>
          <t>High</t>
        </is>
      </c>
      <c r="Q44" s="44" t="inlineStr"/>
      <c r="R44" s="41" t="inlineStr"/>
      <c r="S44" s="41" t="inlineStr"/>
      <c r="T44" s="41" t="inlineStr"/>
      <c r="U44" s="41" t="inlineStr"/>
      <c r="V44" s="44" t="inlineStr"/>
      <c r="W44" s="41" t="inlineStr"/>
      <c r="X44" s="44" t="inlineStr">
        <is>
          <t>Null check trong DTO</t>
        </is>
      </c>
    </row>
    <row r="45" ht="80" customHeight="1">
      <c r="A45" s="41" t="inlineStr">
        <is>
          <t>TC-042</t>
        </is>
      </c>
      <c r="B45" s="46" t="inlineStr">
        <is>
          <t>RED</t>
        </is>
      </c>
      <c r="C45" s="45" t="inlineStr">
        <is>
          <t>P1</t>
        </is>
      </c>
      <c r="D45" s="44" t="inlineStr">
        <is>
          <t>POST /assignments</t>
        </is>
      </c>
      <c r="E45" s="44" t="inlineStr">
        <is>
          <t>POST /assignments — userId là string không phải ID format → DB FK error</t>
        </is>
      </c>
      <c r="F45" s="41" t="inlineStr">
        <is>
          <t>REQ-PA-VALID</t>
        </is>
      </c>
      <c r="G45" s="41" t="inlineStr">
        <is>
          <t>Negative / Invalid ID</t>
        </is>
      </c>
      <c r="H45" s="41" t="inlineStr">
        <is>
          <t>TB</t>
        </is>
      </c>
      <c r="I45" s="44" t="inlineStr">
        <is>
          <t>-</t>
        </is>
      </c>
      <c r="J45" s="44" t="inlineStr">
        <is>
          <t>POST /assignments body {userId:'invalid-user-id', role:'SUPPORT'}</t>
        </is>
      </c>
      <c r="K45" s="44" t="inlineStr">
        <is>
          <t>petition.new.D0</t>
        </is>
      </c>
      <c r="L45" s="44" t="inlineStr">
        <is>
          <t>petition.new.D0</t>
        </is>
      </c>
      <c r="M45" s="44" t="inlineStr">
        <is>
          <t>-</t>
        </is>
      </c>
      <c r="N45" s="44" t="inlineStr">
        <is>
          <t>HTTP 404 hoặc HTTP 400 — userId không tồn tại trong user table → FK violation</t>
        </is>
      </c>
      <c r="O45" s="44" t="inlineStr">
        <is>
          <t>Không tạo row</t>
        </is>
      </c>
      <c r="P45" s="41" t="inlineStr">
        <is>
          <t>Medium</t>
        </is>
      </c>
      <c r="Q45" s="44" t="inlineStr"/>
      <c r="R45" s="41" t="inlineStr"/>
      <c r="S45" s="41" t="inlineStr"/>
      <c r="T45" s="41" t="inlineStr"/>
      <c r="U45" s="41" t="inlineStr"/>
      <c r="V45" s="44" t="inlineStr"/>
      <c r="W45" s="41" t="inlineStr"/>
      <c r="X45" s="44" t="inlineStr">
        <is>
          <t>FK constraint khi userId không tồn tại</t>
        </is>
      </c>
    </row>
    <row r="46" ht="80" customHeight="1">
      <c r="A46" s="41" t="inlineStr">
        <is>
          <t>TC-043</t>
        </is>
      </c>
      <c r="B46" s="46" t="inlineStr">
        <is>
          <t>RED</t>
        </is>
      </c>
      <c r="C46" s="45" t="inlineStr">
        <is>
          <t>P1</t>
        </is>
      </c>
      <c r="D46" s="44" t="inlineStr">
        <is>
          <t>POST /assignments</t>
        </is>
      </c>
      <c r="E46" s="44" t="inlineStr">
        <is>
          <t>POST /assignments — petitionId không phải CUID format → 404</t>
        </is>
      </c>
      <c r="F46" s="41" t="inlineStr">
        <is>
          <t>REQ-PA-VALID</t>
        </is>
      </c>
      <c r="G46" s="41" t="inlineStr">
        <is>
          <t>Negative / Invalid path</t>
        </is>
      </c>
      <c r="H46" s="41" t="inlineStr">
        <is>
          <t>TB</t>
        </is>
      </c>
      <c r="I46" s="44" t="inlineStr">
        <is>
          <t>-</t>
        </is>
      </c>
      <c r="J46" s="44" t="inlineStr">
        <is>
          <t>POST /api/v1/petitions/!!!invalid-id!!!/assignments {userId, role}</t>
        </is>
      </c>
      <c r="K46" s="44" t="inlineStr">
        <is>
          <t>account.officer.primary</t>
        </is>
      </c>
      <c r="L46" s="44" t="inlineStr">
        <is>
          <t>account.officer.primary</t>
        </is>
      </c>
      <c r="M46" s="44" t="inlineStr">
        <is>
          <t>-</t>
        </is>
      </c>
      <c r="N46" s="44" t="inlineStr">
        <is>
          <t>HTTP 404 (petition findFirst → không tìm thấy)</t>
        </is>
      </c>
      <c r="O46" s="44" t="inlineStr">
        <is>
          <t>-</t>
        </is>
      </c>
      <c r="P46" s="41" t="inlineStr">
        <is>
          <t>Medium</t>
        </is>
      </c>
      <c r="Q46" s="44" t="inlineStr"/>
      <c r="R46" s="41" t="inlineStr"/>
      <c r="S46" s="41" t="inlineStr"/>
      <c r="T46" s="41" t="inlineStr"/>
      <c r="U46" s="41" t="inlineStr"/>
      <c r="V46" s="44" t="inlineStr"/>
      <c r="W46" s="41" t="inlineStr"/>
      <c r="X46" s="44" t="inlineStr">
        <is>
          <t>CUID vs UUID — Prisma findFirst không throw trên invalid format</t>
        </is>
      </c>
    </row>
    <row r="47" ht="80" customHeight="1">
      <c r="A47" s="41" t="inlineStr">
        <is>
          <t>TC-044</t>
        </is>
      </c>
      <c r="B47" s="46" t="inlineStr">
        <is>
          <t>RED</t>
        </is>
      </c>
      <c r="C47" s="45" t="inlineStr">
        <is>
          <t>P1</t>
        </is>
      </c>
      <c r="D47" s="44" t="inlineStr">
        <is>
          <t>DELETE /assignments</t>
        </is>
      </c>
      <c r="E47" s="44" t="inlineStr">
        <is>
          <t>DELETE /assignments — userId trong URL không phải format ID → 404</t>
        </is>
      </c>
      <c r="F47" s="41" t="inlineStr">
        <is>
          <t>REQ-PA-VALID</t>
        </is>
      </c>
      <c r="G47" s="41" t="inlineStr">
        <is>
          <t>Negative / Invalid path</t>
        </is>
      </c>
      <c r="H47" s="41" t="inlineStr">
        <is>
          <t>TB</t>
        </is>
      </c>
      <c r="I47" s="44" t="inlineStr">
        <is>
          <t>-</t>
        </is>
      </c>
      <c r="J47" s="44" t="inlineStr">
        <is>
          <t>DELETE /api/v1/petitions/:id/assignments/INVALID_USER_ID</t>
        </is>
      </c>
      <c r="K47" s="44" t="inlineStr">
        <is>
          <t>petition.with_1_assignment.D7</t>
        </is>
      </c>
      <c r="L47" s="44" t="inlineStr">
        <is>
          <t>petition.with_1_assignment.D7</t>
        </is>
      </c>
      <c r="M47" s="44" t="inlineStr">
        <is>
          <t>-</t>
        </is>
      </c>
      <c r="N47" s="44" t="inlineStr">
        <is>
          <t>HTTP 404, assignment không tìm thấy</t>
        </is>
      </c>
      <c r="O47" s="44" t="inlineStr">
        <is>
          <t>-</t>
        </is>
      </c>
      <c r="P47" s="41" t="inlineStr">
        <is>
          <t>Medium</t>
        </is>
      </c>
      <c r="Q47" s="44" t="inlineStr"/>
      <c r="R47" s="41" t="inlineStr"/>
      <c r="S47" s="41" t="inlineStr"/>
      <c r="T47" s="41" t="inlineStr"/>
      <c r="U47" s="41" t="inlineStr"/>
      <c r="V47" s="44" t="inlineStr"/>
      <c r="W47" s="41" t="inlineStr"/>
      <c r="X47" s="44" t="inlineStr">
        <is>
          <t>findUnique petitionId_userId composite key</t>
        </is>
      </c>
    </row>
    <row r="48" ht="80" customHeight="1">
      <c r="A48" s="41" t="inlineStr">
        <is>
          <t>TC-045</t>
        </is>
      </c>
      <c r="B48" s="46" t="inlineStr">
        <is>
          <t>RED</t>
        </is>
      </c>
      <c r="C48" s="45" t="inlineStr">
        <is>
          <t>P1</t>
        </is>
      </c>
      <c r="D48" s="44" t="inlineStr">
        <is>
          <t>PATCH /assign</t>
        </is>
      </c>
      <c r="E48" s="44" t="inlineStr">
        <is>
          <t>PATCH /assign — assignedTeamId = null → xóa team assignment</t>
        </is>
      </c>
      <c r="F48" s="41" t="inlineStr">
        <is>
          <t>REQ-PA-BIZ</t>
        </is>
      </c>
      <c r="G48" s="41" t="inlineStr">
        <is>
          <t>State / Clear assignment</t>
        </is>
      </c>
      <c r="H48" s="41" t="inlineStr">
        <is>
          <t>TB</t>
        </is>
      </c>
      <c r="I48" s="44" t="inlineStr">
        <is>
          <t>Petition có assignedTeamId='team-A'</t>
        </is>
      </c>
      <c r="J48" s="44" t="inlineStr">
        <is>
          <t>PATCH /assign body {assignedTeamId: null, expectedUpdatedAt}</t>
        </is>
      </c>
      <c r="K48" s="44" t="inlineStr">
        <is>
          <t>petition.assigned_team.D7</t>
        </is>
      </c>
      <c r="L48" s="44" t="inlineStr">
        <is>
          <t>petition.assigned_team.D7</t>
        </is>
      </c>
      <c r="M48" s="44" t="inlineStr">
        <is>
          <t>-</t>
        </is>
      </c>
      <c r="N48" s="44" t="inlineStr">
        <is>
          <t>HTTP 200, petition.assignedTeamId = null</t>
        </is>
      </c>
      <c r="O48" s="44" t="inlineStr">
        <is>
          <t>Petition.assignedTeamId set null</t>
        </is>
      </c>
      <c r="P48" s="41" t="inlineStr">
        <is>
          <t>Medium</t>
        </is>
      </c>
      <c r="Q48" s="44" t="inlineStr"/>
      <c r="R48" s="41" t="inlineStr"/>
      <c r="S48" s="41" t="inlineStr"/>
      <c r="T48" s="41" t="inlineStr"/>
      <c r="U48" s="41" t="inlineStr"/>
      <c r="V48" s="44" t="inlineStr"/>
      <c r="W48" s="41" t="inlineStr"/>
      <c r="X48" s="44" t="inlineStr">
        <is>
          <t>Clear team assignment</t>
        </is>
      </c>
    </row>
    <row r="49" ht="80" customHeight="1">
      <c r="A49" s="41" t="inlineStr">
        <is>
          <t>TC-046</t>
        </is>
      </c>
      <c r="B49" s="46" t="inlineStr">
        <is>
          <t>RED</t>
        </is>
      </c>
      <c r="C49" s="45" t="inlineStr">
        <is>
          <t>P1</t>
        </is>
      </c>
      <c r="D49" s="44" t="inlineStr">
        <is>
          <t>POST /assignments</t>
        </is>
      </c>
      <c r="E49" s="44" t="inlineStr">
        <is>
          <t>POST /assignments — request body là malformed JSON → 400</t>
        </is>
      </c>
      <c r="F49" s="41" t="inlineStr">
        <is>
          <t>REQ-PA-VALID</t>
        </is>
      </c>
      <c r="G49" s="41" t="inlineStr">
        <is>
          <t>Negative / Bad payload</t>
        </is>
      </c>
      <c r="H49" s="41" t="inlineStr">
        <is>
          <t>TB</t>
        </is>
      </c>
      <c r="I49" s="44" t="inlineStr">
        <is>
          <t>-</t>
        </is>
      </c>
      <c r="J49" s="44" t="inlineStr">
        <is>
          <t>POST /assignments với Content-Type: application/json, body = '{bad json'</t>
        </is>
      </c>
      <c r="K49" s="44" t="inlineStr">
        <is>
          <t>petition.new.D0</t>
        </is>
      </c>
      <c r="L49" s="44" t="inlineStr">
        <is>
          <t>petition.new.D0</t>
        </is>
      </c>
      <c r="M49" s="44" t="inlineStr">
        <is>
          <t>-</t>
        </is>
      </c>
      <c r="N49" s="44" t="inlineStr">
        <is>
          <t>HTTP 400, JSON parse error</t>
        </is>
      </c>
      <c r="O49" s="44" t="inlineStr">
        <is>
          <t>-</t>
        </is>
      </c>
      <c r="P49" s="41" t="inlineStr">
        <is>
          <t>High</t>
        </is>
      </c>
      <c r="Q49" s="44" t="inlineStr"/>
      <c r="R49" s="41" t="inlineStr"/>
      <c r="S49" s="41" t="inlineStr"/>
      <c r="T49" s="41" t="inlineStr"/>
      <c r="U49" s="41" t="inlineStr"/>
      <c r="V49" s="44" t="inlineStr"/>
      <c r="W49" s="41" t="inlineStr"/>
      <c r="X49" s="44" t="inlineStr">
        <is>
          <t>NestJS body parser error</t>
        </is>
      </c>
    </row>
    <row r="50" ht="80" customHeight="1">
      <c r="A50" s="41" t="inlineStr">
        <is>
          <t>TC-047</t>
        </is>
      </c>
      <c r="B50" s="46" t="inlineStr">
        <is>
          <t>RED</t>
        </is>
      </c>
      <c r="C50" s="45" t="inlineStr">
        <is>
          <t>P1</t>
        </is>
      </c>
      <c r="D50" s="44" t="inlineStr">
        <is>
          <t>POST /assignments</t>
        </is>
      </c>
      <c r="E50" s="44" t="inlineStr">
        <is>
          <t>POST /assignments — extra fields trong body bị ignore (mass assignment safe)</t>
        </is>
      </c>
      <c r="F50" s="41" t="inlineStr">
        <is>
          <t>REQ-PA-VALID</t>
        </is>
      </c>
      <c r="G50" s="41" t="inlineStr">
        <is>
          <t>Security / Mass assignment</t>
        </is>
      </c>
      <c r="H50" s="41" t="inlineStr">
        <is>
          <t>TB</t>
        </is>
      </c>
      <c r="I50" s="44" t="inlineStr">
        <is>
          <t>-</t>
        </is>
      </c>
      <c r="J50" s="44" t="inlineStr">
        <is>
          <t>POST /assignments body {userId:'user-3', role:'SUPPORT', assignedById:'attacker-id', petitionId:'wrong-id'}</t>
        </is>
      </c>
      <c r="K50" s="44" t="inlineStr">
        <is>
          <t>petition.new.D0</t>
        </is>
      </c>
      <c r="L50" s="44" t="inlineStr">
        <is>
          <t>petition.new.D0</t>
        </is>
      </c>
      <c r="M50" s="44" t="inlineStr">
        <is>
          <t>-</t>
        </is>
      </c>
      <c r="N50" s="44" t="inlineStr">
        <is>
          <t>HTTP 201, response.assignedById = actorId thực tế (không phải 'attacker-id')</t>
        </is>
      </c>
      <c r="O50" s="44" t="inlineStr">
        <is>
          <t>DB: assignedById = logged-in user ID</t>
        </is>
      </c>
      <c r="P50" s="41" t="inlineStr">
        <is>
          <t>Critical</t>
        </is>
      </c>
      <c r="Q50" s="44" t="inlineStr"/>
      <c r="R50" s="41" t="inlineStr"/>
      <c r="S50" s="41" t="inlineStr"/>
      <c r="T50" s="41" t="inlineStr"/>
      <c r="U50" s="41" t="inlineStr"/>
      <c r="V50" s="44" t="inlineStr"/>
      <c r="W50" s="41" t="inlineStr"/>
      <c r="X50" s="44" t="inlineStr">
        <is>
          <t>actorId lấy từ JWT, không từ body</t>
        </is>
      </c>
    </row>
    <row r="51" ht="80" customHeight="1">
      <c r="A51" s="41" t="inlineStr">
        <is>
          <t>TC-048</t>
        </is>
      </c>
      <c r="B51" s="46" t="inlineStr">
        <is>
          <t>RED</t>
        </is>
      </c>
      <c r="C51" s="45" t="inlineStr">
        <is>
          <t>P1</t>
        </is>
      </c>
      <c r="D51" s="44" t="inlineStr">
        <is>
          <t>DELETE /assignments</t>
        </is>
      </c>
      <c r="E51" s="44" t="inlineStr">
        <is>
          <t>DELETE /assignments — petition có nhiều assignments, chỉ xóa đúng 1 user</t>
        </is>
      </c>
      <c r="F51" s="41" t="inlineStr">
        <is>
          <t>REQ-PA-BIZ</t>
        </is>
      </c>
      <c r="G51" s="41" t="inlineStr">
        <is>
          <t>Negative / Partial delete</t>
        </is>
      </c>
      <c r="H51" s="41" t="inlineStr">
        <is>
          <t>TB</t>
        </is>
      </c>
      <c r="I51" s="44" t="inlineStr">
        <is>
          <t>Petition có user-1 và user-2 assigned</t>
        </is>
      </c>
      <c r="J51" s="44" t="inlineStr">
        <is>
          <t>DELETE /petitions/:id/assignments/user-1</t>
        </is>
      </c>
      <c r="K51" s="44" t="inlineStr">
        <is>
          <t>petition.with_2_assignments.D7</t>
        </is>
      </c>
      <c r="L51" s="44" t="inlineStr">
        <is>
          <t>petition.with_2_assignments.D7</t>
        </is>
      </c>
      <c r="M51" s="44" t="inlineStr">
        <is>
          <t>Chỉ user-1 biến mất, user-2 vẫn còn</t>
        </is>
      </c>
      <c r="N51" s="44" t="inlineStr">
        <is>
          <t>HTTP 200, GET sau đó có 1 item (user-2)</t>
        </is>
      </c>
      <c r="O51" s="44" t="inlineStr">
        <is>
          <t>Chỉ row userId=user-1 bị xóa</t>
        </is>
      </c>
      <c r="P51" s="41" t="inlineStr">
        <is>
          <t>Critical</t>
        </is>
      </c>
      <c r="Q51" s="44" t="inlineStr"/>
      <c r="R51" s="41" t="inlineStr"/>
      <c r="S51" s="41" t="inlineStr"/>
      <c r="T51" s="41" t="inlineStr"/>
      <c r="U51" s="41" t="inlineStr"/>
      <c r="V51" s="44" t="inlineStr"/>
      <c r="W51" s="41" t="inlineStr"/>
      <c r="X51" s="44" t="inlineStr">
        <is>
          <t>deleteMany with petitionId_userId unique</t>
        </is>
      </c>
    </row>
    <row r="52" ht="80" customHeight="1">
      <c r="A52" s="41" t="inlineStr">
        <is>
          <t>TC-049</t>
        </is>
      </c>
      <c r="B52" s="46" t="inlineStr">
        <is>
          <t>RED</t>
        </is>
      </c>
      <c r="C52" s="45" t="inlineStr">
        <is>
          <t>P1</t>
        </is>
      </c>
      <c r="D52" s="44" t="inlineStr">
        <is>
          <t>GET /assignments</t>
        </is>
      </c>
      <c r="E52" s="44" t="inlineStr">
        <is>
          <t>GET /assignments — petition bị soft-delete → 404</t>
        </is>
      </c>
      <c r="F52" s="41" t="inlineStr">
        <is>
          <t>REQ-PA-NOTFOUND</t>
        </is>
      </c>
      <c r="G52" s="41" t="inlineStr">
        <is>
          <t>State / Soft delete</t>
        </is>
      </c>
      <c r="H52" s="41" t="inlineStr">
        <is>
          <t>TB</t>
        </is>
      </c>
      <c r="I52" s="44" t="inlineStr">
        <is>
          <t>Petition đã bị soft-delete</t>
        </is>
      </c>
      <c r="J52" s="44" t="inlineStr">
        <is>
          <t>GET /petitions/deleted-petition/assignments</t>
        </is>
      </c>
      <c r="K52" s="44" t="inlineStr">
        <is>
          <t>petition.deleted.D0</t>
        </is>
      </c>
      <c r="L52" s="44" t="inlineStr">
        <is>
          <t>petition.deleted.D0</t>
        </is>
      </c>
      <c r="M52" s="44" t="inlineStr">
        <is>
          <t>-</t>
        </is>
      </c>
      <c r="N52" s="44" t="inlineStr">
        <is>
          <t>HTTP 404</t>
        </is>
      </c>
      <c r="O52" s="44" t="inlineStr">
        <is>
          <t>-</t>
        </is>
      </c>
      <c r="P52" s="41" t="inlineStr">
        <is>
          <t>High</t>
        </is>
      </c>
      <c r="Q52" s="44" t="inlineStr"/>
      <c r="R52" s="41" t="inlineStr"/>
      <c r="S52" s="41" t="inlineStr"/>
      <c r="T52" s="41" t="inlineStr"/>
      <c r="U52" s="41" t="inlineStr"/>
      <c r="V52" s="44" t="inlineStr"/>
      <c r="W52" s="41" t="inlineStr"/>
      <c r="X52" s="44" t="inlineStr">
        <is>
          <t>listAssignments: findFirst({deletedAt:null})</t>
        </is>
      </c>
    </row>
    <row r="53" ht="80" customHeight="1">
      <c r="A53" s="41" t="inlineStr">
        <is>
          <t>TC-050</t>
        </is>
      </c>
      <c r="B53" s="46" t="inlineStr">
        <is>
          <t>RED</t>
        </is>
      </c>
      <c r="C53" s="45" t="inlineStr">
        <is>
          <t>P1</t>
        </is>
      </c>
      <c r="D53" s="44" t="inlineStr">
        <is>
          <t>POST /assignments</t>
        </is>
      </c>
      <c r="E53" s="44" t="inlineStr">
        <is>
          <t>POST /assignments — petition ở mọi status vẫn có thể thêm (không block theo status)</t>
        </is>
      </c>
      <c r="F53" s="41" t="inlineStr">
        <is>
          <t>REQ-PA-BIZ</t>
        </is>
      </c>
      <c r="G53" s="41" t="inlineStr">
        <is>
          <t>State / Status independence</t>
        </is>
      </c>
      <c r="H53" s="41" t="inlineStr">
        <is>
          <t>TB</t>
        </is>
      </c>
      <c r="I53" s="44" t="inlineStr">
        <is>
          <t>Petition có status DA_CHUYEN_VU_VIEC</t>
        </is>
      </c>
      <c r="J53" s="44" t="inlineStr">
        <is>
          <t>POST /assignments {userId:'user-3', role:'SUPPORT'}</t>
        </is>
      </c>
      <c r="K53" s="44" t="inlineStr">
        <is>
          <t>petition.converted_incident.D7</t>
        </is>
      </c>
      <c r="L53" s="44" t="inlineStr">
        <is>
          <t>petition.converted_incident.D7</t>
        </is>
      </c>
      <c r="M53" s="44" t="inlineStr">
        <is>
          <t>-</t>
        </is>
      </c>
      <c r="N53" s="44" t="inlineStr">
        <is>
          <t>HTTP 201 (không block theo status)</t>
        </is>
      </c>
      <c r="O53" s="44" t="inlineStr">
        <is>
          <t>Row mới tạo bình thường</t>
        </is>
      </c>
      <c r="P53" s="41" t="inlineStr">
        <is>
          <t>Medium</t>
        </is>
      </c>
      <c r="Q53" s="44" t="inlineStr"/>
      <c r="R53" s="41" t="inlineStr"/>
      <c r="S53" s="41" t="inlineStr"/>
      <c r="T53" s="41" t="inlineStr"/>
      <c r="U53" s="41" t="inlineStr"/>
      <c r="V53" s="44" t="inlineStr"/>
      <c r="W53" s="41" t="inlineStr"/>
      <c r="X53" s="44" t="inlineStr">
        <is>
          <t>Không có status gate — service không validate petition status</t>
        </is>
      </c>
    </row>
    <row r="54" ht="80" customHeight="1">
      <c r="A54" s="41" t="inlineStr">
        <is>
          <t>TC-051</t>
        </is>
      </c>
      <c r="B54" s="46" t="inlineStr">
        <is>
          <t>RED</t>
        </is>
      </c>
      <c r="C54" s="45" t="inlineStr">
        <is>
          <t>P1</t>
        </is>
      </c>
      <c r="D54" s="44" t="inlineStr">
        <is>
          <t>PATCH /assign</t>
        </is>
      </c>
      <c r="E54" s="44" t="inlineStr">
        <is>
          <t>PATCH /assign — team có 2 isLeader=true, không gửi assignedToId → gán leader đầu tiên</t>
        </is>
      </c>
      <c r="F54" s="41" t="inlineStr">
        <is>
          <t>REQ-PA-BIZ</t>
        </is>
      </c>
      <c r="G54" s="41" t="inlineStr">
        <is>
          <t>Decision / Multi-leader</t>
        </is>
      </c>
      <c r="H54" s="41" t="inlineStr">
        <is>
          <t>TB</t>
        </is>
      </c>
      <c r="I54" s="44" t="inlineStr">
        <is>
          <t>Team-A có 2 users đều isLeader=true</t>
        </is>
      </c>
      <c r="J54" s="44" t="inlineStr">
        <is>
          <t>PATCH /assign body {assignedTeamId:'team-A', expectedUpdatedAt} (không gửi assignedToId)</t>
        </is>
      </c>
      <c r="K54" s="44" t="inlineStr">
        <is>
          <t>petition.unassigned.D0, team.multi_leader</t>
        </is>
      </c>
      <c r="L54" s="44" t="inlineStr">
        <is>
          <t>petition.unassigned.D0</t>
        </is>
      </c>
      <c r="M54" s="44" t="inlineStr">
        <is>
          <t>-</t>
        </is>
      </c>
      <c r="N54" s="44" t="inlineStr">
        <is>
          <t>HTTP 200, assignedToId = 1 trong 2 leader (tùy order DB)</t>
        </is>
      </c>
      <c r="O54" s="44" t="inlineStr">
        <is>
          <t>Một trong 2 leaders được gán</t>
        </is>
      </c>
      <c r="P54" s="41" t="inlineStr">
        <is>
          <t>Low</t>
        </is>
      </c>
      <c r="Q54" s="44" t="inlineStr"/>
      <c r="R54" s="41" t="inlineStr"/>
      <c r="S54" s="41" t="inlineStr"/>
      <c r="T54" s="41" t="inlineStr"/>
      <c r="U54" s="41" t="inlineStr"/>
      <c r="V54" s="44" t="inlineStr"/>
      <c r="W54" s="41" t="inlineStr"/>
      <c r="X54" s="44" t="inlineStr">
        <is>
          <t>findMany().find(m=&gt;m.isLeader) → đầu tiên tìm thấy</t>
        </is>
      </c>
    </row>
    <row r="55" ht="80" customHeight="1">
      <c r="A55" s="41" t="inlineStr">
        <is>
          <t>TC-052</t>
        </is>
      </c>
      <c r="B55" s="46" t="inlineStr">
        <is>
          <t>RED</t>
        </is>
      </c>
      <c r="C55" s="43" t="inlineStr">
        <is>
          <t>P0</t>
        </is>
      </c>
      <c r="D55" s="44" t="inlineStr">
        <is>
          <t>PATCH /assign</t>
        </is>
      </c>
      <c r="E55" s="44" t="inlineStr">
        <is>
          <t>PATCH /assign — team không có isLeader=true → fail-open, assignedToId = null</t>
        </is>
      </c>
      <c r="F55" s="41" t="inlineStr">
        <is>
          <t>REQ-PA-BIZ</t>
        </is>
      </c>
      <c r="G55" s="41" t="inlineStr">
        <is>
          <t>Decision / No leader</t>
        </is>
      </c>
      <c r="H55" s="41" t="inlineStr">
        <is>
          <t>TB</t>
        </is>
      </c>
      <c r="I55" s="44" t="inlineStr">
        <is>
          <t>Team-C có 3 thành viên, không ai isLeader=true</t>
        </is>
      </c>
      <c r="J55" s="44" t="inlineStr">
        <is>
          <t>PATCH /assign body {assignedTeamId:'team-C', expectedUpdatedAt}</t>
        </is>
      </c>
      <c r="K55" s="44" t="inlineStr">
        <is>
          <t>petition.unassigned.D0, team.no_leader</t>
        </is>
      </c>
      <c r="L55" s="44" t="inlineStr">
        <is>
          <t>petition.unassigned.D0</t>
        </is>
      </c>
      <c r="M55" s="44" t="inlineStr">
        <is>
          <t>Toast 'Không tìm thấy đội trưởng' hoặc không thông báo</t>
        </is>
      </c>
      <c r="N55" s="44" t="inlineStr">
        <is>
          <t>HTTP 200, assignedTeamId='team-C', assignedToId=null (giữ nguyên hay null)</t>
        </is>
      </c>
      <c r="O55" s="44" t="inlineStr">
        <is>
          <t>Petition cập nhật team, assignedToId không thay đổi</t>
        </is>
      </c>
      <c r="P55" s="41" t="inlineStr">
        <is>
          <t>Medium</t>
        </is>
      </c>
      <c r="Q55" s="44" t="inlineStr"/>
      <c r="R55" s="41" t="inlineStr"/>
      <c r="S55" s="41" t="inlineStr"/>
      <c r="T55" s="41" t="inlineStr"/>
      <c r="U55" s="41" t="inlineStr"/>
      <c r="V55" s="44" t="inlineStr"/>
      <c r="W55" s="41" t="inlineStr"/>
      <c r="X55" s="44" t="inlineStr">
        <is>
          <t>Fail-open: no throw, log warning</t>
        </is>
      </c>
    </row>
    <row r="56" ht="80" customHeight="1">
      <c r="A56" s="41" t="inlineStr">
        <is>
          <t>TC-053</t>
        </is>
      </c>
      <c r="B56" s="46" t="inlineStr">
        <is>
          <t>RED</t>
        </is>
      </c>
      <c r="C56" s="45" t="inlineStr">
        <is>
          <t>P1</t>
        </is>
      </c>
      <c r="D56" s="44" t="inlineStr">
        <is>
          <t>POST /assignments</t>
        </is>
      </c>
      <c r="E56" s="44" t="inlineStr">
        <is>
          <t>POST /assignments — userId chứa SQL injection string → sanitized, không execute</t>
        </is>
      </c>
      <c r="F56" s="41" t="inlineStr">
        <is>
          <t>REQ-PA-SECURITY</t>
        </is>
      </c>
      <c r="G56" s="41" t="inlineStr">
        <is>
          <t>Security / SQLi</t>
        </is>
      </c>
      <c r="H56" s="41" t="inlineStr">
        <is>
          <t>Cao</t>
        </is>
      </c>
      <c r="I56" s="44" t="inlineStr">
        <is>
          <t>-</t>
        </is>
      </c>
      <c r="J56" s="44" t="inlineStr">
        <is>
          <t>POST /assignments body {userId:"'; DROP TABLE petition_assignments;--", role:'SUPPORT'}</t>
        </is>
      </c>
      <c r="K56" s="44" t="inlineStr">
        <is>
          <t>petition.new.D0</t>
        </is>
      </c>
      <c r="L56" s="44" t="inlineStr">
        <is>
          <t>petition.new.D0</t>
        </is>
      </c>
      <c r="M56" s="44" t="inlineStr">
        <is>
          <t>-</t>
        </is>
      </c>
      <c r="N56" s="44" t="inlineStr">
        <is>
          <t>HTTP 404 (petition not found) hoặc HTTP 400 — không execute SQL</t>
        </is>
      </c>
      <c r="O56" s="44" t="inlineStr">
        <is>
          <t>Table petition_assignments vẫn tồn tại</t>
        </is>
      </c>
      <c r="P56" s="41" t="inlineStr">
        <is>
          <t>Critical</t>
        </is>
      </c>
      <c r="Q56" s="44" t="inlineStr"/>
      <c r="R56" s="41" t="inlineStr"/>
      <c r="S56" s="41" t="inlineStr"/>
      <c r="T56" s="41" t="inlineStr"/>
      <c r="U56" s="41" t="inlineStr"/>
      <c r="V56" s="44" t="inlineStr"/>
      <c r="W56" s="41" t="inlineStr"/>
      <c r="X56" s="44" t="inlineStr">
        <is>
          <t>Prisma parameterized queries — SQL injection không thể xảy ra</t>
        </is>
      </c>
    </row>
    <row r="57" ht="80" customHeight="1">
      <c r="A57" s="41" t="inlineStr">
        <is>
          <t>TC-054</t>
        </is>
      </c>
      <c r="B57" s="46" t="inlineStr">
        <is>
          <t>RED</t>
        </is>
      </c>
      <c r="C57" s="45" t="inlineStr">
        <is>
          <t>P1</t>
        </is>
      </c>
      <c r="D57" s="44" t="inlineStr">
        <is>
          <t>POST /assignments</t>
        </is>
      </c>
      <c r="E57" s="44" t="inlineStr">
        <is>
          <t>POST /assignments — request timeout → UI loading state reset</t>
        </is>
      </c>
      <c r="F57" s="41" t="inlineStr">
        <is>
          <t>REQ-PA-UX</t>
        </is>
      </c>
      <c r="G57" s="41" t="inlineStr">
        <is>
          <t>Recovery / Timeout</t>
        </is>
      </c>
      <c r="H57" s="41" t="inlineStr">
        <is>
          <t>TB</t>
        </is>
      </c>
      <c r="I57" s="44" t="inlineStr">
        <is>
          <t>Server delay 31 giây (vượt timeout)</t>
        </is>
      </c>
      <c r="J57" s="44" t="inlineStr">
        <is>
          <t>POST /assignments, chờ timeout</t>
        </is>
      </c>
      <c r="K57" s="44" t="inlineStr">
        <is>
          <t>petition.new.D0</t>
        </is>
      </c>
      <c r="L57" s="44" t="inlineStr">
        <is>
          <t>petition.new.D0</t>
        </is>
      </c>
      <c r="M57" s="44" t="inlineStr">
        <is>
          <t>Nút 'Thêm' trở về trạng thái bình thường (không bị kẹt 'Đang thêm...')</t>
        </is>
      </c>
      <c r="N57" s="44" t="inlineStr">
        <is>
          <t>HTTP timeout / 504</t>
        </is>
      </c>
      <c r="O57" s="44" t="inlineStr">
        <is>
          <t>isAdding = false sau timeout</t>
        </is>
      </c>
      <c r="P57" s="41" t="inlineStr">
        <is>
          <t>Medium</t>
        </is>
      </c>
      <c r="Q57" s="44" t="inlineStr"/>
      <c r="R57" s="41" t="inlineStr"/>
      <c r="S57" s="41" t="inlineStr"/>
      <c r="T57" s="41" t="inlineStr"/>
      <c r="U57" s="41" t="inlineStr"/>
      <c r="V57" s="44" t="inlineStr"/>
      <c r="W57" s="41" t="inlineStr"/>
      <c r="X57" s="44" t="inlineStr">
        <is>
          <t>finally { setIsAdding(false) }</t>
        </is>
      </c>
    </row>
    <row r="58" ht="80" customHeight="1">
      <c r="A58" s="41" t="inlineStr">
        <is>
          <t>TC-055</t>
        </is>
      </c>
      <c r="B58" s="46" t="inlineStr">
        <is>
          <t>RED</t>
        </is>
      </c>
      <c r="C58" s="45" t="inlineStr">
        <is>
          <t>P1</t>
        </is>
      </c>
      <c r="D58" s="44" t="inlineStr">
        <is>
          <t>UI Phân công</t>
        </is>
      </c>
      <c r="E58" s="44" t="inlineStr">
        <is>
          <t>UI — POST /assignments fail → hiện error message, không crash</t>
        </is>
      </c>
      <c r="F58" s="41" t="inlineStr">
        <is>
          <t>REQ-PA-UX</t>
        </is>
      </c>
      <c r="G58" s="41" t="inlineStr">
        <is>
          <t>Error / Recovery</t>
        </is>
      </c>
      <c r="H58" s="41" t="inlineStr">
        <is>
          <t>TB</t>
        </is>
      </c>
      <c r="I58" s="44" t="inlineStr">
        <is>
          <t>Server trả về 500 khi thêm assignment</t>
        </is>
      </c>
      <c r="J58" s="44" t="inlineStr">
        <is>
          <t>1. Chọn cán bộ, click Thêm
2. Server mock trả về 500</t>
        </is>
      </c>
      <c r="K58" s="44" t="inlineStr">
        <is>
          <t>petition.new.D0</t>
        </is>
      </c>
      <c r="L58" s="44" t="inlineStr">
        <is>
          <t>petition.new.D0</t>
        </is>
      </c>
      <c r="M58" s="44" t="inlineStr">
        <is>
          <t>Hiện text 'Không thể thêm phân công. Vui lòng thử lại.' (data-testid=assignment-error)</t>
        </is>
      </c>
      <c r="N58" s="44" t="inlineStr">
        <is>
          <t>-</t>
        </is>
      </c>
      <c r="O58" s="44" t="inlineStr">
        <is>
          <t>isAdding = false, addUserId không reset</t>
        </is>
      </c>
      <c r="P58" s="41" t="inlineStr">
        <is>
          <t>High</t>
        </is>
      </c>
      <c r="Q58" s="44" t="inlineStr"/>
      <c r="R58" s="41" t="inlineStr"/>
      <c r="S58" s="41" t="inlineStr"/>
      <c r="T58" s="41" t="inlineStr"/>
      <c r="U58" s="41" t="inlineStr"/>
      <c r="V58" s="44" t="inlineStr"/>
      <c r="W58" s="41" t="inlineStr"/>
      <c r="X58" s="44" t="inlineStr">
        <is>
          <t>catch { setAddError('...') }</t>
        </is>
      </c>
    </row>
    <row r="59" ht="80" customHeight="1">
      <c r="A59" s="41" t="inlineStr">
        <is>
          <t>TC-056</t>
        </is>
      </c>
      <c r="B59" s="46" t="inlineStr">
        <is>
          <t>RED</t>
        </is>
      </c>
      <c r="C59" s="45" t="inlineStr">
        <is>
          <t>P1</t>
        </is>
      </c>
      <c r="D59" s="44" t="inlineStr">
        <is>
          <t>UI Phân công</t>
        </is>
      </c>
      <c r="E59" s="44" t="inlineStr">
        <is>
          <t>UI — DELETE fail → hiện error message</t>
        </is>
      </c>
      <c r="F59" s="41" t="inlineStr">
        <is>
          <t>REQ-PA-UX</t>
        </is>
      </c>
      <c r="G59" s="41" t="inlineStr">
        <is>
          <t>Error / Recovery</t>
        </is>
      </c>
      <c r="H59" s="41" t="inlineStr">
        <is>
          <t>TB</t>
        </is>
      </c>
      <c r="I59" s="44" t="inlineStr">
        <is>
          <t>Server trả về 500 khi xóa</t>
        </is>
      </c>
      <c r="J59" s="44" t="inlineStr">
        <is>
          <t>1. Click trash icon
2. Server mock trả về 500</t>
        </is>
      </c>
      <c r="K59" s="44" t="inlineStr">
        <is>
          <t>petition.with_1_assignment.D7</t>
        </is>
      </c>
      <c r="L59" s="44" t="inlineStr">
        <is>
          <t>petition.with_1_assignment.D7</t>
        </is>
      </c>
      <c r="M59" s="44" t="inlineStr">
        <is>
          <t>Hiện error message, assignment vẫn còn trong list</t>
        </is>
      </c>
      <c r="N59" s="44" t="inlineStr">
        <is>
          <t>-</t>
        </is>
      </c>
      <c r="O59" s="44" t="inlineStr">
        <is>
          <t>Không có gì bị xóa</t>
        </is>
      </c>
      <c r="P59" s="41" t="inlineStr">
        <is>
          <t>High</t>
        </is>
      </c>
      <c r="Q59" s="44" t="inlineStr"/>
      <c r="R59" s="41" t="inlineStr"/>
      <c r="S59" s="41" t="inlineStr"/>
      <c r="T59" s="41" t="inlineStr"/>
      <c r="U59" s="41" t="inlineStr"/>
      <c r="V59" s="44" t="inlineStr"/>
      <c r="W59" s="41" t="inlineStr"/>
      <c r="X59" s="44" t="inlineStr">
        <is>
          <t>catch { setAddError('Không thể xóa...') }</t>
        </is>
      </c>
    </row>
    <row r="60" ht="80" customHeight="1">
      <c r="A60" s="41" t="inlineStr">
        <is>
          <t>TC-057</t>
        </is>
      </c>
      <c r="B60" s="46" t="inlineStr">
        <is>
          <t>RED</t>
        </is>
      </c>
      <c r="C60" s="45" t="inlineStr">
        <is>
          <t>P1</t>
        </is>
      </c>
      <c r="D60" s="44" t="inlineStr">
        <is>
          <t>UI Phân công</t>
        </is>
      </c>
      <c r="E60" s="44" t="inlineStr">
        <is>
          <t>UI — GET /assignments fail khi load → empty state (không crash)</t>
        </is>
      </c>
      <c r="F60" s="41" t="inlineStr">
        <is>
          <t>REQ-PA-UX</t>
        </is>
      </c>
      <c r="G60" s="41" t="inlineStr">
        <is>
          <t>Error / Recovery</t>
        </is>
      </c>
      <c r="H60" s="41" t="inlineStr">
        <is>
          <t>TB</t>
        </is>
      </c>
      <c r="I60" s="44" t="inlineStr">
        <is>
          <t>Server trả về 500 khi GET assignments</t>
        </is>
      </c>
      <c r="J60" s="44" t="inlineStr">
        <is>
          <t>Mở PetitionFormPage, GET /assignments mock → 500</t>
        </is>
      </c>
      <c r="K60" s="44" t="inlineStr">
        <is>
          <t>petition.any.D7</t>
        </is>
      </c>
      <c r="L60" s="44" t="inlineStr">
        <is>
          <t>petition.any.D7</t>
        </is>
      </c>
      <c r="M60" s="44" t="inlineStr">
        <is>
          <t>Hiển thị 'Chưa có cán bộ được phân công.' (empty state), không crash</t>
        </is>
      </c>
      <c r="N60" s="44" t="inlineStr">
        <is>
          <t>-</t>
        </is>
      </c>
      <c r="O60" s="44" t="inlineStr">
        <is>
          <t>setAssignments([]) trong catch block</t>
        </is>
      </c>
      <c r="P60" s="41" t="inlineStr">
        <is>
          <t>Medium</t>
        </is>
      </c>
      <c r="Q60" s="44" t="inlineStr"/>
      <c r="R60" s="41" t="inlineStr"/>
      <c r="S60" s="41" t="inlineStr"/>
      <c r="T60" s="41" t="inlineStr"/>
      <c r="U60" s="41" t="inlineStr"/>
      <c r="V60" s="44" t="inlineStr"/>
      <c r="W60" s="41" t="inlineStr"/>
      <c r="X60" s="44" t="inlineStr">
        <is>
          <t>catch() { if(!aborted) setAssignments([]) }</t>
        </is>
      </c>
    </row>
    <row r="61" ht="80" customHeight="1">
      <c r="A61" s="41" t="inlineStr">
        <is>
          <t>TC-058</t>
        </is>
      </c>
      <c r="B61" s="46" t="inlineStr">
        <is>
          <t>RED</t>
        </is>
      </c>
      <c r="C61" s="43" t="inlineStr">
        <is>
          <t>P0</t>
        </is>
      </c>
      <c r="D61" s="44" t="inlineStr">
        <is>
          <t>UI Phân công</t>
        </is>
      </c>
      <c r="E61" s="44" t="inlineStr">
        <is>
          <t>UI — nút Thêm disabled khi đang loading (isAdding=true)</t>
        </is>
      </c>
      <c r="F61" s="41" t="inlineStr">
        <is>
          <t>REQ-PA-UX</t>
        </is>
      </c>
      <c r="G61" s="41" t="inlineStr">
        <is>
          <t>State / Loading</t>
        </is>
      </c>
      <c r="H61" s="41" t="inlineStr">
        <is>
          <t>TB</t>
        </is>
      </c>
      <c r="I61" s="44" t="inlineStr">
        <is>
          <t>POST đang in-flight</t>
        </is>
      </c>
      <c r="J61" s="44" t="inlineStr">
        <is>
          <t>Click Thêm → kiểm tra ngay sau click (trong khoảng isAdding=true)</t>
        </is>
      </c>
      <c r="K61" s="44" t="inlineStr">
        <is>
          <t>petition.new.D0</t>
        </is>
      </c>
      <c r="L61" s="44" t="inlineStr">
        <is>
          <t>petition.new.D0</t>
        </is>
      </c>
      <c r="M61" s="44" t="inlineStr">
        <is>
          <t>Nút hiển thị 'Đang thêm...', disabled=true, không thể click lần 2</t>
        </is>
      </c>
      <c r="N61" s="44" t="inlineStr">
        <is>
          <t>Chỉ 1 POST request (không double-submit)</t>
        </is>
      </c>
      <c r="O61" s="44" t="inlineStr">
        <is>
          <t>-</t>
        </is>
      </c>
      <c r="P61" s="41" t="inlineStr">
        <is>
          <t>High</t>
        </is>
      </c>
      <c r="Q61" s="44" t="inlineStr"/>
      <c r="R61" s="41" t="inlineStr"/>
      <c r="S61" s="41" t="inlineStr"/>
      <c r="T61" s="41" t="inlineStr"/>
      <c r="U61" s="41" t="inlineStr"/>
      <c r="V61" s="44" t="inlineStr"/>
      <c r="W61" s="41" t="inlineStr"/>
      <c r="X61" s="44" t="inlineStr">
        <is>
          <t>disabled={!addUserId || isAdding}</t>
        </is>
      </c>
    </row>
    <row r="62" ht="80" customHeight="1">
      <c r="A62" s="41" t="inlineStr">
        <is>
          <t>TC-059</t>
        </is>
      </c>
      <c r="B62" s="46" t="inlineStr">
        <is>
          <t>RED</t>
        </is>
      </c>
      <c r="C62" s="45" t="inlineStr">
        <is>
          <t>P1</t>
        </is>
      </c>
      <c r="D62" s="44" t="inlineStr">
        <is>
          <t>UI Phân công</t>
        </is>
      </c>
      <c r="E62" s="44" t="inlineStr">
        <is>
          <t>UI — dropdown trống khi tất cả users đã được assigned</t>
        </is>
      </c>
      <c r="F62" s="41" t="inlineStr">
        <is>
          <t>REQ-PA-UX</t>
        </is>
      </c>
      <c r="G62" s="41" t="inlineStr">
        <is>
          <t>State / Edge</t>
        </is>
      </c>
      <c r="H62" s="41" t="inlineStr">
        <is>
          <t>TB</t>
        </is>
      </c>
      <c r="I62" s="44" t="inlineStr">
        <is>
          <t>Cả 3 users trong userOptions đã assigned cho petition</t>
        </is>
      </c>
      <c r="J62" s="44" t="inlineStr">
        <is>
          <t>Kiểm tra select options</t>
        </is>
      </c>
      <c r="K62" s="44" t="inlineStr">
        <is>
          <t>petition.all_assigned.D7 (3 users, cả 3 assigned)</t>
        </is>
      </c>
      <c r="L62" s="44" t="inlineStr">
        <is>
          <t>petition.all_assigned.D7</t>
        </is>
      </c>
      <c r="M62" s="44" t="inlineStr">
        <is>
          <t>Dropdown chỉ có '-- Chọn cán bộ --', nút Thêm disabled</t>
        </is>
      </c>
      <c r="N62" s="44" t="inlineStr">
        <is>
          <t>-</t>
        </is>
      </c>
      <c r="O62" s="44" t="inlineStr">
        <is>
          <t>-</t>
        </is>
      </c>
      <c r="P62" s="41" t="inlineStr">
        <is>
          <t>Medium</t>
        </is>
      </c>
      <c r="Q62" s="44" t="inlineStr"/>
      <c r="R62" s="41" t="inlineStr"/>
      <c r="S62" s="41" t="inlineStr"/>
      <c r="T62" s="41" t="inlineStr"/>
      <c r="U62" s="41" t="inlineStr"/>
      <c r="V62" s="44" t="inlineStr"/>
      <c r="W62" s="41" t="inlineStr"/>
      <c r="X62" s="44" t="inlineStr">
        <is>
          <t>availableUsers.length === 0</t>
        </is>
      </c>
    </row>
    <row r="63" ht="80" customHeight="1">
      <c r="A63" s="41" t="inlineStr">
        <is>
          <t>TC-060</t>
        </is>
      </c>
      <c r="B63" s="46" t="inlineStr">
        <is>
          <t>RED</t>
        </is>
      </c>
      <c r="C63" s="45" t="inlineStr">
        <is>
          <t>P1</t>
        </is>
      </c>
      <c r="D63" s="44" t="inlineStr">
        <is>
          <t>UI Phân công</t>
        </is>
      </c>
      <c r="E63" s="44" t="inlineStr">
        <is>
          <t>UI — unmount khi đang fetch → không memory leak (AbortController)</t>
        </is>
      </c>
      <c r="F63" s="41" t="inlineStr">
        <is>
          <t>REQ-PA-PERF</t>
        </is>
      </c>
      <c r="G63" s="41" t="inlineStr">
        <is>
          <t>Memory / Cleanup</t>
        </is>
      </c>
      <c r="H63" s="41" t="inlineStr">
        <is>
          <t>TB</t>
        </is>
      </c>
      <c r="I63" s="44" t="inlineStr">
        <is>
          <t>GET /assignments in-flight khi navigate away</t>
        </is>
      </c>
      <c r="J63" s="44" t="inlineStr">
        <is>
          <t>1. Mở edit page
2. Navigate away ngay (trước khi GET hoàn thành)</t>
        </is>
      </c>
      <c r="K63" s="44" t="inlineStr">
        <is>
          <t>petition.new.D0</t>
        </is>
      </c>
      <c r="L63" s="44" t="inlineStr">
        <is>
          <t>petition.new.D0</t>
        </is>
      </c>
      <c r="M63" s="44" t="inlineStr">
        <is>
          <t>Không có 'Can't perform a React state update on an unmounted component' warning</t>
        </is>
      </c>
      <c r="N63" s="44" t="inlineStr">
        <is>
          <t>GET bị abort</t>
        </is>
      </c>
      <c r="O63" s="44" t="inlineStr">
        <is>
          <t>setAssignments không được gọi sau unmount</t>
        </is>
      </c>
      <c r="P63" s="41" t="inlineStr">
        <is>
          <t>Medium</t>
        </is>
      </c>
      <c r="Q63" s="44" t="inlineStr"/>
      <c r="R63" s="41" t="inlineStr"/>
      <c r="S63" s="41" t="inlineStr"/>
      <c r="T63" s="41" t="inlineStr"/>
      <c r="U63" s="41" t="inlineStr"/>
      <c r="V63" s="44" t="inlineStr"/>
      <c r="W63" s="41" t="inlineStr"/>
      <c r="X63" s="44" t="inlineStr">
        <is>
          <t>AbortController trong useEffect cleanup</t>
        </is>
      </c>
    </row>
    <row r="64" ht="80" customHeight="1">
      <c r="A64" s="41" t="inlineStr">
        <is>
          <t>TC-061</t>
        </is>
      </c>
      <c r="B64" s="46" t="inlineStr">
        <is>
          <t>RED</t>
        </is>
      </c>
      <c r="C64" s="45" t="inlineStr">
        <is>
          <t>P1</t>
        </is>
      </c>
      <c r="D64" s="44" t="inlineStr">
        <is>
          <t>POST /assignments</t>
        </is>
      </c>
      <c r="E64" s="44" t="inlineStr">
        <is>
          <t>POST /assignments — concurrent 5 users khác nhau → tất cả 5 row được tạo</t>
        </is>
      </c>
      <c r="F64" s="41" t="inlineStr">
        <is>
          <t>REQ-PA-PERF</t>
        </is>
      </c>
      <c r="G64" s="41" t="inlineStr">
        <is>
          <t>Concurrency / Load</t>
        </is>
      </c>
      <c r="H64" s="41" t="inlineStr">
        <is>
          <t>TB</t>
        </is>
      </c>
      <c r="I64" s="44" t="inlineStr">
        <is>
          <t>5 users chưa assigned</t>
        </is>
      </c>
      <c r="J64" s="44" t="inlineStr">
        <is>
          <t>Gửi đồng thời 5 POST requests với userId khác nhau</t>
        </is>
      </c>
      <c r="K64" s="44" t="inlineStr">
        <is>
          <t>petition.new.D0, 5 unique users</t>
        </is>
      </c>
      <c r="L64" s="44" t="inlineStr">
        <is>
          <t>petition.new.D0</t>
        </is>
      </c>
      <c r="M64" s="44" t="inlineStr">
        <is>
          <t>-</t>
        </is>
      </c>
      <c r="N64" s="44" t="inlineStr">
        <is>
          <t>5 × HTTP 201</t>
        </is>
      </c>
      <c r="O64" s="44" t="inlineStr">
        <is>
          <t>5 rows trong DB</t>
        </is>
      </c>
      <c r="P64" s="41" t="inlineStr">
        <is>
          <t>High</t>
        </is>
      </c>
      <c r="Q64" s="44" t="inlineStr"/>
      <c r="R64" s="41" t="inlineStr"/>
      <c r="S64" s="41" t="inlineStr"/>
      <c r="T64" s="41" t="inlineStr"/>
      <c r="U64" s="41" t="inlineStr"/>
      <c r="V64" s="44" t="inlineStr"/>
      <c r="W64" s="41" t="inlineStr"/>
      <c r="X64" s="44" t="inlineStr">
        <is>
          <t>Concurrent creates — no conflict nếu userId khác nhau</t>
        </is>
      </c>
    </row>
    <row r="65" ht="80" customHeight="1">
      <c r="A65" s="41" t="inlineStr">
        <is>
          <t>TC-062</t>
        </is>
      </c>
      <c r="B65" s="46" t="inlineStr">
        <is>
          <t>RED</t>
        </is>
      </c>
      <c r="C65" s="45" t="inlineStr">
        <is>
          <t>P1</t>
        </is>
      </c>
      <c r="D65" s="44" t="inlineStr">
        <is>
          <t>GET /assignments</t>
        </is>
      </c>
      <c r="E65" s="44" t="inlineStr">
        <is>
          <t>GET /assignments — response không leak password hay sensitive user data</t>
        </is>
      </c>
      <c r="F65" s="41" t="inlineStr">
        <is>
          <t>REQ-PA-SECURITY</t>
        </is>
      </c>
      <c r="G65" s="41" t="inlineStr">
        <is>
          <t>Security / Data exposure</t>
        </is>
      </c>
      <c r="H65" s="41" t="inlineStr">
        <is>
          <t>Cao</t>
        </is>
      </c>
      <c r="I65" s="44" t="inlineStr">
        <is>
          <t>-</t>
        </is>
      </c>
      <c r="J65" s="44" t="inlineStr">
        <is>
          <t>GET /assignments, inspect response JSON</t>
        </is>
      </c>
      <c r="K65" s="44" t="inlineStr">
        <is>
          <t>petition.with_1_assignment.D7</t>
        </is>
      </c>
      <c r="L65" s="44" t="inlineStr">
        <is>
          <t>petition.with_1_assignment.D7</t>
        </is>
      </c>
      <c r="M65" s="44" t="inlineStr">
        <is>
          <t>-</t>
        </is>
      </c>
      <c r="N65" s="44" t="inlineStr">
        <is>
          <t>HTTP 200, response.user không có: password, passwordHash, salt, refreshToken, twoFaSecret</t>
        </is>
      </c>
      <c r="O65" s="44" t="inlineStr">
        <is>
          <t>-</t>
        </is>
      </c>
      <c r="P65" s="41" t="inlineStr">
        <is>
          <t>Critical</t>
        </is>
      </c>
      <c r="Q65" s="44" t="inlineStr"/>
      <c r="R65" s="41" t="inlineStr"/>
      <c r="S65" s="41" t="inlineStr"/>
      <c r="T65" s="41" t="inlineStr"/>
      <c r="U65" s="41" t="inlineStr"/>
      <c r="V65" s="44" t="inlineStr"/>
      <c r="W65" s="41" t="inlineStr"/>
      <c r="X65" s="44" t="inlineStr">
        <is>
          <t>select: {id, firstName, lastName, email, username} — no password</t>
        </is>
      </c>
    </row>
    <row r="66" ht="80" customHeight="1">
      <c r="A66" s="41" t="inlineStr">
        <is>
          <t>TC-063</t>
        </is>
      </c>
      <c r="B66" s="46" t="inlineStr">
        <is>
          <t>RED</t>
        </is>
      </c>
      <c r="C66" s="45" t="inlineStr">
        <is>
          <t>P1</t>
        </is>
      </c>
      <c r="D66" s="44" t="inlineStr">
        <is>
          <t>POST /assignments</t>
        </is>
      </c>
      <c r="E66" s="44" t="inlineStr">
        <is>
          <t>POST /assignments — XSS payload trong userId → không execute script</t>
        </is>
      </c>
      <c r="F66" s="41" t="inlineStr">
        <is>
          <t>REQ-PA-SECURITY</t>
        </is>
      </c>
      <c r="G66" s="41" t="inlineStr">
        <is>
          <t>Security / XSS</t>
        </is>
      </c>
      <c r="H66" s="41" t="inlineStr">
        <is>
          <t>Cao</t>
        </is>
      </c>
      <c r="I66" s="44" t="inlineStr">
        <is>
          <t>-</t>
        </is>
      </c>
      <c r="J66" s="44" t="inlineStr">
        <is>
          <t>POST /assignments body {userId:'&lt;script&gt;alert(1)&lt;/script&gt;', role:'SUPPORT'}</t>
        </is>
      </c>
      <c r="K66" s="44" t="inlineStr">
        <is>
          <t>petition.new.D0</t>
        </is>
      </c>
      <c r="L66" s="44" t="inlineStr">
        <is>
          <t>petition.new.D0</t>
        </is>
      </c>
      <c r="M66" s="44" t="inlineStr">
        <is>
          <t>Nếu UI hiện userId, không execute script</t>
        </is>
      </c>
      <c r="N66" s="44" t="inlineStr">
        <is>
          <t>HTTP 400 hoặc HTTP 404 (userId not found)</t>
        </is>
      </c>
      <c r="O66" s="44" t="inlineStr">
        <is>
          <t>Không có script execution</t>
        </is>
      </c>
      <c r="P66" s="41" t="inlineStr">
        <is>
          <t>Critical</t>
        </is>
      </c>
      <c r="Q66" s="44" t="inlineStr"/>
      <c r="R66" s="41" t="inlineStr"/>
      <c r="S66" s="41" t="inlineStr"/>
      <c r="T66" s="41" t="inlineStr"/>
      <c r="U66" s="41" t="inlineStr"/>
      <c r="V66" s="44" t="inlineStr"/>
      <c r="W66" s="41" t="inlineStr"/>
      <c r="X66" s="44" t="inlineStr">
        <is>
          <t>Prisma parameterized queries + React JSX escaping</t>
        </is>
      </c>
    </row>
    <row r="67" ht="80" customHeight="1">
      <c r="A67" s="41" t="inlineStr">
        <is>
          <t>TC-064</t>
        </is>
      </c>
      <c r="B67" s="46" t="inlineStr">
        <is>
          <t>RED</t>
        </is>
      </c>
      <c r="C67" s="47" t="inlineStr">
        <is>
          <t>P2</t>
        </is>
      </c>
      <c r="D67" s="44" t="inlineStr">
        <is>
          <t>UI Phân công</t>
        </is>
      </c>
      <c r="E67" s="44" t="inlineStr">
        <is>
          <t>UI — add assignment thành công → dropdown reset về placeholder</t>
        </is>
      </c>
      <c r="F67" s="41" t="inlineStr">
        <is>
          <t>REQ-PA-UX</t>
        </is>
      </c>
      <c r="G67" s="41" t="inlineStr">
        <is>
          <t>State / Reset</t>
        </is>
      </c>
      <c r="H67" s="41" t="inlineStr">
        <is>
          <t>Thấp</t>
        </is>
      </c>
      <c r="I67" s="44" t="inlineStr">
        <is>
          <t>user-3 chưa assigned</t>
        </is>
      </c>
      <c r="J67" s="44" t="inlineStr">
        <is>
          <t>1. Chọn user-3
2. Click Thêm → wait success</t>
        </is>
      </c>
      <c r="K67" s="44" t="inlineStr">
        <is>
          <t>petition.new.D0</t>
        </is>
      </c>
      <c r="L67" s="44" t="inlineStr">
        <is>
          <t>petition.new.D0</t>
        </is>
      </c>
      <c r="M67" s="44" t="inlineStr">
        <is>
          <t>Select value về '' (placeholder '-- Chọn cán bộ --')</t>
        </is>
      </c>
      <c r="N67" s="44" t="inlineStr">
        <is>
          <t>-</t>
        </is>
      </c>
      <c r="O67" s="44" t="inlineStr">
        <is>
          <t>setAddUserId('') sau success</t>
        </is>
      </c>
      <c r="P67" s="41" t="inlineStr">
        <is>
          <t>Low</t>
        </is>
      </c>
      <c r="Q67" s="44" t="inlineStr"/>
      <c r="R67" s="41" t="inlineStr"/>
      <c r="S67" s="41" t="inlineStr"/>
      <c r="T67" s="41" t="inlineStr"/>
      <c r="U67" s="41" t="inlineStr"/>
      <c r="V67" s="44" t="inlineStr"/>
      <c r="W67" s="41" t="inlineStr"/>
      <c r="X67" s="44" t="inlineStr">
        <is>
          <t>UX: form reset sau add</t>
        </is>
      </c>
    </row>
    <row r="68" ht="80" customHeight="1">
      <c r="A68" s="41" t="inlineStr">
        <is>
          <t>TC-065</t>
        </is>
      </c>
      <c r="B68" s="46" t="inlineStr">
        <is>
          <t>RED</t>
        </is>
      </c>
      <c r="C68" s="45" t="inlineStr">
        <is>
          <t>P1</t>
        </is>
      </c>
      <c r="D68" s="44" t="inlineStr">
        <is>
          <t>UI Phân công</t>
        </is>
      </c>
      <c r="E68" s="44" t="inlineStr">
        <is>
          <t>UI — thêm liên tiếp 3 assignments → list update từng cái chính xác</t>
        </is>
      </c>
      <c r="F68" s="41" t="inlineStr">
        <is>
          <t>REQ-PA-UX</t>
        </is>
      </c>
      <c r="G68" s="41" t="inlineStr">
        <is>
          <t>State / Sequential</t>
        </is>
      </c>
      <c r="H68" s="41" t="inlineStr">
        <is>
          <t>TB</t>
        </is>
      </c>
      <c r="I68" s="44" t="inlineStr">
        <is>
          <t>3 users chưa assigned</t>
        </is>
      </c>
      <c r="J68" s="44" t="inlineStr">
        <is>
          <t>1. Thêm user-1
2. Thêm user-2
3. Thêm user-3
4. Kiểm tra list</t>
        </is>
      </c>
      <c r="K68" s="44" t="inlineStr">
        <is>
          <t>petition.new.D0, 3 users</t>
        </is>
      </c>
      <c r="L68" s="44" t="inlineStr">
        <is>
          <t>petition.new.D0</t>
        </is>
      </c>
      <c r="M68" s="44" t="inlineStr">
        <is>
          <t>3 items trong list, mỗi item đúng user</t>
        </is>
      </c>
      <c r="N68" s="44" t="inlineStr">
        <is>
          <t>3 POST request tuần tự, mỗi lần 201</t>
        </is>
      </c>
      <c r="O68" s="44" t="inlineStr">
        <is>
          <t>3 rows trong DB</t>
        </is>
      </c>
      <c r="P68" s="41" t="inlineStr">
        <is>
          <t>High</t>
        </is>
      </c>
      <c r="Q68" s="44" t="inlineStr"/>
      <c r="R68" s="41" t="inlineStr"/>
      <c r="S68" s="41" t="inlineStr"/>
      <c r="T68" s="41" t="inlineStr"/>
      <c r="U68" s="41" t="inlineStr"/>
      <c r="V68" s="44" t="inlineStr"/>
      <c r="W68" s="41" t="inlineStr"/>
      <c r="X68" s="44" t="inlineStr">
        <is>
          <t>setAssignments(prev =&gt; [...prev, newItem])</t>
        </is>
      </c>
    </row>
    <row r="69" ht="80" customHeight="1">
      <c r="A69" s="41" t="inlineStr">
        <is>
          <t>TC-066</t>
        </is>
      </c>
      <c r="B69" s="46" t="inlineStr">
        <is>
          <t>RED</t>
        </is>
      </c>
      <c r="C69" s="47" t="inlineStr">
        <is>
          <t>P2</t>
        </is>
      </c>
      <c r="D69" s="44" t="inlineStr">
        <is>
          <t>UI Phân công</t>
        </is>
      </c>
      <c r="E69" s="44" t="inlineStr">
        <is>
          <t>UI — sau khi xóa assignment, user xuất hiện lại trong dropdown</t>
        </is>
      </c>
      <c r="F69" s="41" t="inlineStr">
        <is>
          <t>REQ-PA-UX</t>
        </is>
      </c>
      <c r="G69" s="41" t="inlineStr">
        <is>
          <t>State / Sync</t>
        </is>
      </c>
      <c r="H69" s="41" t="inlineStr">
        <is>
          <t>TB</t>
        </is>
      </c>
      <c r="I69" s="44" t="inlineStr">
        <is>
          <t>user-1 đang assigned</t>
        </is>
      </c>
      <c r="J69" s="44" t="inlineStr">
        <is>
          <t>1. Xóa user-1
2. Kiểm tra dropdown</t>
        </is>
      </c>
      <c r="K69" s="44" t="inlineStr">
        <is>
          <t>petition.with_1_assignment.D7</t>
        </is>
      </c>
      <c r="L69" s="44" t="inlineStr">
        <is>
          <t>petition.with_1_assignment.D7</t>
        </is>
      </c>
      <c r="M69" s="44" t="inlineStr">
        <is>
          <t>user-1 xuất hiện lại trong dropdown Cán bộ</t>
        </is>
      </c>
      <c r="N69" s="44" t="inlineStr">
        <is>
          <t>-</t>
        </is>
      </c>
      <c r="O69" s="44" t="inlineStr">
        <is>
          <t>setAssignments(prev =&gt; prev.filter(a =&gt; a.userId !== userId))</t>
        </is>
      </c>
      <c r="P69" s="41" t="inlineStr">
        <is>
          <t>Medium</t>
        </is>
      </c>
      <c r="Q69" s="44" t="inlineStr"/>
      <c r="R69" s="41" t="inlineStr"/>
      <c r="S69" s="41" t="inlineStr"/>
      <c r="T69" s="41" t="inlineStr"/>
      <c r="U69" s="41" t="inlineStr"/>
      <c r="V69" s="44" t="inlineStr"/>
      <c r="W69" s="41" t="inlineStr"/>
      <c r="X69" s="44" t="inlineStr">
        <is>
          <t>availableUsers recomputed từ assignments state</t>
        </is>
      </c>
    </row>
    <row r="70" ht="80" customHeight="1">
      <c r="A70" s="41" t="inlineStr">
        <is>
          <t>TC-067</t>
        </is>
      </c>
      <c r="B70" s="46" t="inlineStr">
        <is>
          <t>RED</t>
        </is>
      </c>
      <c r="C70" s="45" t="inlineStr">
        <is>
          <t>P1</t>
        </is>
      </c>
      <c r="D70" s="44" t="inlineStr">
        <is>
          <t>PATCH /assign</t>
        </is>
      </c>
      <c r="E70" s="44" t="inlineStr">
        <is>
          <t>PATCH /assign — gán cùng team lần 2 → idempotent, HTTP 200, không lỗi</t>
        </is>
      </c>
      <c r="F70" s="41" t="inlineStr">
        <is>
          <t>REQ-PA-BIZ</t>
        </is>
      </c>
      <c r="G70" s="41" t="inlineStr">
        <is>
          <t>Idempotency</t>
        </is>
      </c>
      <c r="H70" s="41" t="inlineStr">
        <is>
          <t>TB</t>
        </is>
      </c>
      <c r="I70" s="44" t="inlineStr">
        <is>
          <t>Petition đã có assignedTeamId='team-A'</t>
        </is>
      </c>
      <c r="J70" s="44" t="inlineStr">
        <is>
          <t>PATCH /assign body {assignedTeamId:'team-A', expectedUpdatedAt} (cùng team lần 2)</t>
        </is>
      </c>
      <c r="K70" s="44" t="inlineStr">
        <is>
          <t>petition.assigned_team.D7</t>
        </is>
      </c>
      <c r="L70" s="44" t="inlineStr">
        <is>
          <t>petition.assigned_team.D7</t>
        </is>
      </c>
      <c r="M70" s="44" t="inlineStr">
        <is>
          <t>-</t>
        </is>
      </c>
      <c r="N70" s="44" t="inlineStr">
        <is>
          <t>HTTP 200</t>
        </is>
      </c>
      <c r="O70" s="44" t="inlineStr">
        <is>
          <t>assignedTeamId vẫn = 'team-A'</t>
        </is>
      </c>
      <c r="P70" s="41" t="inlineStr">
        <is>
          <t>Medium</t>
        </is>
      </c>
      <c r="Q70" s="44" t="inlineStr"/>
      <c r="R70" s="41" t="inlineStr"/>
      <c r="S70" s="41" t="inlineStr"/>
      <c r="T70" s="41" t="inlineStr"/>
      <c r="U70" s="41" t="inlineStr"/>
      <c r="V70" s="44" t="inlineStr"/>
      <c r="W70" s="41" t="inlineStr"/>
      <c r="X70" s="44" t="inlineStr">
        <is>
          <t>Update is idempotent</t>
        </is>
      </c>
    </row>
    <row r="71" ht="80" customHeight="1">
      <c r="A71" s="41" t="inlineStr">
        <is>
          <t>TC-068</t>
        </is>
      </c>
      <c r="B71" s="46" t="inlineStr">
        <is>
          <t>RED</t>
        </is>
      </c>
      <c r="C71" s="47" t="inlineStr">
        <is>
          <t>P2</t>
        </is>
      </c>
      <c r="D71" s="44" t="inlineStr">
        <is>
          <t>POST /assignments</t>
        </is>
      </c>
      <c r="E71" s="44" t="inlineStr">
        <is>
          <t>POST /assignments — Unicode name trong user → hiển thị đúng</t>
        </is>
      </c>
      <c r="F71" s="41" t="inlineStr">
        <is>
          <t>REQ-PA-DATA</t>
        </is>
      </c>
      <c r="G71" s="41" t="inlineStr">
        <is>
          <t>Data / i18n</t>
        </is>
      </c>
      <c r="H71" s="41" t="inlineStr">
        <is>
          <t>TB</t>
        </is>
      </c>
      <c r="I71" s="44" t="inlineStr">
        <is>
          <t>user có firstName='Nguyễn', lastName='Văn Đức'</t>
        </is>
      </c>
      <c r="J71" s="44" t="inlineStr">
        <is>
          <t>POST /assignments {userId:'unicode-user', role:'SUPPORT'} → GET list → check display</t>
        </is>
      </c>
      <c r="K71" s="44" t="inlineStr">
        <is>
          <t>petition.new.D0, user.vietnamese_name</t>
        </is>
      </c>
      <c r="L71" s="44" t="inlineStr">
        <is>
          <t>petition.new.D0</t>
        </is>
      </c>
      <c r="M71" s="44" t="inlineStr">
        <is>
          <t>Hiển thị 'Nguyễn Văn Đức' đúng trong list, không bị méo</t>
        </is>
      </c>
      <c r="N71" s="44" t="inlineStr">
        <is>
          <t>HTTP 201, user.firstName='Nguyễn', user.lastName='Văn Đức'</t>
        </is>
      </c>
      <c r="O71" s="44" t="inlineStr">
        <is>
          <t>-</t>
        </is>
      </c>
      <c r="P71" s="41" t="inlineStr">
        <is>
          <t>Medium</t>
        </is>
      </c>
      <c r="Q71" s="44" t="inlineStr"/>
      <c r="R71" s="41" t="inlineStr"/>
      <c r="S71" s="41" t="inlineStr"/>
      <c r="T71" s="41" t="inlineStr"/>
      <c r="U71" s="41" t="inlineStr"/>
      <c r="V71" s="44" t="inlineStr"/>
      <c r="W71" s="41" t="inlineStr"/>
      <c r="X71" s="44" t="inlineStr">
        <is>
          <t>Vietnamese chars in names</t>
        </is>
      </c>
    </row>
    <row r="72" ht="80" customHeight="1">
      <c r="A72" s="41" t="inlineStr">
        <is>
          <t>TC-069</t>
        </is>
      </c>
      <c r="B72" s="46" t="inlineStr">
        <is>
          <t>RED</t>
        </is>
      </c>
      <c r="C72" s="47" t="inlineStr">
        <is>
          <t>P2</t>
        </is>
      </c>
      <c r="D72" s="44" t="inlineStr">
        <is>
          <t>GET /assignments</t>
        </is>
      </c>
      <c r="E72" s="44" t="inlineStr">
        <is>
          <t>GET /assignments — assignedBy field là optional, không crash nếu null</t>
        </is>
      </c>
      <c r="F72" s="41" t="inlineStr">
        <is>
          <t>REQ-PA-DATA</t>
        </is>
      </c>
      <c r="G72" s="41" t="inlineStr">
        <is>
          <t>Data / Nullable</t>
        </is>
      </c>
      <c r="H72" s="41" t="inlineStr">
        <is>
          <t>TB</t>
        </is>
      </c>
      <c r="I72" s="44" t="inlineStr">
        <is>
          <t>Assignment có assignedById = user đã bị xóa (cascaded)</t>
        </is>
      </c>
      <c r="J72" s="44" t="inlineStr">
        <is>
          <t>GET /assignments, inspect response</t>
        </is>
      </c>
      <c r="K72" s="44" t="inlineStr">
        <is>
          <t>petition.with_orphan_assignment.D7</t>
        </is>
      </c>
      <c r="L72" s="44" t="inlineStr">
        <is>
          <t>petition.with_orphan_assignment.D7</t>
        </is>
      </c>
      <c r="M72" s="44" t="inlineStr">
        <is>
          <t>Không crash UI</t>
        </is>
      </c>
      <c r="N72" s="44" t="inlineStr">
        <is>
          <t>HTTP 200, item.assignedBy có thể là null hoặc object</t>
        </is>
      </c>
      <c r="O72" s="44" t="inlineStr">
        <is>
          <t>-</t>
        </is>
      </c>
      <c r="P72" s="41" t="inlineStr">
        <is>
          <t>High</t>
        </is>
      </c>
      <c r="Q72" s="44" t="inlineStr"/>
      <c r="R72" s="41" t="inlineStr"/>
      <c r="S72" s="41" t="inlineStr"/>
      <c r="T72" s="41" t="inlineStr"/>
      <c r="U72" s="41" t="inlineStr"/>
      <c r="V72" s="44" t="inlineStr"/>
      <c r="W72" s="41" t="inlineStr"/>
      <c r="X72" s="44" t="inlineStr">
        <is>
          <t>assignedBy?: Partial&lt;UserOption&gt; — optional trong interface</t>
        </is>
      </c>
    </row>
    <row r="73" ht="80" customHeight="1">
      <c r="A73" s="41" t="inlineStr">
        <is>
          <t>TC-070</t>
        </is>
      </c>
      <c r="B73" s="46" t="inlineStr">
        <is>
          <t>RED</t>
        </is>
      </c>
      <c r="C73" s="45" t="inlineStr">
        <is>
          <t>P1</t>
        </is>
      </c>
      <c r="D73" s="44" t="inlineStr">
        <is>
          <t>POST /assignments</t>
        </is>
      </c>
      <c r="E73" s="44" t="inlineStr">
        <is>
          <t>POST /assignments — concurrent delete + add cùng user → consistent state</t>
        </is>
      </c>
      <c r="F73" s="41" t="inlineStr">
        <is>
          <t>REQ-PA-BIZ</t>
        </is>
      </c>
      <c r="G73" s="41" t="inlineStr">
        <is>
          <t>Concurrency / Race</t>
        </is>
      </c>
      <c r="H73" s="41" t="inlineStr">
        <is>
          <t>TB</t>
        </is>
      </c>
      <c r="I73" s="44" t="inlineStr">
        <is>
          <t>user-1 đang assigned</t>
        </is>
      </c>
      <c r="J73" s="44" t="inlineStr">
        <is>
          <t>Đồng thời: DELETE user-1 + POST user-1</t>
        </is>
      </c>
      <c r="K73" s="44" t="inlineStr">
        <is>
          <t>petition.with_1_assignment.D7</t>
        </is>
      </c>
      <c r="L73" s="44" t="inlineStr">
        <is>
          <t>petition.with_1_assignment.D7</t>
        </is>
      </c>
      <c r="M73" s="44" t="inlineStr">
        <is>
          <t>-</t>
        </is>
      </c>
      <c r="N73" s="44" t="inlineStr">
        <is>
          <t>Một trong hai thành công: hoặc user-1 assigned (201) hoặc không (404 trên delete)</t>
        </is>
      </c>
      <c r="O73" s="44" t="inlineStr">
        <is>
          <t>Consistent — không có orphaned state</t>
        </is>
      </c>
      <c r="P73" s="41" t="inlineStr">
        <is>
          <t>Medium</t>
        </is>
      </c>
      <c r="Q73" s="44" t="inlineStr"/>
      <c r="R73" s="41" t="inlineStr"/>
      <c r="S73" s="41" t="inlineStr"/>
      <c r="T73" s="41" t="inlineStr"/>
      <c r="U73" s="41" t="inlineStr"/>
      <c r="V73" s="44" t="inlineStr"/>
      <c r="W73" s="41" t="inlineStr"/>
      <c r="X73" s="44" t="inlineStr">
        <is>
          <t>Race condition — eventual consistency</t>
        </is>
      </c>
    </row>
    <row r="74" ht="80" customHeight="1">
      <c r="A74" s="41" t="inlineStr">
        <is>
          <t>TC-071</t>
        </is>
      </c>
      <c r="B74" s="46" t="inlineStr">
        <is>
          <t>RED</t>
        </is>
      </c>
      <c r="C74" s="47" t="inlineStr">
        <is>
          <t>P2</t>
        </is>
      </c>
      <c r="D74" s="44" t="inlineStr">
        <is>
          <t>DELETE /assignments</t>
        </is>
      </c>
      <c r="E74" s="44" t="inlineStr">
        <is>
          <t>DELETE /assignments — DELETE duplicate (2 lần cùng userId) → 2nd request 404</t>
        </is>
      </c>
      <c r="F74" s="41" t="inlineStr">
        <is>
          <t>REQ-PA-BIZ</t>
        </is>
      </c>
      <c r="G74" s="41" t="inlineStr">
        <is>
          <t>Idempotency</t>
        </is>
      </c>
      <c r="H74" s="41" t="inlineStr">
        <is>
          <t>TB</t>
        </is>
      </c>
      <c r="I74" s="44" t="inlineStr">
        <is>
          <t>user-1 assigned</t>
        </is>
      </c>
      <c r="J74" s="44" t="inlineStr">
        <is>
          <t>1. DELETE user-1 → 200
2. DELETE user-1 lần 2 → ?</t>
        </is>
      </c>
      <c r="K74" s="44" t="inlineStr">
        <is>
          <t>petition.with_1_assignment.D7</t>
        </is>
      </c>
      <c r="L74" s="44" t="inlineStr">
        <is>
          <t>petition.with_1_assignment.D7</t>
        </is>
      </c>
      <c r="M74" s="44" t="inlineStr">
        <is>
          <t>-</t>
        </is>
      </c>
      <c r="N74" s="44" t="inlineStr">
        <is>
          <t>HTTP 200 (lần 1), HTTP 404 (lần 2)</t>
        </is>
      </c>
      <c r="O74" s="44" t="inlineStr">
        <is>
          <t>Chỉ 1 row bị xóa</t>
        </is>
      </c>
      <c r="P74" s="41" t="inlineStr">
        <is>
          <t>Medium</t>
        </is>
      </c>
      <c r="Q74" s="44" t="inlineStr"/>
      <c r="R74" s="41" t="inlineStr"/>
      <c r="S74" s="41" t="inlineStr"/>
      <c r="T74" s="41" t="inlineStr"/>
      <c r="U74" s="41" t="inlineStr"/>
      <c r="V74" s="44" t="inlineStr"/>
      <c r="W74" s="41" t="inlineStr"/>
      <c r="X74" s="44" t="inlineStr">
        <is>
          <t>Sau lần 1 xóa, lần 2 findUnique → null → 404</t>
        </is>
      </c>
    </row>
    <row r="75" ht="80" customHeight="1">
      <c r="A75" s="41" t="inlineStr">
        <is>
          <t>TC-072</t>
        </is>
      </c>
      <c r="B75" s="46" t="inlineStr">
        <is>
          <t>RED</t>
        </is>
      </c>
      <c r="C75" s="45" t="inlineStr">
        <is>
          <t>P1</t>
        </is>
      </c>
      <c r="D75" s="44" t="inlineStr">
        <is>
          <t>UI Phân công</t>
        </is>
      </c>
      <c r="E75" s="44" t="inlineStr">
        <is>
          <t>UI — network disconnected → error message hiển thị</t>
        </is>
      </c>
      <c r="F75" s="41" t="inlineStr">
        <is>
          <t>REQ-PA-UX</t>
        </is>
      </c>
      <c r="G75" s="41" t="inlineStr">
        <is>
          <t>Recovery / Network</t>
        </is>
      </c>
      <c r="H75" s="41" t="inlineStr">
        <is>
          <t>TB</t>
        </is>
      </c>
      <c r="I75" s="44" t="inlineStr">
        <is>
          <t>DevTools offline mode</t>
        </is>
      </c>
      <c r="J75" s="44" t="inlineStr">
        <is>
          <t>1. Ngắt mạng
2. Click Thêm</t>
        </is>
      </c>
      <c r="K75" s="44" t="inlineStr">
        <is>
          <t>petition.new.D0</t>
        </is>
      </c>
      <c r="L75" s="44" t="inlineStr">
        <is>
          <t>petition.new.D0</t>
        </is>
      </c>
      <c r="M75" s="44" t="inlineStr">
        <is>
          <t>Error message 'Không thể thêm phân công. Vui lòng thử lại.' xuất hiện</t>
        </is>
      </c>
      <c r="N75" s="44" t="inlineStr">
        <is>
          <t>-</t>
        </is>
      </c>
      <c r="O75" s="44" t="inlineStr">
        <is>
          <t>isAdding=false</t>
        </is>
      </c>
      <c r="P75" s="41" t="inlineStr">
        <is>
          <t>Medium</t>
        </is>
      </c>
      <c r="Q75" s="44" t="inlineStr"/>
      <c r="R75" s="41" t="inlineStr"/>
      <c r="S75" s="41" t="inlineStr"/>
      <c r="T75" s="41" t="inlineStr"/>
      <c r="U75" s="41" t="inlineStr"/>
      <c r="V75" s="44" t="inlineStr"/>
      <c r="W75" s="41" t="inlineStr"/>
      <c r="X75" s="44" t="inlineStr">
        <is>
          <t>Network error caught → setAddError</t>
        </is>
      </c>
    </row>
    <row r="76" ht="80" customHeight="1">
      <c r="A76" s="41" t="inlineStr">
        <is>
          <t>TC-073</t>
        </is>
      </c>
      <c r="B76" s="46" t="inlineStr">
        <is>
          <t>RED</t>
        </is>
      </c>
      <c r="C76" s="45" t="inlineStr">
        <is>
          <t>P1</t>
        </is>
      </c>
      <c r="D76" s="44" t="inlineStr">
        <is>
          <t>UI Phân công</t>
        </is>
      </c>
      <c r="E76" s="44" t="inlineStr">
        <is>
          <t>UI — backend trả về 500 trên GET load → không crash, hiện empty state</t>
        </is>
      </c>
      <c r="F76" s="41" t="inlineStr">
        <is>
          <t>REQ-PA-UX</t>
        </is>
      </c>
      <c r="G76" s="41" t="inlineStr">
        <is>
          <t>Recovery / Server error</t>
        </is>
      </c>
      <c r="H76" s="41" t="inlineStr">
        <is>
          <t>TB</t>
        </is>
      </c>
      <c r="I76" s="44" t="inlineStr">
        <is>
          <t>-</t>
        </is>
      </c>
      <c r="J76" s="44" t="inlineStr">
        <is>
          <t>Mock GET /assignments → 500</t>
        </is>
      </c>
      <c r="K76" s="44" t="inlineStr">
        <is>
          <t>petition.any.D7</t>
        </is>
      </c>
      <c r="L76" s="44" t="inlineStr">
        <is>
          <t>petition.any.D7</t>
        </is>
      </c>
      <c r="M76" s="44" t="inlineStr">
        <is>
          <t>Không crash, hiện 'Chưa có cán bộ được phân công.'</t>
        </is>
      </c>
      <c r="N76" s="44" t="inlineStr">
        <is>
          <t>-</t>
        </is>
      </c>
      <c r="O76" s="44" t="inlineStr">
        <is>
          <t>-</t>
        </is>
      </c>
      <c r="P76" s="41" t="inlineStr">
        <is>
          <t>High</t>
        </is>
      </c>
      <c r="Q76" s="44" t="inlineStr"/>
      <c r="R76" s="41" t="inlineStr"/>
      <c r="S76" s="41" t="inlineStr"/>
      <c r="T76" s="41" t="inlineStr"/>
      <c r="U76" s="41" t="inlineStr"/>
      <c r="V76" s="44" t="inlineStr"/>
      <c r="W76" s="41" t="inlineStr"/>
      <c r="X76" s="44" t="inlineStr">
        <is>
          <t>catch → setAssignments([])</t>
        </is>
      </c>
    </row>
    <row r="77" ht="80" customHeight="1">
      <c r="A77" s="41" t="inlineStr">
        <is>
          <t>TC-074</t>
        </is>
      </c>
      <c r="B77" s="46" t="inlineStr">
        <is>
          <t>RED</t>
        </is>
      </c>
      <c r="C77" s="47" t="inlineStr">
        <is>
          <t>P2</t>
        </is>
      </c>
      <c r="D77" s="44" t="inlineStr">
        <is>
          <t>PATCH /assign</t>
        </is>
      </c>
      <c r="E77" s="44" t="inlineStr">
        <is>
          <t>PATCH /assign — CSRF attack từ external domain → bị chặn bởi JWT stateless</t>
        </is>
      </c>
      <c r="F77" s="41" t="inlineStr">
        <is>
          <t>REQ-PA-SECURITY</t>
        </is>
      </c>
      <c r="G77" s="41" t="inlineStr">
        <is>
          <t>Security / CSRF</t>
        </is>
      </c>
      <c r="H77" s="41" t="inlineStr">
        <is>
          <t>Cao</t>
        </is>
      </c>
      <c r="I77" s="44" t="inlineStr">
        <is>
          <t>Tấn công từ evil.com</t>
        </is>
      </c>
      <c r="J77" s="44" t="inlineStr">
        <is>
          <t>CSRF POST tới PATCH /assign với cookie nhưng không có JWT header</t>
        </is>
      </c>
      <c r="K77" s="44" t="inlineStr">
        <is>
          <t>-</t>
        </is>
      </c>
      <c r="L77" s="44" t="inlineStr">
        <is>
          <t>-</t>
        </is>
      </c>
      <c r="M77" s="44" t="inlineStr">
        <is>
          <t>-</t>
        </is>
      </c>
      <c r="N77" s="44" t="inlineStr">
        <is>
          <t>HTTP 401 (JWT không có trong Authorization header)</t>
        </is>
      </c>
      <c r="O77" s="44" t="inlineStr">
        <is>
          <t>Petition không thay đổi</t>
        </is>
      </c>
      <c r="P77" s="41" t="inlineStr">
        <is>
          <t>Critical</t>
        </is>
      </c>
      <c r="Q77" s="44" t="inlineStr"/>
      <c r="R77" s="41" t="inlineStr"/>
      <c r="S77" s="41" t="inlineStr"/>
      <c r="T77" s="41" t="inlineStr"/>
      <c r="U77" s="41" t="inlineStr"/>
      <c r="V77" s="44" t="inlineStr"/>
      <c r="W77" s="41" t="inlineStr"/>
      <c r="X77" s="44" t="inlineStr">
        <is>
          <t>JWT = stateless CSRF protection</t>
        </is>
      </c>
    </row>
    <row r="78" ht="80" customHeight="1">
      <c r="A78" s="41" t="inlineStr">
        <is>
          <t>TC-075</t>
        </is>
      </c>
      <c r="B78" s="46" t="inlineStr">
        <is>
          <t>RED</t>
        </is>
      </c>
      <c r="C78" s="47" t="inlineStr">
        <is>
          <t>P2</t>
        </is>
      </c>
      <c r="D78" s="44" t="inlineStr">
        <is>
          <t>GET /assignments</t>
        </is>
      </c>
      <c r="E78" s="44" t="inlineStr">
        <is>
          <t>GET /assignments — IDOR: user team-A xem assignment của petition team-B</t>
        </is>
      </c>
      <c r="F78" s="41" t="inlineStr">
        <is>
          <t>REQ-PA-SECURITY</t>
        </is>
      </c>
      <c r="G78" s="41" t="inlineStr">
        <is>
          <t>Security / IDOR</t>
        </is>
      </c>
      <c r="H78" s="41" t="inlineStr">
        <is>
          <t>Cao</t>
        </is>
      </c>
      <c r="I78" s="44" t="inlineStr">
        <is>
          <t>user-A thuộc team-A, petition-B thuộc team-B</t>
        </is>
      </c>
      <c r="J78" s="44" t="inlineStr">
        <is>
          <t>GET /petitions/petition-B/assignments với JWT user-A</t>
        </is>
      </c>
      <c r="K78" s="44" t="inlineStr">
        <is>
          <t>account.officer.team_a, petition.team_b.D7</t>
        </is>
      </c>
      <c r="L78" s="44" t="inlineStr">
        <is>
          <t>petition.team_b.D7</t>
        </is>
      </c>
      <c r="M78" s="44" t="inlineStr">
        <is>
          <t>-</t>
        </is>
      </c>
      <c r="N78" s="44" t="inlineStr">
        <is>
          <t>HTTP 200 hoặc HTTP 403 tùy DataScope policy</t>
        </is>
      </c>
      <c r="O78" s="44" t="inlineStr">
        <is>
          <t>-</t>
        </is>
      </c>
      <c r="P78" s="41" t="inlineStr">
        <is>
          <t>Critical</t>
        </is>
      </c>
      <c r="Q78" s="44" t="inlineStr"/>
      <c r="R78" s="41" t="inlineStr"/>
      <c r="S78" s="41" t="inlineStr"/>
      <c r="T78" s="41" t="inlineStr"/>
      <c r="U78" s="41" t="inlineStr"/>
      <c r="V78" s="44" t="inlineStr"/>
      <c r="W78" s="41" t="inlineStr"/>
      <c r="X78" s="44" t="inlineStr">
        <is>
          <t>DataScope: _dataScope param ignored trong listAssignments — cần verify policy</t>
        </is>
      </c>
    </row>
    <row r="79" ht="80" customHeight="1">
      <c r="A79" s="41" t="inlineStr">
        <is>
          <t>TC-076</t>
        </is>
      </c>
      <c r="B79" s="46" t="inlineStr">
        <is>
          <t>RED</t>
        </is>
      </c>
      <c r="C79" s="45" t="inlineStr">
        <is>
          <t>P1</t>
        </is>
      </c>
      <c r="D79" s="44" t="inlineStr">
        <is>
          <t>POST /assignments</t>
        </is>
      </c>
      <c r="E79" s="44" t="inlineStr">
        <is>
          <t>POST /assignments — rate limiting: 100 request liên tiếp — server không crash</t>
        </is>
      </c>
      <c r="F79" s="41" t="inlineStr">
        <is>
          <t>REQ-PA-PERF</t>
        </is>
      </c>
      <c r="G79" s="41" t="inlineStr">
        <is>
          <t>Performance / Load</t>
        </is>
      </c>
      <c r="H79" s="41" t="inlineStr">
        <is>
          <t>TB</t>
        </is>
      </c>
      <c r="I79" s="44" t="inlineStr">
        <is>
          <t>-</t>
        </is>
      </c>
      <c r="J79" s="44" t="inlineStr">
        <is>
          <t>Gửi 100 POST /assignments sequential với unique userId mỗi lần</t>
        </is>
      </c>
      <c r="K79" s="44" t="inlineStr">
        <is>
          <t>petition.new.D0</t>
        </is>
      </c>
      <c r="L79" s="44" t="inlineStr">
        <is>
          <t>petition.new.D0</t>
        </is>
      </c>
      <c r="M79" s="44" t="inlineStr">
        <is>
          <t>-</t>
        </is>
      </c>
      <c r="N79" s="44" t="inlineStr">
        <is>
          <t>Tất cả ≥ HTTP 200 (201 hoặc 409), server không crash/500</t>
        </is>
      </c>
      <c r="O79" s="44" t="inlineStr">
        <is>
          <t>Tối đa 100 rows mới (nếu không dùng pagination limit)</t>
        </is>
      </c>
      <c r="P79" s="41" t="inlineStr">
        <is>
          <t>Medium</t>
        </is>
      </c>
      <c r="Q79" s="44" t="inlineStr"/>
      <c r="R79" s="41" t="inlineStr"/>
      <c r="S79" s="41" t="inlineStr"/>
      <c r="T79" s="41" t="inlineStr"/>
      <c r="U79" s="41" t="inlineStr"/>
      <c r="V79" s="44" t="inlineStr"/>
      <c r="W79" s="41" t="inlineStr"/>
      <c r="X79" s="44" t="inlineStr">
        <is>
          <t>No explicit rate limit trên endpoint này</t>
        </is>
      </c>
    </row>
    <row r="80" ht="80" customHeight="1">
      <c r="A80" s="41" t="inlineStr">
        <is>
          <t>TC-077</t>
        </is>
      </c>
      <c r="B80" s="46" t="inlineStr">
        <is>
          <t>RED</t>
        </is>
      </c>
      <c r="C80" s="47" t="inlineStr">
        <is>
          <t>P2</t>
        </is>
      </c>
      <c r="D80" s="44" t="inlineStr">
        <is>
          <t>POST /assignments</t>
        </is>
      </c>
      <c r="E80" s="44" t="inlineStr">
        <is>
          <t>POST /assignments — HTTP method override header bị ignored</t>
        </is>
      </c>
      <c r="F80" s="41" t="inlineStr">
        <is>
          <t>REQ-PA-SECURITY</t>
        </is>
      </c>
      <c r="G80" s="41" t="inlineStr">
        <is>
          <t>Security / Method override</t>
        </is>
      </c>
      <c r="H80" s="41" t="inlineStr">
        <is>
          <t>TB</t>
        </is>
      </c>
      <c r="I80" s="44" t="inlineStr">
        <is>
          <t>-</t>
        </is>
      </c>
      <c r="J80" s="44" t="inlineStr">
        <is>
          <t>POST /assignments với header X-HTTP-Method-Override: DELETE</t>
        </is>
      </c>
      <c r="K80" s="44" t="inlineStr">
        <is>
          <t>petition.new.D0</t>
        </is>
      </c>
      <c r="L80" s="44" t="inlineStr">
        <is>
          <t>petition.new.D0</t>
        </is>
      </c>
      <c r="M80" s="44" t="inlineStr">
        <is>
          <t>-</t>
        </is>
      </c>
      <c r="N80" s="44" t="inlineStr">
        <is>
          <t>HTTP 201 (POST xử lý bình thường, không chuyển thành DELETE)</t>
        </is>
      </c>
      <c r="O80" s="44" t="inlineStr">
        <is>
          <t>-</t>
        </is>
      </c>
      <c r="P80" s="41" t="inlineStr">
        <is>
          <t>Medium</t>
        </is>
      </c>
      <c r="Q80" s="44" t="inlineStr"/>
      <c r="R80" s="41" t="inlineStr"/>
      <c r="S80" s="41" t="inlineStr"/>
      <c r="T80" s="41" t="inlineStr"/>
      <c r="U80" s="41" t="inlineStr"/>
      <c r="V80" s="44" t="inlineStr"/>
      <c r="W80" s="41" t="inlineStr"/>
      <c r="X80" s="44" t="inlineStr">
        <is>
          <t>NestJS không honor X-HTTP-Method-Override by default</t>
        </is>
      </c>
    </row>
    <row r="81" ht="80" customHeight="1">
      <c r="A81" s="41" t="inlineStr">
        <is>
          <t>TC-078</t>
        </is>
      </c>
      <c r="B81" s="46" t="inlineStr">
        <is>
          <t>RED</t>
        </is>
      </c>
      <c r="C81" s="47" t="inlineStr">
        <is>
          <t>P2</t>
        </is>
      </c>
      <c r="D81" s="44" t="inlineStr">
        <is>
          <t>POST /assignments</t>
        </is>
      </c>
      <c r="E81" s="44" t="inlineStr">
        <is>
          <t>POST /assignments — JWT với algorithm 'none' (alg:none attack) → 401</t>
        </is>
      </c>
      <c r="F81" s="41" t="inlineStr">
        <is>
          <t>REQ-PA-SECURITY</t>
        </is>
      </c>
      <c r="G81" s="41" t="inlineStr">
        <is>
          <t>Security / JWT algo confusion</t>
        </is>
      </c>
      <c r="H81" s="41" t="inlineStr">
        <is>
          <t>Cao</t>
        </is>
      </c>
      <c r="I81" s="44" t="inlineStr">
        <is>
          <t>-</t>
        </is>
      </c>
      <c r="J81" s="44" t="inlineStr">
        <is>
          <t>Craft JWT với alg:none, POST /assignments</t>
        </is>
      </c>
      <c r="K81" s="44" t="inlineStr">
        <is>
          <t>-</t>
        </is>
      </c>
      <c r="L81" s="44" t="inlineStr">
        <is>
          <t>-</t>
        </is>
      </c>
      <c r="M81" s="44" t="inlineStr">
        <is>
          <t>-</t>
        </is>
      </c>
      <c r="N81" s="44" t="inlineStr">
        <is>
          <t>HTTP 401</t>
        </is>
      </c>
      <c r="O81" s="44" t="inlineStr">
        <is>
          <t>-</t>
        </is>
      </c>
      <c r="P81" s="41" t="inlineStr">
        <is>
          <t>Critical</t>
        </is>
      </c>
      <c r="Q81" s="44" t="inlineStr"/>
      <c r="R81" s="41" t="inlineStr"/>
      <c r="S81" s="41" t="inlineStr"/>
      <c r="T81" s="41" t="inlineStr"/>
      <c r="U81" s="41" t="inlineStr"/>
      <c r="V81" s="44" t="inlineStr"/>
      <c r="W81" s="41" t="inlineStr"/>
      <c r="X81" s="44" t="inlineStr">
        <is>
          <t>JwtModule verify algorithm — reject alg:none</t>
        </is>
      </c>
    </row>
    <row r="82" ht="80" customHeight="1">
      <c r="A82" s="41" t="inlineStr">
        <is>
          <t>TC-079</t>
        </is>
      </c>
      <c r="B82" s="48" t="inlineStr">
        <is>
          <t>BOUNDARY</t>
        </is>
      </c>
      <c r="C82" s="45" t="inlineStr">
        <is>
          <t>P1</t>
        </is>
      </c>
      <c r="D82" s="44" t="inlineStr">
        <is>
          <t>POST /assignments</t>
        </is>
      </c>
      <c r="E82" s="44" t="inlineStr">
        <is>
          <t>BOUNDARY — role='LEAD' (giá trị đúng, chuỗi 4 ký tự) → PASS</t>
        </is>
      </c>
      <c r="F82" s="41" t="inlineStr">
        <is>
          <t>REQ-PA-BOUNDARY</t>
        </is>
      </c>
      <c r="G82" s="41" t="inlineStr">
        <is>
          <t>BVA / String enum</t>
        </is>
      </c>
      <c r="H82" s="41" t="inlineStr">
        <is>
          <t>TB</t>
        </is>
      </c>
      <c r="I82" s="44" t="inlineStr">
        <is>
          <t>-</t>
        </is>
      </c>
      <c r="J82" s="44" t="inlineStr">
        <is>
          <t>POST {userId:'user-1', role:'LEAD'}</t>
        </is>
      </c>
      <c r="K82" s="44" t="inlineStr">
        <is>
          <t>petition.new.D0</t>
        </is>
      </c>
      <c r="L82" s="44" t="inlineStr">
        <is>
          <t>petition.new.D0</t>
        </is>
      </c>
      <c r="M82" s="44" t="inlineStr">
        <is>
          <t>-</t>
        </is>
      </c>
      <c r="N82" s="44" t="inlineStr">
        <is>
          <t>HTTP 201, role='LEAD'</t>
        </is>
      </c>
      <c r="O82" s="44" t="inlineStr">
        <is>
          <t>DB: role='LEAD'</t>
        </is>
      </c>
      <c r="P82" s="41" t="inlineStr">
        <is>
          <t>Critical</t>
        </is>
      </c>
      <c r="Q82" s="44" t="inlineStr"/>
      <c r="R82" s="41" t="inlineStr"/>
      <c r="S82" s="41" t="inlineStr"/>
      <c r="T82" s="41" t="inlineStr"/>
      <c r="U82" s="41" t="inlineStr"/>
      <c r="V82" s="44" t="inlineStr"/>
      <c r="W82" s="41" t="inlineStr"/>
      <c r="X82" s="44" t="inlineStr">
        <is>
          <t>Giá trị enum min-length hợp lệ</t>
        </is>
      </c>
    </row>
    <row r="83" ht="80" customHeight="1">
      <c r="A83" s="41" t="inlineStr">
        <is>
          <t>TC-080</t>
        </is>
      </c>
      <c r="B83" s="48" t="inlineStr">
        <is>
          <t>BOUNDARY</t>
        </is>
      </c>
      <c r="C83" s="45" t="inlineStr">
        <is>
          <t>P1</t>
        </is>
      </c>
      <c r="D83" s="44" t="inlineStr">
        <is>
          <t>POST /assignments</t>
        </is>
      </c>
      <c r="E83" s="44" t="inlineStr">
        <is>
          <t>BOUNDARY — role='SUPPORT' (giá trị đúng, 7 ký tự) → PASS</t>
        </is>
      </c>
      <c r="F83" s="41" t="inlineStr">
        <is>
          <t>REQ-PA-BOUNDARY</t>
        </is>
      </c>
      <c r="G83" s="41" t="inlineStr">
        <is>
          <t>BVA / String enum</t>
        </is>
      </c>
      <c r="H83" s="41" t="inlineStr">
        <is>
          <t>TB</t>
        </is>
      </c>
      <c r="I83" s="44" t="inlineStr">
        <is>
          <t>-</t>
        </is>
      </c>
      <c r="J83" s="44" t="inlineStr">
        <is>
          <t>POST {userId:'user-1', role:'SUPPORT'}</t>
        </is>
      </c>
      <c r="K83" s="44" t="inlineStr">
        <is>
          <t>petition.new.D0</t>
        </is>
      </c>
      <c r="L83" s="44" t="inlineStr">
        <is>
          <t>petition.new.D0</t>
        </is>
      </c>
      <c r="M83" s="44" t="inlineStr">
        <is>
          <t>-</t>
        </is>
      </c>
      <c r="N83" s="44" t="inlineStr">
        <is>
          <t>HTTP 201, role='SUPPORT'</t>
        </is>
      </c>
      <c r="O83" s="44" t="inlineStr">
        <is>
          <t>DB: role='SUPPORT'</t>
        </is>
      </c>
      <c r="P83" s="41" t="inlineStr">
        <is>
          <t>Critical</t>
        </is>
      </c>
      <c r="Q83" s="44" t="inlineStr"/>
      <c r="R83" s="41" t="inlineStr"/>
      <c r="S83" s="41" t="inlineStr"/>
      <c r="T83" s="41" t="inlineStr"/>
      <c r="U83" s="41" t="inlineStr"/>
      <c r="V83" s="44" t="inlineStr"/>
      <c r="W83" s="41" t="inlineStr"/>
      <c r="X83" s="44" t="inlineStr">
        <is>
          <t>Giá trị enum max-length hợp lệ</t>
        </is>
      </c>
    </row>
    <row r="84" ht="80" customHeight="1">
      <c r="A84" s="41" t="inlineStr">
        <is>
          <t>TC-081</t>
        </is>
      </c>
      <c r="B84" s="48" t="inlineStr">
        <is>
          <t>BOUNDARY</t>
        </is>
      </c>
      <c r="C84" s="47" t="inlineStr">
        <is>
          <t>P2</t>
        </is>
      </c>
      <c r="D84" s="44" t="inlineStr">
        <is>
          <t>POST /assignments</t>
        </is>
      </c>
      <c r="E84" s="44" t="inlineStr">
        <is>
          <t>BOUNDARY — role='' (empty string) → default về SUPPORT (controller fallback)</t>
        </is>
      </c>
      <c r="F84" s="41" t="inlineStr">
        <is>
          <t>REQ-PA-BOUNDARY</t>
        </is>
      </c>
      <c r="G84" s="41" t="inlineStr">
        <is>
          <t>BVA / Empty string</t>
        </is>
      </c>
      <c r="H84" s="41" t="inlineStr">
        <is>
          <t>TB</t>
        </is>
      </c>
      <c r="I84" s="44" t="inlineStr">
        <is>
          <t>-</t>
        </is>
      </c>
      <c r="J84" s="44" t="inlineStr">
        <is>
          <t>POST {userId:'user-1', role:''}</t>
        </is>
      </c>
      <c r="K84" s="44" t="inlineStr">
        <is>
          <t>petition.new.D0</t>
        </is>
      </c>
      <c r="L84" s="44" t="inlineStr">
        <is>
          <t>petition.new.D0</t>
        </is>
      </c>
      <c r="M84" s="44" t="inlineStr">
        <is>
          <t>-</t>
        </is>
      </c>
      <c r="N84" s="44" t="inlineStr">
        <is>
          <t>HTTP 201 với role='SUPPORT' hoặc HTTP 400 tùy DTO validator</t>
        </is>
      </c>
      <c r="O84" s="44" t="inlineStr">
        <is>
          <t>Behavior của '' khác null</t>
        </is>
      </c>
      <c r="P84" s="41" t="inlineStr">
        <is>
          <t>Medium</t>
        </is>
      </c>
      <c r="Q84" s="44" t="inlineStr"/>
      <c r="R84" s="41" t="inlineStr"/>
      <c r="S84" s="41" t="inlineStr"/>
      <c r="T84" s="41" t="inlineStr"/>
      <c r="U84" s="41" t="inlineStr"/>
      <c r="V84" s="44" t="inlineStr"/>
      <c r="W84" s="41" t="inlineStr"/>
      <c r="X84" s="44" t="inlineStr">
        <is>
          <t>dto.role ?? 'SUPPORT' — '' truthy → 'SUPPORT' không apply</t>
        </is>
      </c>
    </row>
    <row r="85" ht="80" customHeight="1">
      <c r="A85" s="41" t="inlineStr">
        <is>
          <t>TC-082</t>
        </is>
      </c>
      <c r="B85" s="48" t="inlineStr">
        <is>
          <t>BOUNDARY</t>
        </is>
      </c>
      <c r="C85" s="45" t="inlineStr">
        <is>
          <t>P1</t>
        </is>
      </c>
      <c r="D85" s="44" t="inlineStr">
        <is>
          <t>GET /assignments</t>
        </is>
      </c>
      <c r="E85" s="44" t="inlineStr">
        <is>
          <t>BOUNDARY — 0 assignments → HTTP 200 + []</t>
        </is>
      </c>
      <c r="F85" s="41" t="inlineStr">
        <is>
          <t>REQ-PA-BOUNDARY</t>
        </is>
      </c>
      <c r="G85" s="41" t="inlineStr">
        <is>
          <t>BVA / Empty collection</t>
        </is>
      </c>
      <c r="H85" s="41" t="inlineStr">
        <is>
          <t>TB</t>
        </is>
      </c>
      <c r="I85" s="44" t="inlineStr">
        <is>
          <t>Petition mới, 0 assignments</t>
        </is>
      </c>
      <c r="J85" s="44" t="inlineStr">
        <is>
          <t>GET /assignments</t>
        </is>
      </c>
      <c r="K85" s="44" t="inlineStr">
        <is>
          <t>petition.new.D0</t>
        </is>
      </c>
      <c r="L85" s="44" t="inlineStr">
        <is>
          <t>petition.new.D0</t>
        </is>
      </c>
      <c r="M85" s="44" t="inlineStr">
        <is>
          <t>Empty state text</t>
        </is>
      </c>
      <c r="N85" s="44" t="inlineStr">
        <is>
          <t>HTTP 200, data=[]</t>
        </is>
      </c>
      <c r="O85" s="44" t="inlineStr">
        <is>
          <t>-</t>
        </is>
      </c>
      <c r="P85" s="41" t="inlineStr">
        <is>
          <t>High</t>
        </is>
      </c>
      <c r="Q85" s="44" t="inlineStr"/>
      <c r="R85" s="41" t="inlineStr"/>
      <c r="S85" s="41" t="inlineStr"/>
      <c r="T85" s="41" t="inlineStr"/>
      <c r="U85" s="41" t="inlineStr"/>
      <c r="V85" s="44" t="inlineStr"/>
      <c r="W85" s="41" t="inlineStr"/>
      <c r="X85" s="44" t="inlineStr">
        <is>
          <t>min-length = 0</t>
        </is>
      </c>
    </row>
    <row r="86" ht="80" customHeight="1">
      <c r="A86" s="41" t="inlineStr">
        <is>
          <t>TC-083</t>
        </is>
      </c>
      <c r="B86" s="48" t="inlineStr">
        <is>
          <t>BOUNDARY</t>
        </is>
      </c>
      <c r="C86" s="45" t="inlineStr">
        <is>
          <t>P1</t>
        </is>
      </c>
      <c r="D86" s="44" t="inlineStr">
        <is>
          <t>GET /assignments</t>
        </is>
      </c>
      <c r="E86" s="44" t="inlineStr">
        <is>
          <t>BOUNDARY — 1 assignment → HTTP 200 + [item]</t>
        </is>
      </c>
      <c r="F86" s="41" t="inlineStr">
        <is>
          <t>REQ-PA-BOUNDARY</t>
        </is>
      </c>
      <c r="G86" s="41" t="inlineStr">
        <is>
          <t>BVA / Single item</t>
        </is>
      </c>
      <c r="H86" s="41" t="inlineStr">
        <is>
          <t>TB</t>
        </is>
      </c>
      <c r="I86" s="44" t="inlineStr">
        <is>
          <t>1 assignment</t>
        </is>
      </c>
      <c r="J86" s="44" t="inlineStr">
        <is>
          <t>GET /assignments</t>
        </is>
      </c>
      <c r="K86" s="44" t="inlineStr">
        <is>
          <t>petition.with_1_assignment.D7</t>
        </is>
      </c>
      <c r="L86" s="44" t="inlineStr">
        <is>
          <t>petition.with_1_assignment.D7</t>
        </is>
      </c>
      <c r="M86" s="44" t="inlineStr">
        <is>
          <t>1 item trong list</t>
        </is>
      </c>
      <c r="N86" s="44" t="inlineStr">
        <is>
          <t>HTTP 200, data.length=1</t>
        </is>
      </c>
      <c r="O86" s="44" t="inlineStr">
        <is>
          <t>-</t>
        </is>
      </c>
      <c r="P86" s="41" t="inlineStr">
        <is>
          <t>High</t>
        </is>
      </c>
      <c r="Q86" s="44" t="inlineStr"/>
      <c r="R86" s="41" t="inlineStr"/>
      <c r="S86" s="41" t="inlineStr"/>
      <c r="T86" s="41" t="inlineStr"/>
      <c r="U86" s="41" t="inlineStr"/>
      <c r="V86" s="44" t="inlineStr"/>
      <c r="W86" s="41" t="inlineStr"/>
      <c r="X86" s="44" t="inlineStr">
        <is>
          <t>min+1</t>
        </is>
      </c>
    </row>
    <row r="87" ht="80" customHeight="1">
      <c r="A87" s="41" t="inlineStr">
        <is>
          <t>TC-084</t>
        </is>
      </c>
      <c r="B87" s="48" t="inlineStr">
        <is>
          <t>BOUNDARY</t>
        </is>
      </c>
      <c r="C87" s="47" t="inlineStr">
        <is>
          <t>P2</t>
        </is>
      </c>
      <c r="D87" s="44" t="inlineStr">
        <is>
          <t>GET /assignments</t>
        </is>
      </c>
      <c r="E87" s="44" t="inlineStr">
        <is>
          <t>BOUNDARY — 50 assignments → HTTP 200, tất cả 50 items (không có pagination limit)</t>
        </is>
      </c>
      <c r="F87" s="41" t="inlineStr">
        <is>
          <t>REQ-PA-BOUNDARY</t>
        </is>
      </c>
      <c r="G87" s="41" t="inlineStr">
        <is>
          <t>BVA / Large collection</t>
        </is>
      </c>
      <c r="H87" s="41" t="inlineStr">
        <is>
          <t>TB</t>
        </is>
      </c>
      <c r="I87" s="44" t="inlineStr">
        <is>
          <t>Petition có 50 assignments</t>
        </is>
      </c>
      <c r="J87" s="44" t="inlineStr">
        <is>
          <t>GET /assignments</t>
        </is>
      </c>
      <c r="K87" s="44" t="inlineStr">
        <is>
          <t>petition.with_50_assignments.D30</t>
        </is>
      </c>
      <c r="L87" s="44" t="inlineStr">
        <is>
          <t>petition.with_50_assignments.D30</t>
        </is>
      </c>
      <c r="M87" s="44" t="inlineStr">
        <is>
          <t>Tất cả 50 items hiển thị (hoặc virtual scroll)</t>
        </is>
      </c>
      <c r="N87" s="44" t="inlineStr">
        <is>
          <t>HTTP 200, data.length=50</t>
        </is>
      </c>
      <c r="O87" s="44" t="inlineStr">
        <is>
          <t>-</t>
        </is>
      </c>
      <c r="P87" s="41" t="inlineStr">
        <is>
          <t>Medium</t>
        </is>
      </c>
      <c r="Q87" s="44" t="inlineStr"/>
      <c r="R87" s="41" t="inlineStr"/>
      <c r="S87" s="41" t="inlineStr"/>
      <c r="T87" s="41" t="inlineStr"/>
      <c r="U87" s="41" t="inlineStr"/>
      <c r="V87" s="44" t="inlineStr"/>
      <c r="W87" s="41" t="inlineStr"/>
      <c r="X87" s="44" t="inlineStr">
        <is>
          <t>findMany không giới hạn — max =?</t>
        </is>
      </c>
    </row>
    <row r="88" ht="80" customHeight="1">
      <c r="A88" s="41" t="inlineStr">
        <is>
          <t>TC-085</t>
        </is>
      </c>
      <c r="B88" s="48" t="inlineStr">
        <is>
          <t>BOUNDARY</t>
        </is>
      </c>
      <c r="C88" s="45" t="inlineStr">
        <is>
          <t>P1</t>
        </is>
      </c>
      <c r="D88" s="44" t="inlineStr">
        <is>
          <t>POST /assignments</t>
        </is>
      </c>
      <c r="E88" s="44" t="inlineStr">
        <is>
          <t>BOUNDARY — userId = CUID hợp lệ (26 chars) → PASS</t>
        </is>
      </c>
      <c r="F88" s="41" t="inlineStr">
        <is>
          <t>REQ-PA-BOUNDARY</t>
        </is>
      </c>
      <c r="G88" s="41" t="inlineStr">
        <is>
          <t>BVA / ID format</t>
        </is>
      </c>
      <c r="H88" s="41" t="inlineStr">
        <is>
          <t>TB</t>
        </is>
      </c>
      <c r="I88" s="44" t="inlineStr">
        <is>
          <t>User với CUID tồn tại</t>
        </is>
      </c>
      <c r="J88" s="44" t="inlineStr">
        <is>
          <t>POST {userId:'clxxxxxxxxxxxxxxxxxxxxxxxxxxx', role:'SUPPORT'}</t>
        </is>
      </c>
      <c r="K88" s="44" t="inlineStr">
        <is>
          <t>petition.new.D0, user.cuid_valid</t>
        </is>
      </c>
      <c r="L88" s="44" t="inlineStr">
        <is>
          <t>petition.new.D0</t>
        </is>
      </c>
      <c r="M88" s="44" t="inlineStr">
        <is>
          <t>-</t>
        </is>
      </c>
      <c r="N88" s="44" t="inlineStr">
        <is>
          <t>HTTP 201</t>
        </is>
      </c>
      <c r="O88" s="44" t="inlineStr">
        <is>
          <t>-</t>
        </is>
      </c>
      <c r="P88" s="41" t="inlineStr">
        <is>
          <t>High</t>
        </is>
      </c>
      <c r="Q88" s="44" t="inlineStr"/>
      <c r="R88" s="41" t="inlineStr"/>
      <c r="S88" s="41" t="inlineStr"/>
      <c r="T88" s="41" t="inlineStr"/>
      <c r="U88" s="41" t="inlineStr"/>
      <c r="V88" s="44" t="inlineStr"/>
      <c r="W88" s="41" t="inlineStr"/>
      <c r="X88" s="44" t="inlineStr">
        <is>
          <t>CUID = 25 chars starting with 'c'</t>
        </is>
      </c>
    </row>
    <row r="89" ht="80" customHeight="1">
      <c r="A89" s="41" t="inlineStr">
        <is>
          <t>TC-086</t>
        </is>
      </c>
      <c r="B89" s="48" t="inlineStr">
        <is>
          <t>BOUNDARY</t>
        </is>
      </c>
      <c r="C89" s="47" t="inlineStr">
        <is>
          <t>P2</t>
        </is>
      </c>
      <c r="D89" s="44" t="inlineStr">
        <is>
          <t>POST /assignments</t>
        </is>
      </c>
      <c r="E89" s="44" t="inlineStr">
        <is>
          <t>BOUNDARY — userId = 1 char → invalid ID, không tìm thấy user → FK error</t>
        </is>
      </c>
      <c r="F89" s="41" t="inlineStr">
        <is>
          <t>REQ-PA-BOUNDARY</t>
        </is>
      </c>
      <c r="G89" s="41" t="inlineStr">
        <is>
          <t>BVA / Min-1</t>
        </is>
      </c>
      <c r="H89" s="41" t="inlineStr">
        <is>
          <t>TB</t>
        </is>
      </c>
      <c r="I89" s="44" t="inlineStr">
        <is>
          <t>-</t>
        </is>
      </c>
      <c r="J89" s="44" t="inlineStr">
        <is>
          <t>POST {userId:'x', role:'SUPPORT'}</t>
        </is>
      </c>
      <c r="K89" s="44" t="inlineStr">
        <is>
          <t>petition.new.D0</t>
        </is>
      </c>
      <c r="L89" s="44" t="inlineStr">
        <is>
          <t>petition.new.D0</t>
        </is>
      </c>
      <c r="M89" s="44" t="inlineStr">
        <is>
          <t>-</t>
        </is>
      </c>
      <c r="N89" s="44" t="inlineStr">
        <is>
          <t>HTTP 404 hoặc HTTP 400 (user không tồn tại)</t>
        </is>
      </c>
      <c r="O89" s="44" t="inlineStr">
        <is>
          <t>-</t>
        </is>
      </c>
      <c r="P89" s="41" t="inlineStr">
        <is>
          <t>Medium</t>
        </is>
      </c>
      <c r="Q89" s="44" t="inlineStr"/>
      <c r="R89" s="41" t="inlineStr"/>
      <c r="S89" s="41" t="inlineStr"/>
      <c r="T89" s="41" t="inlineStr"/>
      <c r="U89" s="41" t="inlineStr"/>
      <c r="V89" s="44" t="inlineStr"/>
      <c r="W89" s="41" t="inlineStr"/>
      <c r="X89" s="44" t="inlineStr">
        <is>
          <t>min-1 length ID</t>
        </is>
      </c>
    </row>
    <row r="90" ht="80" customHeight="1">
      <c r="A90" s="41" t="inlineStr">
        <is>
          <t>TC-087</t>
        </is>
      </c>
      <c r="B90" s="48" t="inlineStr">
        <is>
          <t>BOUNDARY</t>
        </is>
      </c>
      <c r="C90" s="47" t="inlineStr">
        <is>
          <t>P2</t>
        </is>
      </c>
      <c r="D90" s="44" t="inlineStr">
        <is>
          <t>POST /assignments</t>
        </is>
      </c>
      <c r="E90" s="44" t="inlineStr">
        <is>
          <t>BOUNDARY — role='LEAd' (mixed case) → FAIL, rejected hoặc stored as-is</t>
        </is>
      </c>
      <c r="F90" s="41" t="inlineStr">
        <is>
          <t>REQ-PA-BOUNDARY</t>
        </is>
      </c>
      <c r="G90" s="41" t="inlineStr">
        <is>
          <t>BVA / Case sensitivity</t>
        </is>
      </c>
      <c r="H90" s="41" t="inlineStr">
        <is>
          <t>TB</t>
        </is>
      </c>
      <c r="I90" s="44" t="inlineStr">
        <is>
          <t>-</t>
        </is>
      </c>
      <c r="J90" s="44" t="inlineStr">
        <is>
          <t>POST {userId:'user-1', role:'LEAd'}</t>
        </is>
      </c>
      <c r="K90" s="44" t="inlineStr">
        <is>
          <t>petition.new.D0</t>
        </is>
      </c>
      <c r="L90" s="44" t="inlineStr">
        <is>
          <t>petition.new.D0</t>
        </is>
      </c>
      <c r="M90" s="44" t="inlineStr">
        <is>
          <t>-</t>
        </is>
      </c>
      <c r="N90" s="44" t="inlineStr">
        <is>
          <t>HTTP 400 hoặc HTTP 201 với role='LEAd' (backend không normalize)</t>
        </is>
      </c>
      <c r="O90" s="44" t="inlineStr">
        <is>
          <t>Nếu stored: badge hiển thị '???' (không match LEAD|SUPPORT)</t>
        </is>
      </c>
      <c r="P90" s="41" t="inlineStr">
        <is>
          <t>Medium</t>
        </is>
      </c>
      <c r="Q90" s="44" t="inlineStr"/>
      <c r="R90" s="41" t="inlineStr"/>
      <c r="S90" s="41" t="inlineStr"/>
      <c r="T90" s="41" t="inlineStr"/>
      <c r="U90" s="41" t="inlineStr"/>
      <c r="V90" s="44" t="inlineStr"/>
      <c r="W90" s="41" t="inlineStr"/>
      <c r="X90" s="44" t="inlineStr">
        <is>
          <t>Enum case-sensitive check</t>
        </is>
      </c>
    </row>
    <row r="91" ht="80" customHeight="1">
      <c r="A91" s="41" t="inlineStr">
        <is>
          <t>TC-088</t>
        </is>
      </c>
      <c r="B91" s="48" t="inlineStr">
        <is>
          <t>BOUNDARY</t>
        </is>
      </c>
      <c r="C91" s="47" t="inlineStr">
        <is>
          <t>P2</t>
        </is>
      </c>
      <c r="D91" s="44" t="inlineStr">
        <is>
          <t>DELETE /assignments</t>
        </is>
      </c>
      <c r="E91" s="44" t="inlineStr">
        <is>
          <t>BOUNDARY — xóa assignment cuối cùng → list trở về []</t>
        </is>
      </c>
      <c r="F91" s="41" t="inlineStr">
        <is>
          <t>REQ-PA-BOUNDARY</t>
        </is>
      </c>
      <c r="G91" s="41" t="inlineStr">
        <is>
          <t>BVA / Last item</t>
        </is>
      </c>
      <c r="H91" s="41" t="inlineStr">
        <is>
          <t>TB</t>
        </is>
      </c>
      <c r="I91" s="44" t="inlineStr">
        <is>
          <t>1 assignment còn lại</t>
        </is>
      </c>
      <c r="J91" s="44" t="inlineStr">
        <is>
          <t>DELETE last assignment</t>
        </is>
      </c>
      <c r="K91" s="44" t="inlineStr">
        <is>
          <t>petition.with_1_assignment.D7</t>
        </is>
      </c>
      <c r="L91" s="44" t="inlineStr">
        <is>
          <t>petition.with_1_assignment.D7</t>
        </is>
      </c>
      <c r="M91" s="44" t="inlineStr">
        <is>
          <t>Hiện 'Chưa có cán bộ được phân công.'</t>
        </is>
      </c>
      <c r="N91" s="44" t="inlineStr">
        <is>
          <t>HTTP 200, GET sau đó trả về []</t>
        </is>
      </c>
      <c r="O91" s="44" t="inlineStr">
        <is>
          <t>0 rows</t>
        </is>
      </c>
      <c r="P91" s="41" t="inlineStr">
        <is>
          <t>High</t>
        </is>
      </c>
      <c r="Q91" s="44" t="inlineStr"/>
      <c r="R91" s="41" t="inlineStr"/>
      <c r="S91" s="41" t="inlineStr"/>
      <c r="T91" s="41" t="inlineStr"/>
      <c r="U91" s="41" t="inlineStr"/>
      <c r="V91" s="44" t="inlineStr"/>
      <c r="W91" s="41" t="inlineStr"/>
      <c r="X91" s="44" t="inlineStr">
        <is>
          <t>Empty state sau xóa hết</t>
        </is>
      </c>
    </row>
    <row r="92" ht="80" customHeight="1">
      <c r="A92" s="41" t="inlineStr">
        <is>
          <t>TC-089</t>
        </is>
      </c>
      <c r="B92" s="48" t="inlineStr">
        <is>
          <t>BOUNDARY</t>
        </is>
      </c>
      <c r="C92" s="47" t="inlineStr">
        <is>
          <t>P2</t>
        </is>
      </c>
      <c r="D92" s="44" t="inlineStr">
        <is>
          <t>POST /assignments</t>
        </is>
      </c>
      <c r="E92" s="44" t="inlineStr">
        <is>
          <t>BOUNDARY — petitionId là empty string trong URL → 404 hay 400</t>
        </is>
      </c>
      <c r="F92" s="41" t="inlineStr">
        <is>
          <t>REQ-PA-BOUNDARY</t>
        </is>
      </c>
      <c r="G92" s="41" t="inlineStr">
        <is>
          <t>BVA / Empty path</t>
        </is>
      </c>
      <c r="H92" s="41" t="inlineStr">
        <is>
          <t>TB</t>
        </is>
      </c>
      <c r="I92" s="44" t="inlineStr">
        <is>
          <t>-</t>
        </is>
      </c>
      <c r="J92" s="44" t="inlineStr">
        <is>
          <t>POST /api/v1/petitions//assignments {userId, role}</t>
        </is>
      </c>
      <c r="K92" s="44" t="inlineStr">
        <is>
          <t>account.officer.primary</t>
        </is>
      </c>
      <c r="L92" s="44" t="inlineStr">
        <is>
          <t>account.officer.primary</t>
        </is>
      </c>
      <c r="M92" s="44" t="inlineStr">
        <is>
          <t>-</t>
        </is>
      </c>
      <c r="N92" s="44" t="inlineStr">
        <is>
          <t>HTTP 404 (route không match) hoặc HTTP 400</t>
        </is>
      </c>
      <c r="O92" s="44" t="inlineStr">
        <is>
          <t>-</t>
        </is>
      </c>
      <c r="P92" s="41" t="inlineStr">
        <is>
          <t>Low</t>
        </is>
      </c>
      <c r="Q92" s="44" t="inlineStr"/>
      <c r="R92" s="41" t="inlineStr"/>
      <c r="S92" s="41" t="inlineStr"/>
      <c r="T92" s="41" t="inlineStr"/>
      <c r="U92" s="41" t="inlineStr"/>
      <c r="V92" s="44" t="inlineStr"/>
      <c r="W92" s="41" t="inlineStr"/>
      <c r="X92" s="44" t="inlineStr">
        <is>
          <t>Express routing: empty segment</t>
        </is>
      </c>
    </row>
    <row r="93" ht="80" customHeight="1">
      <c r="A93" s="41" t="inlineStr">
        <is>
          <t>TC-090</t>
        </is>
      </c>
      <c r="B93" s="48" t="inlineStr">
        <is>
          <t>BOUNDARY</t>
        </is>
      </c>
      <c r="C93" s="47" t="inlineStr">
        <is>
          <t>P2</t>
        </is>
      </c>
      <c r="D93" s="44" t="inlineStr">
        <is>
          <t>GET /assignments</t>
        </is>
      </c>
      <c r="E93" s="44" t="inlineStr">
        <is>
          <t>BOUNDARY — petitionId rất dài (500 chars) → handle gracefully (404)</t>
        </is>
      </c>
      <c r="F93" s="41" t="inlineStr">
        <is>
          <t>REQ-PA-BOUNDARY</t>
        </is>
      </c>
      <c r="G93" s="41" t="inlineStr">
        <is>
          <t>BVA / Max length</t>
        </is>
      </c>
      <c r="H93" s="41" t="inlineStr">
        <is>
          <t>TB</t>
        </is>
      </c>
      <c r="I93" s="44" t="inlineStr">
        <is>
          <t>-</t>
        </is>
      </c>
      <c r="J93" s="44" t="inlineStr">
        <is>
          <t>GET /api/v1/petitions/{500-char-string}/assignments</t>
        </is>
      </c>
      <c r="K93" s="44" t="inlineStr">
        <is>
          <t>account.officer.primary</t>
        </is>
      </c>
      <c r="L93" s="44" t="inlineStr">
        <is>
          <t>account.officer.primary</t>
        </is>
      </c>
      <c r="M93" s="44" t="inlineStr">
        <is>
          <t>-</t>
        </is>
      </c>
      <c r="N93" s="44" t="inlineStr">
        <is>
          <t>HTTP 404 (không tìm thấy petition)</t>
        </is>
      </c>
      <c r="O93" s="44" t="inlineStr">
        <is>
          <t>-</t>
        </is>
      </c>
      <c r="P93" s="41" t="inlineStr">
        <is>
          <t>Low</t>
        </is>
      </c>
      <c r="Q93" s="44" t="inlineStr"/>
      <c r="R93" s="41" t="inlineStr"/>
      <c r="S93" s="41" t="inlineStr"/>
      <c r="T93" s="41" t="inlineStr"/>
      <c r="U93" s="41" t="inlineStr"/>
      <c r="V93" s="44" t="inlineStr"/>
      <c r="W93" s="41" t="inlineStr"/>
      <c r="X93" s="44" t="inlineStr">
        <is>
          <t>No explicit path param length check — DB query fails gracefully</t>
        </is>
      </c>
    </row>
    <row r="94" ht="80" customHeight="1">
      <c r="A94" s="41" t="inlineStr">
        <is>
          <t>TC-091</t>
        </is>
      </c>
      <c r="B94" s="49" t="inlineStr">
        <is>
          <t>EP</t>
        </is>
      </c>
      <c r="C94" s="43" t="inlineStr">
        <is>
          <t>P0</t>
        </is>
      </c>
      <c r="D94" s="44" t="inlineStr">
        <is>
          <t>POST /assignments</t>
        </is>
      </c>
      <c r="E94" s="44" t="inlineStr">
        <is>
          <t>EP — role partition LEAD → PASS</t>
        </is>
      </c>
      <c r="F94" s="41" t="inlineStr">
        <is>
          <t>REQ-PA-EP</t>
        </is>
      </c>
      <c r="G94" s="41" t="inlineStr">
        <is>
          <t>EP / Role enum</t>
        </is>
      </c>
      <c r="H94" s="41" t="inlineStr">
        <is>
          <t>TB</t>
        </is>
      </c>
      <c r="I94" s="44" t="inlineStr">
        <is>
          <t>-</t>
        </is>
      </c>
      <c r="J94" s="44" t="inlineStr">
        <is>
          <t>POST {role:'LEAD'} — partition LEAD class</t>
        </is>
      </c>
      <c r="K94" s="44" t="inlineStr">
        <is>
          <t>petition.new.D0</t>
        </is>
      </c>
      <c r="L94" s="44" t="inlineStr">
        <is>
          <t>petition.new.D0</t>
        </is>
      </c>
      <c r="M94" s="44" t="inlineStr">
        <is>
          <t>-</t>
        </is>
      </c>
      <c r="N94" s="44" t="inlineStr">
        <is>
          <t>HTTP 201, role='LEAD'</t>
        </is>
      </c>
      <c r="O94" s="44" t="inlineStr">
        <is>
          <t>-</t>
        </is>
      </c>
      <c r="P94" s="41" t="inlineStr">
        <is>
          <t>Critical</t>
        </is>
      </c>
      <c r="Q94" s="44" t="inlineStr"/>
      <c r="R94" s="41" t="inlineStr"/>
      <c r="S94" s="41" t="inlineStr"/>
      <c r="T94" s="41" t="inlineStr"/>
      <c r="U94" s="41" t="inlineStr"/>
      <c r="V94" s="44" t="inlineStr"/>
      <c r="W94" s="41" t="inlineStr"/>
      <c r="X94" s="44" t="inlineStr">
        <is>
          <t>Partition 1/3: role=LEAD</t>
        </is>
      </c>
    </row>
    <row r="95" ht="80" customHeight="1">
      <c r="A95" s="41" t="inlineStr">
        <is>
          <t>TC-092</t>
        </is>
      </c>
      <c r="B95" s="49" t="inlineStr">
        <is>
          <t>EP</t>
        </is>
      </c>
      <c r="C95" s="43" t="inlineStr">
        <is>
          <t>P0</t>
        </is>
      </c>
      <c r="D95" s="44" t="inlineStr">
        <is>
          <t>POST /assignments</t>
        </is>
      </c>
      <c r="E95" s="44" t="inlineStr">
        <is>
          <t>EP — role partition SUPPORT → PASS</t>
        </is>
      </c>
      <c r="F95" s="41" t="inlineStr">
        <is>
          <t>REQ-PA-EP</t>
        </is>
      </c>
      <c r="G95" s="41" t="inlineStr">
        <is>
          <t>EP / Role enum</t>
        </is>
      </c>
      <c r="H95" s="41" t="inlineStr">
        <is>
          <t>TB</t>
        </is>
      </c>
      <c r="I95" s="44" t="inlineStr">
        <is>
          <t>-</t>
        </is>
      </c>
      <c r="J95" s="44" t="inlineStr">
        <is>
          <t>POST {role:'SUPPORT'} — partition SUPPORT class</t>
        </is>
      </c>
      <c r="K95" s="44" t="inlineStr">
        <is>
          <t>petition.new.D0</t>
        </is>
      </c>
      <c r="L95" s="44" t="inlineStr">
        <is>
          <t>petition.new.D0</t>
        </is>
      </c>
      <c r="M95" s="44" t="inlineStr">
        <is>
          <t>-</t>
        </is>
      </c>
      <c r="N95" s="44" t="inlineStr">
        <is>
          <t>HTTP 201, role='SUPPORT'</t>
        </is>
      </c>
      <c r="O95" s="44" t="inlineStr">
        <is>
          <t>-</t>
        </is>
      </c>
      <c r="P95" s="41" t="inlineStr">
        <is>
          <t>Critical</t>
        </is>
      </c>
      <c r="Q95" s="44" t="inlineStr"/>
      <c r="R95" s="41" t="inlineStr"/>
      <c r="S95" s="41" t="inlineStr"/>
      <c r="T95" s="41" t="inlineStr"/>
      <c r="U95" s="41" t="inlineStr"/>
      <c r="V95" s="44" t="inlineStr"/>
      <c r="W95" s="41" t="inlineStr"/>
      <c r="X95" s="44" t="inlineStr">
        <is>
          <t>Partition 2/3: role=SUPPORT</t>
        </is>
      </c>
    </row>
    <row r="96" ht="80" customHeight="1">
      <c r="A96" s="41" t="inlineStr">
        <is>
          <t>TC-093</t>
        </is>
      </c>
      <c r="B96" s="49" t="inlineStr">
        <is>
          <t>EP</t>
        </is>
      </c>
      <c r="C96" s="45" t="inlineStr">
        <is>
          <t>P1</t>
        </is>
      </c>
      <c r="D96" s="44" t="inlineStr">
        <is>
          <t>POST /assignments</t>
        </is>
      </c>
      <c r="E96" s="44" t="inlineStr">
        <is>
          <t>EP — role partition undefined/omitted → default SUPPORT</t>
        </is>
      </c>
      <c r="F96" s="41" t="inlineStr">
        <is>
          <t>REQ-PA-EP</t>
        </is>
      </c>
      <c r="G96" s="41" t="inlineStr">
        <is>
          <t>EP / Default value</t>
        </is>
      </c>
      <c r="H96" s="41" t="inlineStr">
        <is>
          <t>TB</t>
        </is>
      </c>
      <c r="I96" s="44" t="inlineStr">
        <is>
          <t>-</t>
        </is>
      </c>
      <c r="J96" s="44" t="inlineStr">
        <is>
          <t>POST {userId, không có role} — partition role absent</t>
        </is>
      </c>
      <c r="K96" s="44" t="inlineStr">
        <is>
          <t>petition.new.D0</t>
        </is>
      </c>
      <c r="L96" s="44" t="inlineStr">
        <is>
          <t>petition.new.D0</t>
        </is>
      </c>
      <c r="M96" s="44" t="inlineStr">
        <is>
          <t>-</t>
        </is>
      </c>
      <c r="N96" s="44" t="inlineStr">
        <is>
          <t>HTTP 201, role='SUPPORT'</t>
        </is>
      </c>
      <c r="O96" s="44" t="inlineStr">
        <is>
          <t>-</t>
        </is>
      </c>
      <c r="P96" s="41" t="inlineStr">
        <is>
          <t>High</t>
        </is>
      </c>
      <c r="Q96" s="44" t="inlineStr"/>
      <c r="R96" s="41" t="inlineStr"/>
      <c r="S96" s="41" t="inlineStr"/>
      <c r="T96" s="41" t="inlineStr"/>
      <c r="U96" s="41" t="inlineStr"/>
      <c r="V96" s="44" t="inlineStr"/>
      <c r="W96" s="41" t="inlineStr"/>
      <c r="X96" s="44" t="inlineStr">
        <is>
          <t>Partition 3/3: role=undefined → default</t>
        </is>
      </c>
    </row>
    <row r="97" ht="80" customHeight="1">
      <c r="A97" s="41" t="inlineStr">
        <is>
          <t>TC-094</t>
        </is>
      </c>
      <c r="B97" s="49" t="inlineStr">
        <is>
          <t>EP</t>
        </is>
      </c>
      <c r="C97" s="45" t="inlineStr">
        <is>
          <t>P1</t>
        </is>
      </c>
      <c r="D97" s="44" t="inlineStr">
        <is>
          <t>POST /assignments</t>
        </is>
      </c>
      <c r="E97" s="44" t="inlineStr">
        <is>
          <t>EP — role partition invalid → reject</t>
        </is>
      </c>
      <c r="F97" s="41" t="inlineStr">
        <is>
          <t>REQ-PA-EP</t>
        </is>
      </c>
      <c r="G97" s="41" t="inlineStr">
        <is>
          <t>EP / Invalid class</t>
        </is>
      </c>
      <c r="H97" s="41" t="inlineStr">
        <is>
          <t>TB</t>
        </is>
      </c>
      <c r="I97" s="44" t="inlineStr">
        <is>
          <t>-</t>
        </is>
      </c>
      <c r="J97" s="44" t="inlineStr">
        <is>
          <t>POST {role:'INVALID_ROLE'}</t>
        </is>
      </c>
      <c r="K97" s="44" t="inlineStr">
        <is>
          <t>petition.new.D0</t>
        </is>
      </c>
      <c r="L97" s="44" t="inlineStr">
        <is>
          <t>petition.new.D0</t>
        </is>
      </c>
      <c r="M97" s="44" t="inlineStr">
        <is>
          <t>-</t>
        </is>
      </c>
      <c r="N97" s="44" t="inlineStr">
        <is>
          <t>HTTP 400 hoặc 201 với invalid role (tùy validator)</t>
        </is>
      </c>
      <c r="O97" s="44" t="inlineStr">
        <is>
          <t>-</t>
        </is>
      </c>
      <c r="P97" s="41" t="inlineStr">
        <is>
          <t>Medium</t>
        </is>
      </c>
      <c r="Q97" s="44" t="inlineStr"/>
      <c r="R97" s="41" t="inlineStr"/>
      <c r="S97" s="41" t="inlineStr"/>
      <c r="T97" s="41" t="inlineStr"/>
      <c r="U97" s="41" t="inlineStr"/>
      <c r="V97" s="44" t="inlineStr"/>
      <c r="W97" s="41" t="inlineStr"/>
      <c r="X97" s="44" t="inlineStr">
        <is>
          <t>Partition: invalid enum class</t>
        </is>
      </c>
    </row>
    <row r="98" ht="80" customHeight="1">
      <c r="A98" s="41" t="inlineStr">
        <is>
          <t>TC-095</t>
        </is>
      </c>
      <c r="B98" s="49" t="inlineStr">
        <is>
          <t>EP</t>
        </is>
      </c>
      <c r="C98" s="43" t="inlineStr">
        <is>
          <t>P0</t>
        </is>
      </c>
      <c r="D98" s="44" t="inlineStr">
        <is>
          <t>GET /assignments</t>
        </is>
      </c>
      <c r="E98" s="44" t="inlineStr">
        <is>
          <t>EP — petition partition: TIEP_NHAN → có thể GET assignments</t>
        </is>
      </c>
      <c r="F98" s="41" t="inlineStr">
        <is>
          <t>REQ-PA-EP</t>
        </is>
      </c>
      <c r="G98" s="41" t="inlineStr">
        <is>
          <t>EP / Status class</t>
        </is>
      </c>
      <c r="H98" s="41" t="inlineStr">
        <is>
          <t>TB</t>
        </is>
      </c>
      <c r="I98" s="44" t="inlineStr">
        <is>
          <t>Petition với status=TIEP_NHAN</t>
        </is>
      </c>
      <c r="J98" s="44" t="inlineStr">
        <is>
          <t>GET /assignments</t>
        </is>
      </c>
      <c r="K98" s="44" t="inlineStr">
        <is>
          <t>petition.status_tiep_nhan.D0</t>
        </is>
      </c>
      <c r="L98" s="44" t="inlineStr">
        <is>
          <t>petition.status_tiep_nhan.D0</t>
        </is>
      </c>
      <c r="M98" s="44" t="inlineStr">
        <is>
          <t>-</t>
        </is>
      </c>
      <c r="N98" s="44" t="inlineStr">
        <is>
          <t>HTTP 200</t>
        </is>
      </c>
      <c r="O98" s="44" t="inlineStr">
        <is>
          <t>-</t>
        </is>
      </c>
      <c r="P98" s="41" t="inlineStr">
        <is>
          <t>High</t>
        </is>
      </c>
      <c r="Q98" s="44" t="inlineStr"/>
      <c r="R98" s="41" t="inlineStr"/>
      <c r="S98" s="41" t="inlineStr"/>
      <c r="T98" s="41" t="inlineStr"/>
      <c r="U98" s="41" t="inlineStr"/>
      <c r="V98" s="44" t="inlineStr"/>
      <c r="W98" s="41" t="inlineStr"/>
      <c r="X98" s="44" t="inlineStr">
        <is>
          <t>Status không ảnh hưởng GET</t>
        </is>
      </c>
    </row>
    <row r="99" ht="80" customHeight="1">
      <c r="A99" s="41" t="inlineStr">
        <is>
          <t>TC-096</t>
        </is>
      </c>
      <c r="B99" s="49" t="inlineStr">
        <is>
          <t>EP</t>
        </is>
      </c>
      <c r="C99" s="43" t="inlineStr">
        <is>
          <t>P0</t>
        </is>
      </c>
      <c r="D99" s="44" t="inlineStr">
        <is>
          <t>GET /assignments</t>
        </is>
      </c>
      <c r="E99" s="44" t="inlineStr">
        <is>
          <t>EP — petition partition: DA_CHUYEN_VU_VIEC → có thể GET assignments</t>
        </is>
      </c>
      <c r="F99" s="41" t="inlineStr">
        <is>
          <t>REQ-PA-EP</t>
        </is>
      </c>
      <c r="G99" s="41" t="inlineStr">
        <is>
          <t>EP / Status class</t>
        </is>
      </c>
      <c r="H99" s="41" t="inlineStr">
        <is>
          <t>TB</t>
        </is>
      </c>
      <c r="I99" s="44" t="inlineStr">
        <is>
          <t>Petition với status=DA_CHUYEN_VU_VIEC</t>
        </is>
      </c>
      <c r="J99" s="44" t="inlineStr">
        <is>
          <t>GET /assignments</t>
        </is>
      </c>
      <c r="K99" s="44" t="inlineStr">
        <is>
          <t>petition.converted_incident.D7</t>
        </is>
      </c>
      <c r="L99" s="44" t="inlineStr">
        <is>
          <t>petition.converted_incident.D7</t>
        </is>
      </c>
      <c r="M99" s="44" t="inlineStr">
        <is>
          <t>-</t>
        </is>
      </c>
      <c r="N99" s="44" t="inlineStr">
        <is>
          <t>HTTP 200</t>
        </is>
      </c>
      <c r="O99" s="44" t="inlineStr">
        <is>
          <t>-</t>
        </is>
      </c>
      <c r="P99" s="41" t="inlineStr">
        <is>
          <t>Medium</t>
        </is>
      </c>
      <c r="Q99" s="44" t="inlineStr"/>
      <c r="R99" s="41" t="inlineStr"/>
      <c r="S99" s="41" t="inlineStr"/>
      <c r="T99" s="41" t="inlineStr"/>
      <c r="U99" s="41" t="inlineStr"/>
      <c r="V99" s="44" t="inlineStr"/>
      <c r="W99" s="41" t="inlineStr"/>
      <c r="X99" s="44" t="inlineStr">
        <is>
          <t>Status không ảnh hưởng GET</t>
        </is>
      </c>
    </row>
    <row r="100" ht="80" customHeight="1">
      <c r="A100" s="41" t="inlineStr">
        <is>
          <t>TC-097</t>
        </is>
      </c>
      <c r="B100" s="49" t="inlineStr">
        <is>
          <t>EP</t>
        </is>
      </c>
      <c r="C100" s="43" t="inlineStr">
        <is>
          <t>P0</t>
        </is>
      </c>
      <c r="D100" s="44" t="inlineStr">
        <is>
          <t>POST /assignments</t>
        </is>
      </c>
      <c r="E100" s="44" t="inlineStr">
        <is>
          <t>EP — user partition: user trong cùng team với petition → PASS</t>
        </is>
      </c>
      <c r="F100" s="41" t="inlineStr">
        <is>
          <t>REQ-PA-EP</t>
        </is>
      </c>
      <c r="G100" s="41" t="inlineStr">
        <is>
          <t>EP / User-team relation</t>
        </is>
      </c>
      <c r="H100" s="41" t="inlineStr">
        <is>
          <t>TB</t>
        </is>
      </c>
      <c r="I100" s="44" t="inlineStr">
        <is>
          <t>Petition assignedTeamId=team-A, user-1 trong team-A</t>
        </is>
      </c>
      <c r="J100" s="44" t="inlineStr">
        <is>
          <t>POST {userId:'user-1', role:'SUPPORT'}</t>
        </is>
      </c>
      <c r="K100" s="44" t="inlineStr">
        <is>
          <t>petition.assigned_team.D7, user.in_same_team</t>
        </is>
      </c>
      <c r="L100" s="44" t="inlineStr">
        <is>
          <t>petition.assigned_team.D7</t>
        </is>
      </c>
      <c r="M100" s="44" t="inlineStr">
        <is>
          <t>-</t>
        </is>
      </c>
      <c r="N100" s="44" t="inlineStr">
        <is>
          <t>HTTP 201</t>
        </is>
      </c>
      <c r="O100" s="44" t="inlineStr">
        <is>
          <t>-</t>
        </is>
      </c>
      <c r="P100" s="41" t="inlineStr">
        <is>
          <t>High</t>
        </is>
      </c>
      <c r="Q100" s="44" t="inlineStr"/>
      <c r="R100" s="41" t="inlineStr"/>
      <c r="S100" s="41" t="inlineStr"/>
      <c r="T100" s="41" t="inlineStr"/>
      <c r="U100" s="41" t="inlineStr"/>
      <c r="V100" s="44" t="inlineStr"/>
      <c r="W100" s="41" t="inlineStr"/>
      <c r="X100" s="44" t="inlineStr">
        <is>
          <t>Không có team-membership validation cho POST /assignments</t>
        </is>
      </c>
    </row>
    <row r="101" ht="80" customHeight="1">
      <c r="A101" s="41" t="inlineStr">
        <is>
          <t>TC-098</t>
        </is>
      </c>
      <c r="B101" s="49" t="inlineStr">
        <is>
          <t>EP</t>
        </is>
      </c>
      <c r="C101" s="45" t="inlineStr">
        <is>
          <t>P1</t>
        </is>
      </c>
      <c r="D101" s="44" t="inlineStr">
        <is>
          <t>POST /assignments</t>
        </is>
      </c>
      <c r="E101" s="44" t="inlineStr">
        <is>
          <t>EP — user partition: user KHÔNG trong team của petition → vẫn PASS (no validation)</t>
        </is>
      </c>
      <c r="F101" s="41" t="inlineStr">
        <is>
          <t>REQ-PA-EP</t>
        </is>
      </c>
      <c r="G101" s="41" t="inlineStr">
        <is>
          <t>EP / Cross-team</t>
        </is>
      </c>
      <c r="H101" s="41" t="inlineStr">
        <is>
          <t>TB</t>
        </is>
      </c>
      <c r="I101" s="44" t="inlineStr">
        <is>
          <t>Petition assignedTeamId=team-A, user-2 trong team-B</t>
        </is>
      </c>
      <c r="J101" s="44" t="inlineStr">
        <is>
          <t>POST {userId:'user-2', role:'SUPPORT'}</t>
        </is>
      </c>
      <c r="K101" s="44" t="inlineStr">
        <is>
          <t>petition.assigned_team.D7, user.in_other_team</t>
        </is>
      </c>
      <c r="L101" s="44" t="inlineStr">
        <is>
          <t>petition.assigned_team.D7</t>
        </is>
      </c>
      <c r="M101" s="44" t="inlineStr">
        <is>
          <t>-</t>
        </is>
      </c>
      <c r="N101" s="44" t="inlineStr">
        <is>
          <t>HTTP 201 (không validate team membership trong POST /assignments)</t>
        </is>
      </c>
      <c r="O101" s="44" t="inlineStr">
        <is>
          <t>Row tạo thành công</t>
        </is>
      </c>
      <c r="P101" s="41" t="inlineStr">
        <is>
          <t>Medium</t>
        </is>
      </c>
      <c r="Q101" s="44" t="inlineStr"/>
      <c r="R101" s="41" t="inlineStr"/>
      <c r="S101" s="41" t="inlineStr"/>
      <c r="T101" s="41" t="inlineStr"/>
      <c r="U101" s="41" t="inlineStr"/>
      <c r="V101" s="44" t="inlineStr"/>
      <c r="W101" s="41" t="inlineStr"/>
      <c r="X101" s="44" t="inlineStr">
        <is>
          <t>Chỉ PATCH /assign mới validate team membership</t>
        </is>
      </c>
    </row>
    <row r="102" ht="80" customHeight="1">
      <c r="A102" s="41" t="inlineStr">
        <is>
          <t>TC-099</t>
        </is>
      </c>
      <c r="B102" s="49" t="inlineStr">
        <is>
          <t>EP</t>
        </is>
      </c>
      <c r="C102" s="43" t="inlineStr">
        <is>
          <t>P0</t>
        </is>
      </c>
      <c r="D102" s="44" t="inlineStr">
        <is>
          <t>PATCH /assign</t>
        </is>
      </c>
      <c r="E102" s="44" t="inlineStr">
        <is>
          <t>EP — team partition: team active với leader → auto-assign</t>
        </is>
      </c>
      <c r="F102" s="41" t="inlineStr">
        <is>
          <t>REQ-PA-EP</t>
        </is>
      </c>
      <c r="G102" s="41" t="inlineStr">
        <is>
          <t>EP / Team state</t>
        </is>
      </c>
      <c r="H102" s="41" t="inlineStr">
        <is>
          <t>TB</t>
        </is>
      </c>
      <c r="I102" s="44" t="inlineStr">
        <is>
          <t>Team active, có leader</t>
        </is>
      </c>
      <c r="J102" s="44" t="inlineStr">
        <is>
          <t>PATCH /assign {assignedTeamId, không có assignedToId}</t>
        </is>
      </c>
      <c r="K102" s="44" t="inlineStr">
        <is>
          <t>petition.unassigned.D0, team.active_with_leader</t>
        </is>
      </c>
      <c r="L102" s="44" t="inlineStr">
        <is>
          <t>petition.unassigned.D0</t>
        </is>
      </c>
      <c r="M102" s="44" t="inlineStr">
        <is>
          <t>-</t>
        </is>
      </c>
      <c r="N102" s="44" t="inlineStr">
        <is>
          <t>HTTP 200, assignedToId = leaderId</t>
        </is>
      </c>
      <c r="O102" s="44" t="inlineStr">
        <is>
          <t>-</t>
        </is>
      </c>
      <c r="P102" s="41" t="inlineStr">
        <is>
          <t>Critical</t>
        </is>
      </c>
      <c r="Q102" s="44" t="inlineStr"/>
      <c r="R102" s="41" t="inlineStr"/>
      <c r="S102" s="41" t="inlineStr"/>
      <c r="T102" s="41" t="inlineStr"/>
      <c r="U102" s="41" t="inlineStr"/>
      <c r="V102" s="44" t="inlineStr"/>
      <c r="W102" s="41" t="inlineStr"/>
      <c r="X102" s="44" t="inlineStr">
        <is>
          <t>EP class: active team + has leader</t>
        </is>
      </c>
    </row>
    <row r="103" ht="80" customHeight="1">
      <c r="A103" s="41" t="inlineStr">
        <is>
          <t>TC-100</t>
        </is>
      </c>
      <c r="B103" s="49" t="inlineStr">
        <is>
          <t>EP</t>
        </is>
      </c>
      <c r="C103" s="43" t="inlineStr">
        <is>
          <t>P0</t>
        </is>
      </c>
      <c r="D103" s="44" t="inlineStr">
        <is>
          <t>PATCH /assign</t>
        </is>
      </c>
      <c r="E103" s="44" t="inlineStr">
        <is>
          <t>EP — team partition: team active, không leader → fail-open</t>
        </is>
      </c>
      <c r="F103" s="41" t="inlineStr">
        <is>
          <t>REQ-PA-EP</t>
        </is>
      </c>
      <c r="G103" s="41" t="inlineStr">
        <is>
          <t>EP / Team state</t>
        </is>
      </c>
      <c r="H103" s="41" t="inlineStr">
        <is>
          <t>TB</t>
        </is>
      </c>
      <c r="I103" s="44" t="inlineStr">
        <is>
          <t>Team active, không có isLeader=true</t>
        </is>
      </c>
      <c r="J103" s="44" t="inlineStr">
        <is>
          <t>PATCH /assign {assignedTeamId, không có assignedToId}</t>
        </is>
      </c>
      <c r="K103" s="44" t="inlineStr">
        <is>
          <t>petition.unassigned.D0, team.active_no_leader</t>
        </is>
      </c>
      <c r="L103" s="44" t="inlineStr">
        <is>
          <t>petition.unassigned.D0</t>
        </is>
      </c>
      <c r="M103" s="44" t="inlineStr">
        <is>
          <t>-</t>
        </is>
      </c>
      <c r="N103" s="44" t="inlineStr">
        <is>
          <t>HTTP 200, assignedToId không đổi</t>
        </is>
      </c>
      <c r="O103" s="44" t="inlineStr">
        <is>
          <t>-</t>
        </is>
      </c>
      <c r="P103" s="41" t="inlineStr">
        <is>
          <t>Medium</t>
        </is>
      </c>
      <c r="Q103" s="44" t="inlineStr"/>
      <c r="R103" s="41" t="inlineStr"/>
      <c r="S103" s="41" t="inlineStr"/>
      <c r="T103" s="41" t="inlineStr"/>
      <c r="U103" s="41" t="inlineStr"/>
      <c r="V103" s="44" t="inlineStr"/>
      <c r="W103" s="41" t="inlineStr"/>
      <c r="X103" s="44" t="inlineStr">
        <is>
          <t>EP class: active team + no leader</t>
        </is>
      </c>
    </row>
    <row r="104" ht="80" customHeight="1">
      <c r="A104" s="41" t="inlineStr">
        <is>
          <t>TC-101</t>
        </is>
      </c>
      <c r="B104" s="49" t="inlineStr">
        <is>
          <t>EP</t>
        </is>
      </c>
      <c r="C104" s="43" t="inlineStr">
        <is>
          <t>P0</t>
        </is>
      </c>
      <c r="D104" s="44" t="inlineStr">
        <is>
          <t>PATCH /assign</t>
        </is>
      </c>
      <c r="E104" s="44" t="inlineStr">
        <is>
          <t>EP — team partition: team inactive → 400</t>
        </is>
      </c>
      <c r="F104" s="41" t="inlineStr">
        <is>
          <t>REQ-PA-EP</t>
        </is>
      </c>
      <c r="G104" s="41" t="inlineStr">
        <is>
          <t>EP / Team state</t>
        </is>
      </c>
      <c r="H104" s="41" t="inlineStr">
        <is>
          <t>TB</t>
        </is>
      </c>
      <c r="I104" s="44" t="inlineStr">
        <is>
          <t>Team inactive</t>
        </is>
      </c>
      <c r="J104" s="44" t="inlineStr">
        <is>
          <t>PATCH /assign {assignedTeamId:'inactive-team'}</t>
        </is>
      </c>
      <c r="K104" s="44" t="inlineStr">
        <is>
          <t>petition.unassigned.D0, team.inactive</t>
        </is>
      </c>
      <c r="L104" s="44" t="inlineStr">
        <is>
          <t>petition.unassigned.D0</t>
        </is>
      </c>
      <c r="M104" s="44" t="inlineStr">
        <is>
          <t>-</t>
        </is>
      </c>
      <c r="N104" s="44" t="inlineStr">
        <is>
          <t>HTTP 400</t>
        </is>
      </c>
      <c r="O104" s="44" t="inlineStr">
        <is>
          <t>-</t>
        </is>
      </c>
      <c r="P104" s="41" t="inlineStr">
        <is>
          <t>High</t>
        </is>
      </c>
      <c r="Q104" s="44" t="inlineStr"/>
      <c r="R104" s="41" t="inlineStr"/>
      <c r="S104" s="41" t="inlineStr"/>
      <c r="T104" s="41" t="inlineStr"/>
      <c r="U104" s="41" t="inlineStr"/>
      <c r="V104" s="44" t="inlineStr"/>
      <c r="W104" s="41" t="inlineStr"/>
      <c r="X104" s="44" t="inlineStr">
        <is>
          <t>EP class: inactive team</t>
        </is>
      </c>
    </row>
    <row r="105" ht="80" customHeight="1">
      <c r="A105" s="41" t="inlineStr">
        <is>
          <t>TC-102</t>
        </is>
      </c>
      <c r="B105" s="49" t="inlineStr">
        <is>
          <t>EP</t>
        </is>
      </c>
      <c r="C105" s="45" t="inlineStr">
        <is>
          <t>P1</t>
        </is>
      </c>
      <c r="D105" s="44" t="inlineStr">
        <is>
          <t>PATCH /assign</t>
        </is>
      </c>
      <c r="E105" s="44" t="inlineStr">
        <is>
          <t>EP — assignedToId partition: userId trong đúng team → PASS</t>
        </is>
      </c>
      <c r="F105" s="41" t="inlineStr">
        <is>
          <t>REQ-PA-EP</t>
        </is>
      </c>
      <c r="G105" s="41" t="inlineStr">
        <is>
          <t>EP / Member validation</t>
        </is>
      </c>
      <c r="H105" s="41" t="inlineStr">
        <is>
          <t>TB</t>
        </is>
      </c>
      <c r="I105" s="44" t="inlineStr">
        <is>
          <t>user-1 là thành viên team-A</t>
        </is>
      </c>
      <c r="J105" s="44" t="inlineStr">
        <is>
          <t>PATCH /assign {assignedTeamId:'team-A', assignedToId:'user-1'}</t>
        </is>
      </c>
      <c r="K105" s="44" t="inlineStr">
        <is>
          <t>petition.unassigned.D0, team.a_with_user1</t>
        </is>
      </c>
      <c r="L105" s="44" t="inlineStr">
        <is>
          <t>petition.unassigned.D0</t>
        </is>
      </c>
      <c r="M105" s="44" t="inlineStr">
        <is>
          <t>-</t>
        </is>
      </c>
      <c r="N105" s="44" t="inlineStr">
        <is>
          <t>HTTP 200</t>
        </is>
      </c>
      <c r="O105" s="44" t="inlineStr">
        <is>
          <t>-</t>
        </is>
      </c>
      <c r="P105" s="41" t="inlineStr">
        <is>
          <t>High</t>
        </is>
      </c>
      <c r="Q105" s="44" t="inlineStr"/>
      <c r="R105" s="41" t="inlineStr"/>
      <c r="S105" s="41" t="inlineStr"/>
      <c r="T105" s="41" t="inlineStr"/>
      <c r="U105" s="41" t="inlineStr"/>
      <c r="V105" s="44" t="inlineStr"/>
      <c r="W105" s="41" t="inlineStr"/>
      <c r="X105" s="44" t="inlineStr">
        <is>
          <t>EP class: member of target team</t>
        </is>
      </c>
    </row>
    <row r="106" ht="80" customHeight="1">
      <c r="A106" s="41" t="inlineStr">
        <is>
          <t>TC-103</t>
        </is>
      </c>
      <c r="B106" s="49" t="inlineStr">
        <is>
          <t>EP</t>
        </is>
      </c>
      <c r="C106" s="45" t="inlineStr">
        <is>
          <t>P1</t>
        </is>
      </c>
      <c r="D106" s="44" t="inlineStr">
        <is>
          <t>PATCH /assign</t>
        </is>
      </c>
      <c r="E106" s="44" t="inlineStr">
        <is>
          <t>EP — assignedToId partition: userId KHÔNG trong team → 400</t>
        </is>
      </c>
      <c r="F106" s="41" t="inlineStr">
        <is>
          <t>REQ-PA-EP</t>
        </is>
      </c>
      <c r="G106" s="41" t="inlineStr">
        <is>
          <t>EP / Member validation</t>
        </is>
      </c>
      <c r="H106" s="41" t="inlineStr">
        <is>
          <t>TB</t>
        </is>
      </c>
      <c r="I106" s="44" t="inlineStr">
        <is>
          <t>user-2 thuộc team-B, không thuộc team-A</t>
        </is>
      </c>
      <c r="J106" s="44" t="inlineStr">
        <is>
          <t>PATCH /assign {assignedTeamId:'team-A', assignedToId:'user-2'}</t>
        </is>
      </c>
      <c r="K106" s="44" t="inlineStr">
        <is>
          <t>petition.unassigned.D0, team.a_user2_in_b</t>
        </is>
      </c>
      <c r="L106" s="44" t="inlineStr">
        <is>
          <t>petition.unassigned.D0</t>
        </is>
      </c>
      <c r="M106" s="44" t="inlineStr">
        <is>
          <t>-</t>
        </is>
      </c>
      <c r="N106" s="44" t="inlineStr">
        <is>
          <t>HTTP 400</t>
        </is>
      </c>
      <c r="O106" s="44" t="inlineStr">
        <is>
          <t>-</t>
        </is>
      </c>
      <c r="P106" s="41" t="inlineStr">
        <is>
          <t>High</t>
        </is>
      </c>
      <c r="Q106" s="44" t="inlineStr"/>
      <c r="R106" s="41" t="inlineStr"/>
      <c r="S106" s="41" t="inlineStr"/>
      <c r="T106" s="41" t="inlineStr"/>
      <c r="U106" s="41" t="inlineStr"/>
      <c r="V106" s="44" t="inlineStr"/>
      <c r="W106" s="41" t="inlineStr"/>
      <c r="X106" s="44" t="inlineStr">
        <is>
          <t>EP class: non-member of target team</t>
        </is>
      </c>
    </row>
    <row r="107" ht="80" customHeight="1">
      <c r="A107" s="41" t="inlineStr">
        <is>
          <t>TC-104</t>
        </is>
      </c>
      <c r="B107" s="49" t="inlineStr">
        <is>
          <t>EP</t>
        </is>
      </c>
      <c r="C107" s="45" t="inlineStr">
        <is>
          <t>P1</t>
        </is>
      </c>
      <c r="D107" s="44" t="inlineStr">
        <is>
          <t>POST /assignments</t>
        </is>
      </c>
      <c r="E107" s="44" t="inlineStr">
        <is>
          <t>EP — petition partition: 0 assignments → có thể thêm</t>
        </is>
      </c>
      <c r="F107" s="41" t="inlineStr">
        <is>
          <t>REQ-PA-EP</t>
        </is>
      </c>
      <c r="G107" s="41" t="inlineStr">
        <is>
          <t>EP / Assignment count</t>
        </is>
      </c>
      <c r="H107" s="41" t="inlineStr">
        <is>
          <t>TB</t>
        </is>
      </c>
      <c r="I107" s="44" t="inlineStr">
        <is>
          <t>Petition chưa có assignment nào</t>
        </is>
      </c>
      <c r="J107" s="44" t="inlineStr">
        <is>
          <t>POST {userId:'user-1', role:'LEAD'}</t>
        </is>
      </c>
      <c r="K107" s="44" t="inlineStr">
        <is>
          <t>petition.new.D0</t>
        </is>
      </c>
      <c r="L107" s="44" t="inlineStr">
        <is>
          <t>petition.new.D0</t>
        </is>
      </c>
      <c r="M107" s="44" t="inlineStr">
        <is>
          <t>-</t>
        </is>
      </c>
      <c r="N107" s="44" t="inlineStr">
        <is>
          <t>HTTP 201</t>
        </is>
      </c>
      <c r="O107" s="44" t="inlineStr">
        <is>
          <t>-</t>
        </is>
      </c>
      <c r="P107" s="41" t="inlineStr">
        <is>
          <t>Critical</t>
        </is>
      </c>
      <c r="Q107" s="44" t="inlineStr"/>
      <c r="R107" s="41" t="inlineStr"/>
      <c r="S107" s="41" t="inlineStr"/>
      <c r="T107" s="41" t="inlineStr"/>
      <c r="U107" s="41" t="inlineStr"/>
      <c r="V107" s="44" t="inlineStr"/>
      <c r="W107" s="41" t="inlineStr"/>
      <c r="X107" s="44" t="inlineStr">
        <is>
          <t>EP class: no existing assignments</t>
        </is>
      </c>
    </row>
    <row r="108" ht="80" customHeight="1">
      <c r="A108" s="41" t="inlineStr">
        <is>
          <t>TC-105</t>
        </is>
      </c>
      <c r="B108" s="49" t="inlineStr">
        <is>
          <t>EP</t>
        </is>
      </c>
      <c r="C108" s="45" t="inlineStr">
        <is>
          <t>P1</t>
        </is>
      </c>
      <c r="D108" s="44" t="inlineStr">
        <is>
          <t>POST /assignments</t>
        </is>
      </c>
      <c r="E108" s="44" t="inlineStr">
        <is>
          <t>EP — petition partition: có N assignments rồi → vẫn có thể thêm user mới</t>
        </is>
      </c>
      <c r="F108" s="41" t="inlineStr">
        <is>
          <t>REQ-PA-EP</t>
        </is>
      </c>
      <c r="G108" s="41" t="inlineStr">
        <is>
          <t>EP / Assignment count</t>
        </is>
      </c>
      <c r="H108" s="41" t="inlineStr">
        <is>
          <t>TB</t>
        </is>
      </c>
      <c r="I108" s="44" t="inlineStr">
        <is>
          <t>Petition đã có 5 assignments</t>
        </is>
      </c>
      <c r="J108" s="44" t="inlineStr">
        <is>
          <t>POST {userId:'user-new', role:'SUPPORT'}</t>
        </is>
      </c>
      <c r="K108" s="44" t="inlineStr">
        <is>
          <t>petition.with_5_assignments.D7</t>
        </is>
      </c>
      <c r="L108" s="44" t="inlineStr">
        <is>
          <t>petition.with_5_assignments.D7</t>
        </is>
      </c>
      <c r="M108" s="44" t="inlineStr">
        <is>
          <t>-</t>
        </is>
      </c>
      <c r="N108" s="44" t="inlineStr">
        <is>
          <t>HTTP 201</t>
        </is>
      </c>
      <c r="O108" s="44" t="inlineStr">
        <is>
          <t>6 rows tổng</t>
        </is>
      </c>
      <c r="P108" s="41" t="inlineStr">
        <is>
          <t>High</t>
        </is>
      </c>
      <c r="Q108" s="44" t="inlineStr"/>
      <c r="R108" s="41" t="inlineStr"/>
      <c r="S108" s="41" t="inlineStr"/>
      <c r="T108" s="41" t="inlineStr"/>
      <c r="U108" s="41" t="inlineStr"/>
      <c r="V108" s="44" t="inlineStr"/>
      <c r="W108" s="41" t="inlineStr"/>
      <c r="X108" s="44" t="inlineStr">
        <is>
          <t>Không giới hạn số assignments</t>
        </is>
      </c>
    </row>
    <row r="109" ht="80" customHeight="1">
      <c r="A109" s="41" t="inlineStr">
        <is>
          <t>TC-106</t>
        </is>
      </c>
      <c r="B109" s="49" t="inlineStr">
        <is>
          <t>EP</t>
        </is>
      </c>
      <c r="C109" s="45" t="inlineStr">
        <is>
          <t>P1</t>
        </is>
      </c>
      <c r="D109" s="44" t="inlineStr">
        <is>
          <t>POST /assignments</t>
        </is>
      </c>
      <c r="E109" s="44" t="inlineStr">
        <is>
          <t>EP — same user, 2 petition khác nhau → 2 assignment riêng (không conflict)</t>
        </is>
      </c>
      <c r="F109" s="41" t="inlineStr">
        <is>
          <t>REQ-PA-EP</t>
        </is>
      </c>
      <c r="G109" s="41" t="inlineStr">
        <is>
          <t>EP / Cross-petition</t>
        </is>
      </c>
      <c r="H109" s="41" t="inlineStr">
        <is>
          <t>TB</t>
        </is>
      </c>
      <c r="I109" s="44" t="inlineStr">
        <is>
          <t>user-1 assigned cho petition-A</t>
        </is>
      </c>
      <c r="J109" s="44" t="inlineStr">
        <is>
          <t>POST petition-B/assignments {userId:'user-1', role:'SUPPORT'}</t>
        </is>
      </c>
      <c r="K109" s="44" t="inlineStr">
        <is>
          <t>petition.a.D7, petition.b.new.D0</t>
        </is>
      </c>
      <c r="L109" s="44" t="inlineStr">
        <is>
          <t>petition.b.new.D0</t>
        </is>
      </c>
      <c r="M109" s="44" t="inlineStr">
        <is>
          <t>-</t>
        </is>
      </c>
      <c r="N109" s="44" t="inlineStr">
        <is>
          <t>HTTP 201 (không conflict — unique constraint chỉ trên petitionId+userId)</t>
        </is>
      </c>
      <c r="O109" s="44" t="inlineStr">
        <is>
          <t>2 rows: (petition-A, user-1) + (petition-B, user-1)</t>
        </is>
      </c>
      <c r="P109" s="41" t="inlineStr">
        <is>
          <t>High</t>
        </is>
      </c>
      <c r="Q109" s="44" t="inlineStr"/>
      <c r="R109" s="41" t="inlineStr"/>
      <c r="S109" s="41" t="inlineStr"/>
      <c r="T109" s="41" t="inlineStr"/>
      <c r="U109" s="41" t="inlineStr"/>
      <c r="V109" s="44" t="inlineStr"/>
      <c r="W109" s="41" t="inlineStr"/>
      <c r="X109" s="44" t="inlineStr">
        <is>
          <t>@@unique([petitionId, userId]) — không unique cross-petition</t>
        </is>
      </c>
    </row>
    <row r="110" ht="80" customHeight="1">
      <c r="A110" s="41" t="inlineStr">
        <is>
          <t>TC-107</t>
        </is>
      </c>
      <c r="B110" s="50" t="inlineStr">
        <is>
          <t>STATE</t>
        </is>
      </c>
      <c r="C110" s="43" t="inlineStr">
        <is>
          <t>P0</t>
        </is>
      </c>
      <c r="D110" s="44" t="inlineStr">
        <is>
          <t>Petition Assignment</t>
        </is>
      </c>
      <c r="E110" s="44" t="inlineStr">
        <is>
          <t>STATE — petition không có assignment (s0) → POST → có 1 assignment (s1)</t>
        </is>
      </c>
      <c r="F110" s="41" t="inlineStr">
        <is>
          <t>REQ-PA-STATE</t>
        </is>
      </c>
      <c r="G110" s="41" t="inlineStr">
        <is>
          <t>State Transition</t>
        </is>
      </c>
      <c r="H110" s="41" t="inlineStr">
        <is>
          <t>Cao</t>
        </is>
      </c>
      <c r="I110" s="44" t="inlineStr">
        <is>
          <t>Petition ở s0: 0 assignments</t>
        </is>
      </c>
      <c r="J110" s="44" t="inlineStr">
        <is>
          <t>POST {userId:'user-1', role:'LEAD'}</t>
        </is>
      </c>
      <c r="K110" s="44" t="inlineStr">
        <is>
          <t>petition.new.D0</t>
        </is>
      </c>
      <c r="L110" s="44" t="inlineStr">
        <is>
          <t>petition.new.D0</t>
        </is>
      </c>
      <c r="M110" s="44" t="inlineStr">
        <is>
          <t>Transition s0 → s1: danh sách có 1 item</t>
        </is>
      </c>
      <c r="N110" s="44" t="inlineStr">
        <is>
          <t>HTTP 201, GET sau → 1 item</t>
        </is>
      </c>
      <c r="O110" s="44" t="inlineStr">
        <is>
          <t>DB: 1 row</t>
        </is>
      </c>
      <c r="P110" s="41" t="inlineStr">
        <is>
          <t>Critical</t>
        </is>
      </c>
      <c r="Q110" s="44" t="inlineStr"/>
      <c r="R110" s="41" t="inlineStr"/>
      <c r="S110" s="41" t="inlineStr"/>
      <c r="T110" s="41" t="inlineStr"/>
      <c r="U110" s="41" t="inlineStr"/>
      <c r="V110" s="44" t="inlineStr"/>
      <c r="W110" s="41" t="inlineStr"/>
      <c r="X110" s="44" t="inlineStr">
        <is>
          <t>s0→s1</t>
        </is>
      </c>
    </row>
    <row r="111" ht="80" customHeight="1">
      <c r="A111" s="41" t="inlineStr">
        <is>
          <t>TC-108</t>
        </is>
      </c>
      <c r="B111" s="50" t="inlineStr">
        <is>
          <t>STATE</t>
        </is>
      </c>
      <c r="C111" s="43" t="inlineStr">
        <is>
          <t>P0</t>
        </is>
      </c>
      <c r="D111" s="44" t="inlineStr">
        <is>
          <t>Petition Assignment</t>
        </is>
      </c>
      <c r="E111" s="44" t="inlineStr">
        <is>
          <t>STATE — có 1 assignment (s1) → POST user mới → 2 assignments (s2)</t>
        </is>
      </c>
      <c r="F111" s="41" t="inlineStr">
        <is>
          <t>REQ-PA-STATE</t>
        </is>
      </c>
      <c r="G111" s="41" t="inlineStr">
        <is>
          <t>State Transition</t>
        </is>
      </c>
      <c r="H111" s="41" t="inlineStr">
        <is>
          <t>Cao</t>
        </is>
      </c>
      <c r="I111" s="44" t="inlineStr">
        <is>
          <t>Petition ở s1: 1 assignment</t>
        </is>
      </c>
      <c r="J111" s="44" t="inlineStr">
        <is>
          <t>POST {userId:'user-2', role:'SUPPORT'}</t>
        </is>
      </c>
      <c r="K111" s="44" t="inlineStr">
        <is>
          <t>petition.with_1_assignment.D7</t>
        </is>
      </c>
      <c r="L111" s="44" t="inlineStr">
        <is>
          <t>petition.with_1_assignment.D7</t>
        </is>
      </c>
      <c r="M111" s="44" t="inlineStr">
        <is>
          <t>List có 2 items</t>
        </is>
      </c>
      <c r="N111" s="44" t="inlineStr">
        <is>
          <t>HTTP 201, GET sau → 2 items</t>
        </is>
      </c>
      <c r="O111" s="44" t="inlineStr">
        <is>
          <t>DB: 2 rows</t>
        </is>
      </c>
      <c r="P111" s="41" t="inlineStr">
        <is>
          <t>Critical</t>
        </is>
      </c>
      <c r="Q111" s="44" t="inlineStr"/>
      <c r="R111" s="41" t="inlineStr"/>
      <c r="S111" s="41" t="inlineStr"/>
      <c r="T111" s="41" t="inlineStr"/>
      <c r="U111" s="41" t="inlineStr"/>
      <c r="V111" s="44" t="inlineStr"/>
      <c r="W111" s="41" t="inlineStr"/>
      <c r="X111" s="44" t="inlineStr">
        <is>
          <t>s1→s2</t>
        </is>
      </c>
    </row>
    <row r="112" ht="80" customHeight="1">
      <c r="A112" s="41" t="inlineStr">
        <is>
          <t>TC-109</t>
        </is>
      </c>
      <c r="B112" s="50" t="inlineStr">
        <is>
          <t>STATE</t>
        </is>
      </c>
      <c r="C112" s="43" t="inlineStr">
        <is>
          <t>P0</t>
        </is>
      </c>
      <c r="D112" s="44" t="inlineStr">
        <is>
          <t>Petition Assignment</t>
        </is>
      </c>
      <c r="E112" s="44" t="inlineStr">
        <is>
          <t>STATE — có 2 assignments (s2) → DELETE 1 → 1 assignment còn (s1)</t>
        </is>
      </c>
      <c r="F112" s="41" t="inlineStr">
        <is>
          <t>REQ-PA-STATE</t>
        </is>
      </c>
      <c r="G112" s="41" t="inlineStr">
        <is>
          <t>State Transition</t>
        </is>
      </c>
      <c r="H112" s="41" t="inlineStr">
        <is>
          <t>Cao</t>
        </is>
      </c>
      <c r="I112" s="44" t="inlineStr">
        <is>
          <t>Petition ở s2: 2 assignments</t>
        </is>
      </c>
      <c r="J112" s="44" t="inlineStr">
        <is>
          <t>DELETE userId='user-1'</t>
        </is>
      </c>
      <c r="K112" s="44" t="inlineStr">
        <is>
          <t>petition.with_2_assignments.D7</t>
        </is>
      </c>
      <c r="L112" s="44" t="inlineStr">
        <is>
          <t>petition.with_2_assignments.D7</t>
        </is>
      </c>
      <c r="M112" s="44" t="inlineStr">
        <is>
          <t>List còn 1 item</t>
        </is>
      </c>
      <c r="N112" s="44" t="inlineStr">
        <is>
          <t>HTTP 200, GET sau → 1 item</t>
        </is>
      </c>
      <c r="O112" s="44" t="inlineStr">
        <is>
          <t>1 row còn</t>
        </is>
      </c>
      <c r="P112" s="41" t="inlineStr">
        <is>
          <t>Critical</t>
        </is>
      </c>
      <c r="Q112" s="44" t="inlineStr"/>
      <c r="R112" s="41" t="inlineStr"/>
      <c r="S112" s="41" t="inlineStr"/>
      <c r="T112" s="41" t="inlineStr"/>
      <c r="U112" s="41" t="inlineStr"/>
      <c r="V112" s="44" t="inlineStr"/>
      <c r="W112" s="41" t="inlineStr"/>
      <c r="X112" s="44" t="inlineStr">
        <is>
          <t>s2→s1</t>
        </is>
      </c>
    </row>
    <row r="113" ht="80" customHeight="1">
      <c r="A113" s="41" t="inlineStr">
        <is>
          <t>TC-110</t>
        </is>
      </c>
      <c r="B113" s="50" t="inlineStr">
        <is>
          <t>STATE</t>
        </is>
      </c>
      <c r="C113" s="43" t="inlineStr">
        <is>
          <t>P0</t>
        </is>
      </c>
      <c r="D113" s="44" t="inlineStr">
        <is>
          <t>Petition Assignment</t>
        </is>
      </c>
      <c r="E113" s="44" t="inlineStr">
        <is>
          <t>STATE — có 1 assignment (s1) → DELETE → không còn assignment (s0)</t>
        </is>
      </c>
      <c r="F113" s="41" t="inlineStr">
        <is>
          <t>REQ-PA-STATE</t>
        </is>
      </c>
      <c r="G113" s="41" t="inlineStr">
        <is>
          <t>State Transition</t>
        </is>
      </c>
      <c r="H113" s="41" t="inlineStr">
        <is>
          <t>Cao</t>
        </is>
      </c>
      <c r="I113" s="44" t="inlineStr">
        <is>
          <t>Petition ở s1: 1 assignment</t>
        </is>
      </c>
      <c r="J113" s="44" t="inlineStr">
        <is>
          <t>DELETE userId='user-1'</t>
        </is>
      </c>
      <c r="K113" s="44" t="inlineStr">
        <is>
          <t>petition.with_1_assignment.D7</t>
        </is>
      </c>
      <c r="L113" s="44" t="inlineStr">
        <is>
          <t>petition.with_1_assignment.D7</t>
        </is>
      </c>
      <c r="M113" s="44" t="inlineStr">
        <is>
          <t>Empty state 'Chưa có cán bộ được phân công.'</t>
        </is>
      </c>
      <c r="N113" s="44" t="inlineStr">
        <is>
          <t>HTTP 200, GET sau → []</t>
        </is>
      </c>
      <c r="O113" s="44" t="inlineStr">
        <is>
          <t>0 rows</t>
        </is>
      </c>
      <c r="P113" s="41" t="inlineStr">
        <is>
          <t>Critical</t>
        </is>
      </c>
      <c r="Q113" s="44" t="inlineStr"/>
      <c r="R113" s="41" t="inlineStr"/>
      <c r="S113" s="41" t="inlineStr"/>
      <c r="T113" s="41" t="inlineStr"/>
      <c r="U113" s="41" t="inlineStr"/>
      <c r="V113" s="44" t="inlineStr"/>
      <c r="W113" s="41" t="inlineStr"/>
      <c r="X113" s="44" t="inlineStr">
        <is>
          <t>s1→s0</t>
        </is>
      </c>
    </row>
    <row r="114" ht="80" customHeight="1">
      <c r="A114" s="41" t="inlineStr">
        <is>
          <t>TC-111</t>
        </is>
      </c>
      <c r="B114" s="50" t="inlineStr">
        <is>
          <t>STATE</t>
        </is>
      </c>
      <c r="C114" s="45" t="inlineStr">
        <is>
          <t>P1</t>
        </is>
      </c>
      <c r="D114" s="44" t="inlineStr">
        <is>
          <t>Petition Assignment</t>
        </is>
      </c>
      <c r="E114" s="44" t="inlineStr">
        <is>
          <t>STATE — có assignment LEAD → xóa LEAD → còn SUPPORT → thêm LEAD mới</t>
        </is>
      </c>
      <c r="F114" s="41" t="inlineStr">
        <is>
          <t>REQ-PA-STATE</t>
        </is>
      </c>
      <c r="G114" s="41" t="inlineStr">
        <is>
          <t>State Transition / Role transition</t>
        </is>
      </c>
      <c r="H114" s="41" t="inlineStr">
        <is>
          <t>TB</t>
        </is>
      </c>
      <c r="I114" s="44" t="inlineStr">
        <is>
          <t>user-1 LEAD, user-2 SUPPORT</t>
        </is>
      </c>
      <c r="J114" s="44" t="inlineStr">
        <is>
          <t>1. DELETE user-1
2. POST user-3 role LEAD</t>
        </is>
      </c>
      <c r="K114" s="44" t="inlineStr">
        <is>
          <t>petition.with_2_assignments.D7</t>
        </is>
      </c>
      <c r="L114" s="44" t="inlineStr">
        <is>
          <t>petition.with_2_assignments.D7</t>
        </is>
      </c>
      <c r="M114" s="44" t="inlineStr">
        <is>
          <t>user-2 SUPPORT + user-3 LEAD trong list</t>
        </is>
      </c>
      <c r="N114" s="44" t="inlineStr">
        <is>
          <t>HTTP 200 (delete) + HTTP 201 (add)</t>
        </is>
      </c>
      <c r="O114" s="44" t="inlineStr">
        <is>
          <t>2 rows: user-2 SUPPORT, user-3 LEAD</t>
        </is>
      </c>
      <c r="P114" s="41" t="inlineStr">
        <is>
          <t>High</t>
        </is>
      </c>
      <c r="Q114" s="44" t="inlineStr"/>
      <c r="R114" s="41" t="inlineStr"/>
      <c r="S114" s="41" t="inlineStr"/>
      <c r="T114" s="41" t="inlineStr"/>
      <c r="U114" s="41" t="inlineStr"/>
      <c r="V114" s="44" t="inlineStr"/>
      <c r="W114" s="41" t="inlineStr"/>
      <c r="X114" s="44" t="inlineStr">
        <is>
          <t>Role transition flow</t>
        </is>
      </c>
    </row>
    <row r="115" ht="80" customHeight="1">
      <c r="A115" s="41" t="inlineStr">
        <is>
          <t>TC-112</t>
        </is>
      </c>
      <c r="B115" s="50" t="inlineStr">
        <is>
          <t>STATE</t>
        </is>
      </c>
      <c r="C115" s="43" t="inlineStr">
        <is>
          <t>P0</t>
        </is>
      </c>
      <c r="D115" s="44" t="inlineStr">
        <is>
          <t>Petition Assignment</t>
        </is>
      </c>
      <c r="E115" s="44" t="inlineStr">
        <is>
          <t>STATE — PATCH /assign team-A (no leader) → PATCH /assign team-B (has leader) → assignedToId = leaderB</t>
        </is>
      </c>
      <c r="F115" s="41" t="inlineStr">
        <is>
          <t>REQ-PA-STATE</t>
        </is>
      </c>
      <c r="G115" s="41" t="inlineStr">
        <is>
          <t>State Transition / Team reassign</t>
        </is>
      </c>
      <c r="H115" s="41" t="inlineStr">
        <is>
          <t>Cao</t>
        </is>
      </c>
      <c r="I115" s="44" t="inlineStr">
        <is>
          <t>team-A không có leader, team-B có leaderB</t>
        </is>
      </c>
      <c r="J115" s="44" t="inlineStr">
        <is>
          <t>1. PATCH /assign {team-A, expectedUpdatedAt:T1}
2. PATCH /assign {team-B, expectedUpdatedAt:T2}</t>
        </is>
      </c>
      <c r="K115" s="44" t="inlineStr">
        <is>
          <t>petition.unassigned.D0, team.a_no_leader, team.b_with_leader</t>
        </is>
      </c>
      <c r="L115" s="44" t="inlineStr">
        <is>
          <t>petition.unassigned.D0</t>
        </is>
      </c>
      <c r="M115" s="44" t="inlineStr">
        <is>
          <t>-</t>
        </is>
      </c>
      <c r="N115" s="44" t="inlineStr">
        <is>
          <t>HTTP 200 (both), petition.assignedTeamId='team-B', assignedToId='leaderB'</t>
        </is>
      </c>
      <c r="O115" s="44" t="inlineStr">
        <is>
          <t>Petition updated twice</t>
        </is>
      </c>
      <c r="P115" s="41" t="inlineStr">
        <is>
          <t>High</t>
        </is>
      </c>
      <c r="Q115" s="44" t="inlineStr"/>
      <c r="R115" s="41" t="inlineStr"/>
      <c r="S115" s="41" t="inlineStr"/>
      <c r="T115" s="41" t="inlineStr"/>
      <c r="U115" s="41" t="inlineStr"/>
      <c r="V115" s="44" t="inlineStr"/>
      <c r="W115" s="41" t="inlineStr"/>
      <c r="X115" s="44" t="inlineStr">
        <is>
          <t>Re-assign flow</t>
        </is>
      </c>
    </row>
    <row r="116" ht="80" customHeight="1">
      <c r="A116" s="41" t="inlineStr">
        <is>
          <t>TC-113</t>
        </is>
      </c>
      <c r="B116" s="50" t="inlineStr">
        <is>
          <t>STATE</t>
        </is>
      </c>
      <c r="C116" s="45" t="inlineStr">
        <is>
          <t>P1</t>
        </is>
      </c>
      <c r="D116" s="44" t="inlineStr">
        <is>
          <t>Petition Assignment</t>
        </is>
      </c>
      <c r="E116" s="44" t="inlineStr">
        <is>
          <t>STATE — Xóa petition → cascade DELETE assignments</t>
        </is>
      </c>
      <c r="F116" s="41" t="inlineStr">
        <is>
          <t>REQ-PA-STATE</t>
        </is>
      </c>
      <c r="G116" s="41" t="inlineStr">
        <is>
          <t>State Transition / Cascade</t>
        </is>
      </c>
      <c r="H116" s="41" t="inlineStr">
        <is>
          <t>Cao</t>
        </is>
      </c>
      <c r="I116" s="44" t="inlineStr">
        <is>
          <t>Petition có 3 assignments</t>
        </is>
      </c>
      <c r="J116" s="44" t="inlineStr">
        <is>
          <t>DELETE petition (soft-delete), sau đó xem petition_assignments</t>
        </is>
      </c>
      <c r="K116" s="44" t="inlineStr">
        <is>
          <t>petition.with_3_assignments.D7</t>
        </is>
      </c>
      <c r="L116" s="44" t="inlineStr">
        <is>
          <t>petition.with_3_assignments.D7</t>
        </is>
      </c>
      <c r="M116" s="44" t="inlineStr">
        <is>
          <t>-</t>
        </is>
      </c>
      <c r="N116" s="44" t="inlineStr">
        <is>
          <t>Sau soft-delete: GET /assignments → 404 (petition không tồn tại). Cascade delete không xảy ra với soft-delete</t>
        </is>
      </c>
      <c r="O116" s="44" t="inlineStr">
        <is>
          <t>DB: petition_assignments rows vẫn còn (chỉ petition.deletedAt set)</t>
        </is>
      </c>
      <c r="P116" s="41" t="inlineStr">
        <is>
          <t>Medium</t>
        </is>
      </c>
      <c r="Q116" s="44" t="inlineStr"/>
      <c r="R116" s="41" t="inlineStr"/>
      <c r="S116" s="41" t="inlineStr"/>
      <c r="T116" s="41" t="inlineStr"/>
      <c r="U116" s="41" t="inlineStr"/>
      <c r="V116" s="44" t="inlineStr"/>
      <c r="W116" s="41" t="inlineStr"/>
      <c r="X116" s="44" t="inlineStr">
        <is>
          <t>Soft delete ≠ hard delete — cascade chỉ xảy ra với hard delete</t>
        </is>
      </c>
    </row>
    <row r="117" ht="80" customHeight="1">
      <c r="A117" s="41" t="inlineStr">
        <is>
          <t>TC-114</t>
        </is>
      </c>
      <c r="B117" s="50" t="inlineStr">
        <is>
          <t>STATE</t>
        </is>
      </c>
      <c r="C117" s="45" t="inlineStr">
        <is>
          <t>P1</t>
        </is>
      </c>
      <c r="D117" s="44" t="inlineStr">
        <is>
          <t>Petition Assignment</t>
        </is>
      </c>
      <c r="E117" s="44" t="inlineStr">
        <is>
          <t>STATE — Xóa user → cascade DELETE assignment của user đó</t>
        </is>
      </c>
      <c r="F117" s="41" t="inlineStr">
        <is>
          <t>REQ-PA-STATE</t>
        </is>
      </c>
      <c r="G117" s="41" t="inlineStr">
        <is>
          <t>State Transition / Cascade</t>
        </is>
      </c>
      <c r="H117" s="41" t="inlineStr">
        <is>
          <t>TB</t>
        </is>
      </c>
      <c r="I117" s="44" t="inlineStr">
        <is>
          <t>user-1 có 2 assignments (khác petition)</t>
        </is>
      </c>
      <c r="J117" s="44" t="inlineStr">
        <is>
          <t>Hard delete user-1</t>
        </is>
      </c>
      <c r="K117" s="44" t="inlineStr">
        <is>
          <t>petition.with_user1_assignment.D7</t>
        </is>
      </c>
      <c r="L117" s="44" t="inlineStr">
        <is>
          <t>petition.with_user1_assignment.D7</t>
        </is>
      </c>
      <c r="M117" s="44" t="inlineStr">
        <is>
          <t>-</t>
        </is>
      </c>
      <c r="N117" s="44" t="inlineStr">
        <is>
          <t>GET /assignments sau → không còn user-1 (cascade đã xóa)</t>
        </is>
      </c>
      <c r="O117" s="44" t="inlineStr">
        <is>
          <t>petition_assignments: rows có userId=user-1 bị xóa (onDelete: Cascade)</t>
        </is>
      </c>
      <c r="P117" s="41" t="inlineStr">
        <is>
          <t>High</t>
        </is>
      </c>
      <c r="Q117" s="44" t="inlineStr"/>
      <c r="R117" s="41" t="inlineStr"/>
      <c r="S117" s="41" t="inlineStr"/>
      <c r="T117" s="41" t="inlineStr"/>
      <c r="U117" s="41" t="inlineStr"/>
      <c r="V117" s="44" t="inlineStr"/>
      <c r="W117" s="41" t="inlineStr"/>
      <c r="X117" s="44" t="inlineStr">
        <is>
          <t>PetitionAssignment.user onDelete: Cascade</t>
        </is>
      </c>
    </row>
    <row r="118" ht="80" customHeight="1">
      <c r="A118" s="41" t="inlineStr">
        <is>
          <t>TC-115</t>
        </is>
      </c>
      <c r="B118" s="50" t="inlineStr">
        <is>
          <t>STATE</t>
        </is>
      </c>
      <c r="C118" s="45" t="inlineStr">
        <is>
          <t>P1</t>
        </is>
      </c>
      <c r="D118" s="44" t="inlineStr">
        <is>
          <t>Petition Assignment</t>
        </is>
      </c>
      <c r="E118" s="44" t="inlineStr">
        <is>
          <t>STATE — PATCH /assign khi petition chưa có team → set team và auto-assign leader</t>
        </is>
      </c>
      <c r="F118" s="41" t="inlineStr">
        <is>
          <t>REQ-PA-STATE</t>
        </is>
      </c>
      <c r="G118" s="41" t="inlineStr">
        <is>
          <t>State Transition / Initial assign</t>
        </is>
      </c>
      <c r="H118" s="41" t="inlineStr">
        <is>
          <t>TB</t>
        </is>
      </c>
      <c r="I118" s="44" t="inlineStr">
        <is>
          <t>Petition chưa có assignedTeamId (null)</t>
        </is>
      </c>
      <c r="J118" s="44" t="inlineStr">
        <is>
          <t>PATCH /assign {assignedTeamId:'team-A', expectedUpdatedAt}</t>
        </is>
      </c>
      <c r="K118" s="44" t="inlineStr">
        <is>
          <t>petition.unassigned.D0, team.a_with_leader</t>
        </is>
      </c>
      <c r="L118" s="44" t="inlineStr">
        <is>
          <t>petition.unassigned.D0</t>
        </is>
      </c>
      <c r="M118" s="44" t="inlineStr">
        <is>
          <t>-</t>
        </is>
      </c>
      <c r="N118" s="44" t="inlineStr">
        <is>
          <t>HTTP 200, assignedTeamId='team-A', assignedToId=leaderId</t>
        </is>
      </c>
      <c r="O118" s="44" t="inlineStr">
        <is>
          <t>Petition từ unassigned → assigned</t>
        </is>
      </c>
      <c r="P118" s="41" t="inlineStr">
        <is>
          <t>High</t>
        </is>
      </c>
      <c r="Q118" s="44" t="inlineStr"/>
      <c r="R118" s="41" t="inlineStr"/>
      <c r="S118" s="41" t="inlineStr"/>
      <c r="T118" s="41" t="inlineStr"/>
      <c r="U118" s="41" t="inlineStr"/>
      <c r="V118" s="44" t="inlineStr"/>
      <c r="W118" s="41" t="inlineStr"/>
      <c r="X118" s="44" t="inlineStr">
        <is>
          <t>Initial assignment state</t>
        </is>
      </c>
    </row>
    <row r="119" ht="80" customHeight="1">
      <c r="A119" s="41" t="inlineStr">
        <is>
          <t>TC-116</t>
        </is>
      </c>
      <c r="B119" s="50" t="inlineStr">
        <is>
          <t>STATE</t>
        </is>
      </c>
      <c r="C119" s="47" t="inlineStr">
        <is>
          <t>P2</t>
        </is>
      </c>
      <c r="D119" s="44" t="inlineStr">
        <is>
          <t>Petition Assignment</t>
        </is>
      </c>
      <c r="E119" s="44" t="inlineStr">
        <is>
          <t>STATE — Add 10 assignments tuần tự → list chính xác sau mỗi add</t>
        </is>
      </c>
      <c r="F119" s="41" t="inlineStr">
        <is>
          <t>REQ-PA-STATE</t>
        </is>
      </c>
      <c r="G119" s="41" t="inlineStr">
        <is>
          <t>State Transition / Sequential</t>
        </is>
      </c>
      <c r="H119" s="41" t="inlineStr">
        <is>
          <t>TB</t>
        </is>
      </c>
      <c r="I119" s="44" t="inlineStr">
        <is>
          <t>10 users sẵn sàng</t>
        </is>
      </c>
      <c r="J119" s="44" t="inlineStr">
        <is>
          <t>POST 10 lần với 10 userId khác nhau, GET sau mỗi lần</t>
        </is>
      </c>
      <c r="K119" s="44" t="inlineStr">
        <is>
          <t>petition.new.D0, 10 users</t>
        </is>
      </c>
      <c r="L119" s="44" t="inlineStr">
        <is>
          <t>petition.new.D0</t>
        </is>
      </c>
      <c r="M119" s="44" t="inlineStr">
        <is>
          <t>Count tăng dần từ 1→10</t>
        </is>
      </c>
      <c r="N119" s="44" t="inlineStr">
        <is>
          <t>GET /assignments sau mỗi POST → count tăng 1</t>
        </is>
      </c>
      <c r="O119" s="44" t="inlineStr">
        <is>
          <t>10 rows tổng</t>
        </is>
      </c>
      <c r="P119" s="41" t="inlineStr">
        <is>
          <t>Low</t>
        </is>
      </c>
      <c r="Q119" s="44" t="inlineStr"/>
      <c r="R119" s="41" t="inlineStr"/>
      <c r="S119" s="41" t="inlineStr"/>
      <c r="T119" s="41" t="inlineStr"/>
      <c r="U119" s="41" t="inlineStr"/>
      <c r="V119" s="44" t="inlineStr"/>
      <c r="W119" s="41" t="inlineStr"/>
      <c r="X119" s="44" t="inlineStr">
        <is>
          <t>Sequential state transitions</t>
        </is>
      </c>
    </row>
    <row r="120" ht="80" customHeight="1">
      <c r="A120" s="41" t="inlineStr">
        <is>
          <t>TC-117</t>
        </is>
      </c>
      <c r="B120" s="51" t="inlineStr">
        <is>
          <t>DECISION</t>
        </is>
      </c>
      <c r="C120" s="43" t="inlineStr">
        <is>
          <t>P0</t>
        </is>
      </c>
      <c r="D120" s="44" t="inlineStr">
        <is>
          <t>PATCH /assign</t>
        </is>
      </c>
      <c r="E120" s="44" t="inlineStr">
        <is>
          <t>DECISION — assignedToId provided + trong team → gán cụ thể người đó</t>
        </is>
      </c>
      <c r="F120" s="41" t="inlineStr">
        <is>
          <t>REQ-PA-DECISION</t>
        </is>
      </c>
      <c r="G120" s="41" t="inlineStr">
        <is>
          <t>Decision Table</t>
        </is>
      </c>
      <c r="H120" s="41" t="inlineStr">
        <is>
          <t>Cao</t>
        </is>
      </c>
      <c r="I120" s="44" t="inlineStr">
        <is>
          <t>user-1 trong team-A</t>
        </is>
      </c>
      <c r="J120" s="44" t="inlineStr">
        <is>
          <t>PATCH /assign {assignedTeamId:'team-A', assignedToId:'user-1', expectedUpdatedAt}</t>
        </is>
      </c>
      <c r="K120" s="44" t="inlineStr">
        <is>
          <t>petition.unassigned.D0</t>
        </is>
      </c>
      <c r="L120" s="44" t="inlineStr">
        <is>
          <t>petition.unassigned.D0</t>
        </is>
      </c>
      <c r="M120" s="44" t="inlineStr">
        <is>
          <t>-</t>
        </is>
      </c>
      <c r="N120" s="44" t="inlineStr">
        <is>
          <t>HTTP 200, assignedToId='user-1' (không phải leaderId)</t>
        </is>
      </c>
      <c r="O120" s="44" t="inlineStr">
        <is>
          <t>-</t>
        </is>
      </c>
      <c r="P120" s="41" t="inlineStr">
        <is>
          <t>Critical</t>
        </is>
      </c>
      <c r="Q120" s="44" t="inlineStr"/>
      <c r="R120" s="41" t="inlineStr"/>
      <c r="S120" s="41" t="inlineStr"/>
      <c r="T120" s="41" t="inlineStr"/>
      <c r="U120" s="41" t="inlineStr"/>
      <c r="V120" s="44" t="inlineStr"/>
      <c r="W120" s="41" t="inlineStr"/>
      <c r="X120" s="44" t="inlineStr">
        <is>
          <t>Decision: explicit override &gt; auto-leader</t>
        </is>
      </c>
    </row>
    <row r="121" ht="80" customHeight="1">
      <c r="A121" s="41" t="inlineStr">
        <is>
          <t>TC-118</t>
        </is>
      </c>
      <c r="B121" s="51" t="inlineStr">
        <is>
          <t>DECISION</t>
        </is>
      </c>
      <c r="C121" s="43" t="inlineStr">
        <is>
          <t>P0</t>
        </is>
      </c>
      <c r="D121" s="44" t="inlineStr">
        <is>
          <t>PATCH /assign</t>
        </is>
      </c>
      <c r="E121" s="44" t="inlineStr">
        <is>
          <t>DECISION — assignedToId provided + KHÔNG trong team → 400 (xử lý lỗi trước khi auto)</t>
        </is>
      </c>
      <c r="F121" s="41" t="inlineStr">
        <is>
          <t>REQ-PA-DECISION</t>
        </is>
      </c>
      <c r="G121" s="41" t="inlineStr">
        <is>
          <t>Decision Table</t>
        </is>
      </c>
      <c r="H121" s="41" t="inlineStr">
        <is>
          <t>Cao</t>
        </is>
      </c>
      <c r="I121" s="44" t="inlineStr">
        <is>
          <t>user-2 không trong team-A</t>
        </is>
      </c>
      <c r="J121" s="44" t="inlineStr">
        <is>
          <t>PATCH /assign {assignedTeamId:'team-A', assignedToId:'user-2', expectedUpdatedAt}</t>
        </is>
      </c>
      <c r="K121" s="44" t="inlineStr">
        <is>
          <t>petition.unassigned.D0</t>
        </is>
      </c>
      <c r="L121" s="44" t="inlineStr">
        <is>
          <t>petition.unassigned.D0</t>
        </is>
      </c>
      <c r="M121" s="44" t="inlineStr">
        <is>
          <t>-</t>
        </is>
      </c>
      <c r="N121" s="44" t="inlineStr">
        <is>
          <t>HTTP 400, 'Cán bộ xử lý không thuộc tổ được chỉ định'</t>
        </is>
      </c>
      <c r="O121" s="44" t="inlineStr">
        <is>
          <t>Không thay đổi</t>
        </is>
      </c>
      <c r="P121" s="41" t="inlineStr">
        <is>
          <t>Critical</t>
        </is>
      </c>
      <c r="Q121" s="44" t="inlineStr"/>
      <c r="R121" s="41" t="inlineStr"/>
      <c r="S121" s="41" t="inlineStr"/>
      <c r="T121" s="41" t="inlineStr"/>
      <c r="U121" s="41" t="inlineStr"/>
      <c r="V121" s="44" t="inlineStr"/>
      <c r="W121" s="41" t="inlineStr"/>
      <c r="X121" s="44" t="inlineStr">
        <is>
          <t>Validation trước auto-assign</t>
        </is>
      </c>
    </row>
    <row r="122" ht="80" customHeight="1">
      <c r="A122" s="41" t="inlineStr">
        <is>
          <t>TC-119</t>
        </is>
      </c>
      <c r="B122" s="51" t="inlineStr">
        <is>
          <t>DECISION</t>
        </is>
      </c>
      <c r="C122" s="43" t="inlineStr">
        <is>
          <t>P0</t>
        </is>
      </c>
      <c r="D122" s="44" t="inlineStr">
        <is>
          <t>PATCH /assign</t>
        </is>
      </c>
      <c r="E122" s="44" t="inlineStr">
        <is>
          <t>DECISION — assignedToId null + team có leader → auto-gán leader</t>
        </is>
      </c>
      <c r="F122" s="41" t="inlineStr">
        <is>
          <t>REQ-PA-DECISION</t>
        </is>
      </c>
      <c r="G122" s="41" t="inlineStr">
        <is>
          <t>Decision Table</t>
        </is>
      </c>
      <c r="H122" s="41" t="inlineStr">
        <is>
          <t>Cao</t>
        </is>
      </c>
      <c r="I122" s="44" t="inlineStr">
        <is>
          <t>team-A có leader</t>
        </is>
      </c>
      <c r="J122" s="44" t="inlineStr">
        <is>
          <t>PATCH /assign {assignedTeamId:'team-A', assignedToId:null, expectedUpdatedAt}</t>
        </is>
      </c>
      <c r="K122" s="44" t="inlineStr">
        <is>
          <t>petition.unassigned.D0, team.with_leader</t>
        </is>
      </c>
      <c r="L122" s="44" t="inlineStr">
        <is>
          <t>petition.unassigned.D0</t>
        </is>
      </c>
      <c r="M122" s="44" t="inlineStr">
        <is>
          <t>-</t>
        </is>
      </c>
      <c r="N122" s="44" t="inlineStr">
        <is>
          <t>HTTP 200, assignedToId = leaderId</t>
        </is>
      </c>
      <c r="O122" s="44" t="inlineStr">
        <is>
          <t>-</t>
        </is>
      </c>
      <c r="P122" s="41" t="inlineStr">
        <is>
          <t>Critical</t>
        </is>
      </c>
      <c r="Q122" s="44" t="inlineStr"/>
      <c r="R122" s="41" t="inlineStr"/>
      <c r="S122" s="41" t="inlineStr"/>
      <c r="T122" s="41" t="inlineStr"/>
      <c r="U122" s="41" t="inlineStr"/>
      <c r="V122" s="44" t="inlineStr"/>
      <c r="W122" s="41" t="inlineStr"/>
      <c r="X122" s="44" t="inlineStr">
        <is>
          <t>Auto-assign logic</t>
        </is>
      </c>
    </row>
    <row r="123" ht="80" customHeight="1">
      <c r="A123" s="41" t="inlineStr">
        <is>
          <t>TC-120</t>
        </is>
      </c>
      <c r="B123" s="51" t="inlineStr">
        <is>
          <t>DECISION</t>
        </is>
      </c>
      <c r="C123" s="43" t="inlineStr">
        <is>
          <t>P0</t>
        </is>
      </c>
      <c r="D123" s="44" t="inlineStr">
        <is>
          <t>PATCH /assign</t>
        </is>
      </c>
      <c r="E123" s="44" t="inlineStr">
        <is>
          <t>DECISION — assignedToId null + team không có leader → fail-open (null)</t>
        </is>
      </c>
      <c r="F123" s="41" t="inlineStr">
        <is>
          <t>REQ-PA-DECISION</t>
        </is>
      </c>
      <c r="G123" s="41" t="inlineStr">
        <is>
          <t>Decision Table</t>
        </is>
      </c>
      <c r="H123" s="41" t="inlineStr">
        <is>
          <t>Cao</t>
        </is>
      </c>
      <c r="I123" s="44" t="inlineStr">
        <is>
          <t>team-A không có isLeader=true</t>
        </is>
      </c>
      <c r="J123" s="44" t="inlineStr">
        <is>
          <t>PATCH /assign {assignedTeamId:'team-A', assignedToId:null, expectedUpdatedAt}</t>
        </is>
      </c>
      <c r="K123" s="44" t="inlineStr">
        <is>
          <t>petition.unassigned.D0, team.no_leader</t>
        </is>
      </c>
      <c r="L123" s="44" t="inlineStr">
        <is>
          <t>petition.unassigned.D0</t>
        </is>
      </c>
      <c r="M123" s="44" t="inlineStr">
        <is>
          <t>-</t>
        </is>
      </c>
      <c r="N123" s="44" t="inlineStr">
        <is>
          <t>HTTP 200, assignedToId = null (không lỗi)</t>
        </is>
      </c>
      <c r="O123" s="44" t="inlineStr">
        <is>
          <t>assignedToId = null</t>
        </is>
      </c>
      <c r="P123" s="41" t="inlineStr">
        <is>
          <t>Critical</t>
        </is>
      </c>
      <c r="Q123" s="44" t="inlineStr"/>
      <c r="R123" s="41" t="inlineStr"/>
      <c r="S123" s="41" t="inlineStr"/>
      <c r="T123" s="41" t="inlineStr"/>
      <c r="U123" s="41" t="inlineStr"/>
      <c r="V123" s="44" t="inlineStr"/>
      <c r="W123" s="41" t="inlineStr"/>
      <c r="X123" s="44" t="inlineStr">
        <is>
          <t>Fail-open behavior</t>
        </is>
      </c>
    </row>
    <row r="124" ht="80" customHeight="1">
      <c r="A124" s="41" t="inlineStr">
        <is>
          <t>TC-121</t>
        </is>
      </c>
      <c r="B124" s="51" t="inlineStr">
        <is>
          <t>DECISION</t>
        </is>
      </c>
      <c r="C124" s="45" t="inlineStr">
        <is>
          <t>P1</t>
        </is>
      </c>
      <c r="D124" s="44" t="inlineStr">
        <is>
          <t>PATCH /assign</t>
        </is>
      </c>
      <c r="E124" s="44" t="inlineStr">
        <is>
          <t>DECISION — assignedTeamId null, assignedToId null → clear toàn bộ</t>
        </is>
      </c>
      <c r="F124" s="41" t="inlineStr">
        <is>
          <t>REQ-PA-DECISION</t>
        </is>
      </c>
      <c r="G124" s="41" t="inlineStr">
        <is>
          <t>Decision Table</t>
        </is>
      </c>
      <c r="H124" s="41" t="inlineStr">
        <is>
          <t>TB</t>
        </is>
      </c>
      <c r="I124" s="44" t="inlineStr">
        <is>
          <t>Petition có assignedTeamId và assignedToId</t>
        </is>
      </c>
      <c r="J124" s="44" t="inlineStr">
        <is>
          <t>PATCH /assign {assignedTeamId:null, assignedToId:null, expectedUpdatedAt}</t>
        </is>
      </c>
      <c r="K124" s="44" t="inlineStr">
        <is>
          <t>petition.assigned_team.D7</t>
        </is>
      </c>
      <c r="L124" s="44" t="inlineStr">
        <is>
          <t>petition.assigned_team.D7</t>
        </is>
      </c>
      <c r="M124" s="44" t="inlineStr">
        <is>
          <t>-</t>
        </is>
      </c>
      <c r="N124" s="44" t="inlineStr">
        <is>
          <t>HTTP 200, cả 2 field = null</t>
        </is>
      </c>
      <c r="O124" s="44" t="inlineStr">
        <is>
          <t>Unassigned state</t>
        </is>
      </c>
      <c r="P124" s="41" t="inlineStr">
        <is>
          <t>Medium</t>
        </is>
      </c>
      <c r="Q124" s="44" t="inlineStr"/>
      <c r="R124" s="41" t="inlineStr"/>
      <c r="S124" s="41" t="inlineStr"/>
      <c r="T124" s="41" t="inlineStr"/>
      <c r="U124" s="41" t="inlineStr"/>
      <c r="V124" s="44" t="inlineStr"/>
      <c r="W124" s="41" t="inlineStr"/>
      <c r="X124" s="44" t="inlineStr">
        <is>
          <t>Clear assignment</t>
        </is>
      </c>
    </row>
    <row r="125" ht="80" customHeight="1">
      <c r="A125" s="41" t="inlineStr">
        <is>
          <t>TC-122</t>
        </is>
      </c>
      <c r="B125" s="51" t="inlineStr">
        <is>
          <t>DECISION</t>
        </is>
      </c>
      <c r="C125" s="45" t="inlineStr">
        <is>
          <t>P1</t>
        </is>
      </c>
      <c r="D125" s="44" t="inlineStr">
        <is>
          <t>PATCH /assign</t>
        </is>
      </c>
      <c r="E125" s="44" t="inlineStr">
        <is>
          <t>DECISION — team thay đổi, assignedToId từ team cũ → 400 (không thuộc team mới)</t>
        </is>
      </c>
      <c r="F125" s="41" t="inlineStr">
        <is>
          <t>REQ-PA-DECISION</t>
        </is>
      </c>
      <c r="G125" s="41" t="inlineStr">
        <is>
          <t>Decision Table</t>
        </is>
      </c>
      <c r="H125" s="41" t="inlineStr">
        <is>
          <t>Cao</t>
        </is>
      </c>
      <c r="I125" s="44" t="inlineStr">
        <is>
          <t>user-1 trong team-A, đang chuyển sang team-B</t>
        </is>
      </c>
      <c r="J125" s="44" t="inlineStr">
        <is>
          <t>PATCH /assign {assignedTeamId:'team-B', assignedToId:'user-1'}</t>
        </is>
      </c>
      <c r="K125" s="44" t="inlineStr">
        <is>
          <t>petition.assigned_to_team_a.D7</t>
        </is>
      </c>
      <c r="L125" s="44" t="inlineStr">
        <is>
          <t>petition.assigned_to_team_a.D7</t>
        </is>
      </c>
      <c r="M125" s="44" t="inlineStr">
        <is>
          <t>-</t>
        </is>
      </c>
      <c r="N125" s="44" t="inlineStr">
        <is>
          <t>HTTP 400</t>
        </is>
      </c>
      <c r="O125" s="44" t="inlineStr">
        <is>
          <t>Không thay đổi</t>
        </is>
      </c>
      <c r="P125" s="41" t="inlineStr">
        <is>
          <t>High</t>
        </is>
      </c>
      <c r="Q125" s="44" t="inlineStr"/>
      <c r="R125" s="41" t="inlineStr"/>
      <c r="S125" s="41" t="inlineStr"/>
      <c r="T125" s="41" t="inlineStr"/>
      <c r="U125" s="41" t="inlineStr"/>
      <c r="V125" s="44" t="inlineStr"/>
      <c r="W125" s="41" t="inlineStr"/>
      <c r="X125" s="44" t="inlineStr">
        <is>
          <t>Team change + old assignee — cross-check</t>
        </is>
      </c>
    </row>
    <row r="126" ht="80" customHeight="1">
      <c r="A126" s="41" t="inlineStr">
        <is>
          <t>TC-123</t>
        </is>
      </c>
      <c r="B126" s="52" t="inlineStr">
        <is>
          <t>SECURITY</t>
        </is>
      </c>
      <c r="C126" s="43" t="inlineStr">
        <is>
          <t>P0</t>
        </is>
      </c>
      <c r="D126" s="44" t="inlineStr">
        <is>
          <t>GET /assignments</t>
        </is>
      </c>
      <c r="E126" s="44" t="inlineStr">
        <is>
          <t>SECURITY — GET không auth → 401</t>
        </is>
      </c>
      <c r="F126" s="41" t="inlineStr">
        <is>
          <t>REQ-PA-SEC</t>
        </is>
      </c>
      <c r="G126" s="41" t="inlineStr">
        <is>
          <t>OWASP A07 / Auth</t>
        </is>
      </c>
      <c r="H126" s="41" t="inlineStr">
        <is>
          <t>Cao</t>
        </is>
      </c>
      <c r="I126" s="44" t="inlineStr">
        <is>
          <t>-</t>
        </is>
      </c>
      <c r="J126" s="44" t="inlineStr">
        <is>
          <t>GET /assignments không có Authorization header</t>
        </is>
      </c>
      <c r="K126" s="44" t="inlineStr">
        <is>
          <t>-</t>
        </is>
      </c>
      <c r="L126" s="44" t="inlineStr">
        <is>
          <t>petition.any.D7</t>
        </is>
      </c>
      <c r="M126" s="44" t="inlineStr">
        <is>
          <t>-</t>
        </is>
      </c>
      <c r="N126" s="44" t="inlineStr">
        <is>
          <t>HTTP 401</t>
        </is>
      </c>
      <c r="O126" s="44" t="inlineStr">
        <is>
          <t>-</t>
        </is>
      </c>
      <c r="P126" s="41" t="inlineStr">
        <is>
          <t>Critical</t>
        </is>
      </c>
      <c r="Q126" s="44" t="inlineStr"/>
      <c r="R126" s="41" t="inlineStr"/>
      <c r="S126" s="41" t="inlineStr"/>
      <c r="T126" s="41" t="inlineStr"/>
      <c r="U126" s="41" t="inlineStr"/>
      <c r="V126" s="44" t="inlineStr"/>
      <c r="W126" s="41" t="inlineStr"/>
      <c r="X126" s="44" t="inlineStr">
        <is>
          <t>A07:2021 Authentication Failures</t>
        </is>
      </c>
    </row>
    <row r="127" ht="80" customHeight="1">
      <c r="A127" s="41" t="inlineStr">
        <is>
          <t>TC-124</t>
        </is>
      </c>
      <c r="B127" s="52" t="inlineStr">
        <is>
          <t>SECURITY</t>
        </is>
      </c>
      <c r="C127" s="43" t="inlineStr">
        <is>
          <t>P0</t>
        </is>
      </c>
      <c r="D127" s="44" t="inlineStr">
        <is>
          <t>POST /assignments</t>
        </is>
      </c>
      <c r="E127" s="44" t="inlineStr">
        <is>
          <t>SECURITY — POST không auth → 401</t>
        </is>
      </c>
      <c r="F127" s="41" t="inlineStr">
        <is>
          <t>REQ-PA-SEC</t>
        </is>
      </c>
      <c r="G127" s="41" t="inlineStr">
        <is>
          <t>OWASP A07</t>
        </is>
      </c>
      <c r="H127" s="41" t="inlineStr">
        <is>
          <t>Cao</t>
        </is>
      </c>
      <c r="I127" s="44" t="inlineStr">
        <is>
          <t>-</t>
        </is>
      </c>
      <c r="J127" s="44" t="inlineStr">
        <is>
          <t>POST /assignments không JWT</t>
        </is>
      </c>
      <c r="K127" s="44" t="inlineStr">
        <is>
          <t>-</t>
        </is>
      </c>
      <c r="L127" s="44" t="inlineStr">
        <is>
          <t>petition.any.D7</t>
        </is>
      </c>
      <c r="M127" s="44" t="inlineStr">
        <is>
          <t>-</t>
        </is>
      </c>
      <c r="N127" s="44" t="inlineStr">
        <is>
          <t>HTTP 401</t>
        </is>
      </c>
      <c r="O127" s="44" t="inlineStr">
        <is>
          <t>Không tạo row</t>
        </is>
      </c>
      <c r="P127" s="41" t="inlineStr">
        <is>
          <t>Critical</t>
        </is>
      </c>
      <c r="Q127" s="44" t="inlineStr"/>
      <c r="R127" s="41" t="inlineStr"/>
      <c r="S127" s="41" t="inlineStr"/>
      <c r="T127" s="41" t="inlineStr"/>
      <c r="U127" s="41" t="inlineStr"/>
      <c r="V127" s="44" t="inlineStr"/>
      <c r="W127" s="41" t="inlineStr"/>
      <c r="X127" s="44" t="inlineStr">
        <is>
          <t>A07:2021</t>
        </is>
      </c>
    </row>
    <row r="128" ht="80" customHeight="1">
      <c r="A128" s="41" t="inlineStr">
        <is>
          <t>TC-125</t>
        </is>
      </c>
      <c r="B128" s="52" t="inlineStr">
        <is>
          <t>SECURITY</t>
        </is>
      </c>
      <c r="C128" s="43" t="inlineStr">
        <is>
          <t>P0</t>
        </is>
      </c>
      <c r="D128" s="44" t="inlineStr">
        <is>
          <t>DELETE /assignments</t>
        </is>
      </c>
      <c r="E128" s="44" t="inlineStr">
        <is>
          <t>SECURITY — DELETE không auth → 401</t>
        </is>
      </c>
      <c r="F128" s="41" t="inlineStr">
        <is>
          <t>REQ-PA-SEC</t>
        </is>
      </c>
      <c r="G128" s="41" t="inlineStr">
        <is>
          <t>OWASP A07</t>
        </is>
      </c>
      <c r="H128" s="41" t="inlineStr">
        <is>
          <t>Cao</t>
        </is>
      </c>
      <c r="I128" s="44" t="inlineStr">
        <is>
          <t>-</t>
        </is>
      </c>
      <c r="J128" s="44" t="inlineStr">
        <is>
          <t>DELETE /assignments/:userId không JWT</t>
        </is>
      </c>
      <c r="K128" s="44" t="inlineStr">
        <is>
          <t>-</t>
        </is>
      </c>
      <c r="L128" s="44" t="inlineStr">
        <is>
          <t>petition.with_1_assignment.D7</t>
        </is>
      </c>
      <c r="M128" s="44" t="inlineStr">
        <is>
          <t>-</t>
        </is>
      </c>
      <c r="N128" s="44" t="inlineStr">
        <is>
          <t>HTTP 401</t>
        </is>
      </c>
      <c r="O128" s="44" t="inlineStr">
        <is>
          <t>Không xóa</t>
        </is>
      </c>
      <c r="P128" s="41" t="inlineStr">
        <is>
          <t>Critical</t>
        </is>
      </c>
      <c r="Q128" s="44" t="inlineStr"/>
      <c r="R128" s="41" t="inlineStr"/>
      <c r="S128" s="41" t="inlineStr"/>
      <c r="T128" s="41" t="inlineStr"/>
      <c r="U128" s="41" t="inlineStr"/>
      <c r="V128" s="44" t="inlineStr"/>
      <c r="W128" s="41" t="inlineStr"/>
      <c r="X128" s="44" t="inlineStr">
        <is>
          <t>A07:2021</t>
        </is>
      </c>
    </row>
    <row r="129" ht="80" customHeight="1">
      <c r="A129" s="41" t="inlineStr">
        <is>
          <t>TC-126</t>
        </is>
      </c>
      <c r="B129" s="52" t="inlineStr">
        <is>
          <t>SECURITY</t>
        </is>
      </c>
      <c r="C129" s="43" t="inlineStr">
        <is>
          <t>P0</t>
        </is>
      </c>
      <c r="D129" s="44" t="inlineStr">
        <is>
          <t>PATCH /assign</t>
        </is>
      </c>
      <c r="E129" s="44" t="inlineStr">
        <is>
          <t>SECURITY — PATCH /assign không auth → 401</t>
        </is>
      </c>
      <c r="F129" s="41" t="inlineStr">
        <is>
          <t>REQ-PA-SEC</t>
        </is>
      </c>
      <c r="G129" s="41" t="inlineStr">
        <is>
          <t>OWASP A07</t>
        </is>
      </c>
      <c r="H129" s="41" t="inlineStr">
        <is>
          <t>Cao</t>
        </is>
      </c>
      <c r="I129" s="44" t="inlineStr">
        <is>
          <t>-</t>
        </is>
      </c>
      <c r="J129" s="44" t="inlineStr">
        <is>
          <t>PATCH /assign không JWT</t>
        </is>
      </c>
      <c r="K129" s="44" t="inlineStr">
        <is>
          <t>-</t>
        </is>
      </c>
      <c r="L129" s="44" t="inlineStr">
        <is>
          <t>petition.unassigned.D0</t>
        </is>
      </c>
      <c r="M129" s="44" t="inlineStr">
        <is>
          <t>-</t>
        </is>
      </c>
      <c r="N129" s="44" t="inlineStr">
        <is>
          <t>HTTP 401</t>
        </is>
      </c>
      <c r="O129" s="44" t="inlineStr">
        <is>
          <t>Petition không đổi</t>
        </is>
      </c>
      <c r="P129" s="41" t="inlineStr">
        <is>
          <t>Critical</t>
        </is>
      </c>
      <c r="Q129" s="44" t="inlineStr"/>
      <c r="R129" s="41" t="inlineStr"/>
      <c r="S129" s="41" t="inlineStr"/>
      <c r="T129" s="41" t="inlineStr"/>
      <c r="U129" s="41" t="inlineStr"/>
      <c r="V129" s="44" t="inlineStr"/>
      <c r="W129" s="41" t="inlineStr"/>
      <c r="X129" s="44" t="inlineStr">
        <is>
          <t>A07:2021</t>
        </is>
      </c>
    </row>
    <row r="130" ht="80" customHeight="1">
      <c r="A130" s="41" t="inlineStr">
        <is>
          <t>TC-127</t>
        </is>
      </c>
      <c r="B130" s="52" t="inlineStr">
        <is>
          <t>SECURITY</t>
        </is>
      </c>
      <c r="C130" s="43" t="inlineStr">
        <is>
          <t>P0</t>
        </is>
      </c>
      <c r="D130" s="44" t="inlineStr">
        <is>
          <t>POST /assignments</t>
        </is>
      </c>
      <c r="E130" s="44" t="inlineStr">
        <is>
          <t>SECURITY — JWT tampered (signature invalid) → 401</t>
        </is>
      </c>
      <c r="F130" s="41" t="inlineStr">
        <is>
          <t>REQ-PA-SEC</t>
        </is>
      </c>
      <c r="G130" s="41" t="inlineStr">
        <is>
          <t>OWASP A07 / Token tamper</t>
        </is>
      </c>
      <c r="H130" s="41" t="inlineStr">
        <is>
          <t>Cao</t>
        </is>
      </c>
      <c r="I130" s="44" t="inlineStr">
        <is>
          <t>-</t>
        </is>
      </c>
      <c r="J130" s="44" t="inlineStr">
        <is>
          <t>POST /assignments với JWT payload hợp lệ nhưng signature sai</t>
        </is>
      </c>
      <c r="K130" s="44" t="inlineStr">
        <is>
          <t>-</t>
        </is>
      </c>
      <c r="L130" s="44" t="inlineStr">
        <is>
          <t>petition.any.D7</t>
        </is>
      </c>
      <c r="M130" s="44" t="inlineStr">
        <is>
          <t>-</t>
        </is>
      </c>
      <c r="N130" s="44" t="inlineStr">
        <is>
          <t>HTTP 401, invalid signature</t>
        </is>
      </c>
      <c r="O130" s="44" t="inlineStr">
        <is>
          <t>-</t>
        </is>
      </c>
      <c r="P130" s="41" t="inlineStr">
        <is>
          <t>Critical</t>
        </is>
      </c>
      <c r="Q130" s="44" t="inlineStr"/>
      <c r="R130" s="41" t="inlineStr"/>
      <c r="S130" s="41" t="inlineStr"/>
      <c r="T130" s="41" t="inlineStr"/>
      <c r="U130" s="41" t="inlineStr"/>
      <c r="V130" s="44" t="inlineStr"/>
      <c r="W130" s="41" t="inlineStr"/>
      <c r="X130" s="44" t="inlineStr">
        <is>
          <t>Verify JWT signature</t>
        </is>
      </c>
    </row>
    <row r="131" ht="80" customHeight="1">
      <c r="A131" s="41" t="inlineStr">
        <is>
          <t>TC-128</t>
        </is>
      </c>
      <c r="B131" s="52" t="inlineStr">
        <is>
          <t>SECURITY</t>
        </is>
      </c>
      <c r="C131" s="43" t="inlineStr">
        <is>
          <t>P0</t>
        </is>
      </c>
      <c r="D131" s="44" t="inlineStr">
        <is>
          <t>POST /assignments</t>
        </is>
      </c>
      <c r="E131" s="44" t="inlineStr">
        <is>
          <t>SECURITY — JWT với algorithm 'none' → 401</t>
        </is>
      </c>
      <c r="F131" s="41" t="inlineStr">
        <is>
          <t>REQ-PA-SEC</t>
        </is>
      </c>
      <c r="G131" s="41" t="inlineStr">
        <is>
          <t>OWASP A07 / Alg confusion</t>
        </is>
      </c>
      <c r="H131" s="41" t="inlineStr">
        <is>
          <t>Cao</t>
        </is>
      </c>
      <c r="I131" s="44" t="inlineStr">
        <is>
          <t>-</t>
        </is>
      </c>
      <c r="J131" s="44" t="inlineStr">
        <is>
          <t>POST với JWT alg:none, không sign</t>
        </is>
      </c>
      <c r="K131" s="44" t="inlineStr">
        <is>
          <t>-</t>
        </is>
      </c>
      <c r="L131" s="44" t="inlineStr">
        <is>
          <t>petition.any.D7</t>
        </is>
      </c>
      <c r="M131" s="44" t="inlineStr">
        <is>
          <t>-</t>
        </is>
      </c>
      <c r="N131" s="44" t="inlineStr">
        <is>
          <t>HTTP 401</t>
        </is>
      </c>
      <c r="O131" s="44" t="inlineStr">
        <is>
          <t>-</t>
        </is>
      </c>
      <c r="P131" s="41" t="inlineStr">
        <is>
          <t>Critical</t>
        </is>
      </c>
      <c r="Q131" s="44" t="inlineStr"/>
      <c r="R131" s="41" t="inlineStr"/>
      <c r="S131" s="41" t="inlineStr"/>
      <c r="T131" s="41" t="inlineStr"/>
      <c r="U131" s="41" t="inlineStr"/>
      <c r="V131" s="44" t="inlineStr"/>
      <c r="W131" s="41" t="inlineStr"/>
      <c r="X131" s="44" t="inlineStr">
        <is>
          <t>Algorithm confusion attack — A07:2021</t>
        </is>
      </c>
    </row>
    <row r="132" ht="80" customHeight="1">
      <c r="A132" s="41" t="inlineStr">
        <is>
          <t>TC-129</t>
        </is>
      </c>
      <c r="B132" s="52" t="inlineStr">
        <is>
          <t>SECURITY</t>
        </is>
      </c>
      <c r="C132" s="43" t="inlineStr">
        <is>
          <t>P0</t>
        </is>
      </c>
      <c r="D132" s="44" t="inlineStr">
        <is>
          <t>POST /assignments</t>
        </is>
      </c>
      <c r="E132" s="44" t="inlineStr">
        <is>
          <t>SECURITY — POST với viewer role (không có edit Petition) → 403</t>
        </is>
      </c>
      <c r="F132" s="41" t="inlineStr">
        <is>
          <t>REQ-PA-SEC</t>
        </is>
      </c>
      <c r="G132" s="41" t="inlineStr">
        <is>
          <t>OWASP A01 / Broken Access</t>
        </is>
      </c>
      <c r="H132" s="41" t="inlineStr">
        <is>
          <t>Cao</t>
        </is>
      </c>
      <c r="I132" s="44" t="inlineStr">
        <is>
          <t>Viewer không có edit Petition permission</t>
        </is>
      </c>
      <c r="J132" s="44" t="inlineStr">
        <is>
          <t>POST /assignments với JWT viewer</t>
        </is>
      </c>
      <c r="K132" s="44" t="inlineStr">
        <is>
          <t>account.viewer.primary, petition.any.D7</t>
        </is>
      </c>
      <c r="L132" s="44" t="inlineStr">
        <is>
          <t>petition.any.D7</t>
        </is>
      </c>
      <c r="M132" s="44" t="inlineStr">
        <is>
          <t>-</t>
        </is>
      </c>
      <c r="N132" s="44" t="inlineStr">
        <is>
          <t>HTTP 403</t>
        </is>
      </c>
      <c r="O132" s="44" t="inlineStr">
        <is>
          <t>-</t>
        </is>
      </c>
      <c r="P132" s="41" t="inlineStr">
        <is>
          <t>Critical</t>
        </is>
      </c>
      <c r="Q132" s="44" t="inlineStr"/>
      <c r="R132" s="41" t="inlineStr"/>
      <c r="S132" s="41" t="inlineStr"/>
      <c r="T132" s="41" t="inlineStr"/>
      <c r="U132" s="41" t="inlineStr"/>
      <c r="V132" s="44" t="inlineStr"/>
      <c r="W132" s="41" t="inlineStr"/>
      <c r="X132" s="44" t="inlineStr">
        <is>
          <t>A01:2021 Broken Access Control</t>
        </is>
      </c>
    </row>
    <row r="133" ht="80" customHeight="1">
      <c r="A133" s="41" t="inlineStr">
        <is>
          <t>TC-130</t>
        </is>
      </c>
      <c r="B133" s="52" t="inlineStr">
        <is>
          <t>SECURITY</t>
        </is>
      </c>
      <c r="C133" s="43" t="inlineStr">
        <is>
          <t>P0</t>
        </is>
      </c>
      <c r="D133" s="44" t="inlineStr">
        <is>
          <t>PATCH /assign</t>
        </is>
      </c>
      <c r="E133" s="44" t="inlineStr">
        <is>
          <t>SECURITY — PATCH /assign với non-dispatcher role → 403</t>
        </is>
      </c>
      <c r="F133" s="41" t="inlineStr">
        <is>
          <t>REQ-PA-SEC</t>
        </is>
      </c>
      <c r="G133" s="41" t="inlineStr">
        <is>
          <t>OWASP A01</t>
        </is>
      </c>
      <c r="H133" s="41" t="inlineStr">
        <is>
          <t>Cao</t>
        </is>
      </c>
      <c r="I133" s="44" t="inlineStr">
        <is>
          <t>Officer không có DispatchGuard permission</t>
        </is>
      </c>
      <c r="J133" s="44" t="inlineStr">
        <is>
          <t>PATCH /assign với JWT officer</t>
        </is>
      </c>
      <c r="K133" s="44" t="inlineStr">
        <is>
          <t>account.officer.primary, petition.unassigned.D0</t>
        </is>
      </c>
      <c r="L133" s="44" t="inlineStr">
        <is>
          <t>petition.unassigned.D0</t>
        </is>
      </c>
      <c r="M133" s="44" t="inlineStr">
        <is>
          <t>-</t>
        </is>
      </c>
      <c r="N133" s="44" t="inlineStr">
        <is>
          <t>HTTP 403</t>
        </is>
      </c>
      <c r="O133" s="44" t="inlineStr">
        <is>
          <t>-</t>
        </is>
      </c>
      <c r="P133" s="41" t="inlineStr">
        <is>
          <t>Critical</t>
        </is>
      </c>
      <c r="Q133" s="44" t="inlineStr"/>
      <c r="R133" s="41" t="inlineStr"/>
      <c r="S133" s="41" t="inlineStr"/>
      <c r="T133" s="41" t="inlineStr"/>
      <c r="U133" s="41" t="inlineStr"/>
      <c r="V133" s="44" t="inlineStr"/>
      <c r="W133" s="41" t="inlineStr"/>
      <c r="X133" s="44" t="inlineStr">
        <is>
          <t>DispatchGuard — RBAC enforcement</t>
        </is>
      </c>
    </row>
    <row r="134" ht="80" customHeight="1">
      <c r="A134" s="41" t="inlineStr">
        <is>
          <t>TC-131</t>
        </is>
      </c>
      <c r="B134" s="52" t="inlineStr">
        <is>
          <t>SECURITY</t>
        </is>
      </c>
      <c r="C134" s="43" t="inlineStr">
        <is>
          <t>P0</t>
        </is>
      </c>
      <c r="D134" s="44" t="inlineStr">
        <is>
          <t>POST /assignments</t>
        </is>
      </c>
      <c r="E134" s="44" t="inlineStr">
        <is>
          <t>SECURITY — Mass assignment: POST body với assignedById → ignored (actorId từ JWT)</t>
        </is>
      </c>
      <c r="F134" s="41" t="inlineStr">
        <is>
          <t>REQ-PA-SEC</t>
        </is>
      </c>
      <c r="G134" s="41" t="inlineStr">
        <is>
          <t>OWASP A04 / Mass assignment</t>
        </is>
      </c>
      <c r="H134" s="41" t="inlineStr">
        <is>
          <t>Cao</t>
        </is>
      </c>
      <c r="I134" s="44" t="inlineStr">
        <is>
          <t>-</t>
        </is>
      </c>
      <c r="J134" s="44" t="inlineStr">
        <is>
          <t>POST {userId:'u1', role:'LEAD', assignedById:'attacker', petitionId:'other'}</t>
        </is>
      </c>
      <c r="K134" s="44" t="inlineStr">
        <is>
          <t>petition.new.D0</t>
        </is>
      </c>
      <c r="L134" s="44" t="inlineStr">
        <is>
          <t>petition.new.D0</t>
        </is>
      </c>
      <c r="M134" s="44" t="inlineStr">
        <is>
          <t>-</t>
        </is>
      </c>
      <c r="N134" s="44" t="inlineStr">
        <is>
          <t>HTTP 201, assignedById = JWT user ID (không phải 'attacker')</t>
        </is>
      </c>
      <c r="O134" s="44" t="inlineStr">
        <is>
          <t>DB: assignedById = logged-in user</t>
        </is>
      </c>
      <c r="P134" s="41" t="inlineStr">
        <is>
          <t>Critical</t>
        </is>
      </c>
      <c r="Q134" s="44" t="inlineStr"/>
      <c r="R134" s="41" t="inlineStr"/>
      <c r="S134" s="41" t="inlineStr"/>
      <c r="T134" s="41" t="inlineStr"/>
      <c r="U134" s="41" t="inlineStr"/>
      <c r="V134" s="44" t="inlineStr"/>
      <c r="W134" s="41" t="inlineStr"/>
      <c r="X134" s="44" t="inlineStr">
        <is>
          <t>A04:2021 Insecure Design — actorId từ @CurrentUser()</t>
        </is>
      </c>
    </row>
    <row r="135" ht="80" customHeight="1">
      <c r="A135" s="41" t="inlineStr">
        <is>
          <t>TC-132</t>
        </is>
      </c>
      <c r="B135" s="52" t="inlineStr">
        <is>
          <t>SECURITY</t>
        </is>
      </c>
      <c r="C135" s="43" t="inlineStr">
        <is>
          <t>P0</t>
        </is>
      </c>
      <c r="D135" s="44" t="inlineStr">
        <is>
          <t>GET /assignments</t>
        </is>
      </c>
      <c r="E135" s="44" t="inlineStr">
        <is>
          <t>SECURITY — Response không có sensitive fields (password hash, salt, twoFaSecret)</t>
        </is>
      </c>
      <c r="F135" s="41" t="inlineStr">
        <is>
          <t>REQ-PA-SEC</t>
        </is>
      </c>
      <c r="G135" s="41" t="inlineStr">
        <is>
          <t>OWASP A02 / Data exposure</t>
        </is>
      </c>
      <c r="H135" s="41" t="inlineStr">
        <is>
          <t>Cao</t>
        </is>
      </c>
      <c r="I135" s="44" t="inlineStr">
        <is>
          <t>-</t>
        </is>
      </c>
      <c r="J135" s="44" t="inlineStr">
        <is>
          <t>GET /assignments, inspect response.user và response.assignedBy</t>
        </is>
      </c>
      <c r="K135" s="44" t="inlineStr">
        <is>
          <t>petition.with_1_assignment.D7</t>
        </is>
      </c>
      <c r="L135" s="44" t="inlineStr">
        <is>
          <t>petition.with_1_assignment.D7</t>
        </is>
      </c>
      <c r="M135" s="44" t="inlineStr">
        <is>
          <t>-</t>
        </is>
      </c>
      <c r="N135" s="44" t="inlineStr">
        <is>
          <t>HTTP 200, response.user chỉ có {id, firstName, lastName, email, username}. Không có: password, passwordHash, salt, refreshToken</t>
        </is>
      </c>
      <c r="O135" s="44" t="inlineStr">
        <is>
          <t>-</t>
        </is>
      </c>
      <c r="P135" s="41" t="inlineStr">
        <is>
          <t>Critical</t>
        </is>
      </c>
      <c r="Q135" s="44" t="inlineStr"/>
      <c r="R135" s="41" t="inlineStr"/>
      <c r="S135" s="41" t="inlineStr"/>
      <c r="T135" s="41" t="inlineStr"/>
      <c r="U135" s="41" t="inlineStr"/>
      <c r="V135" s="44" t="inlineStr"/>
      <c r="W135" s="41" t="inlineStr"/>
      <c r="X135" s="44" t="inlineStr">
        <is>
          <t>A02:2021 Cryptographic/Data Failures</t>
        </is>
      </c>
    </row>
    <row r="136" ht="80" customHeight="1">
      <c r="A136" s="41" t="inlineStr">
        <is>
          <t>TC-133</t>
        </is>
      </c>
      <c r="B136" s="52" t="inlineStr">
        <is>
          <t>SECURITY</t>
        </is>
      </c>
      <c r="C136" s="43" t="inlineStr">
        <is>
          <t>P0</t>
        </is>
      </c>
      <c r="D136" s="44" t="inlineStr">
        <is>
          <t>POST /assignments</t>
        </is>
      </c>
      <c r="E136" s="44" t="inlineStr">
        <is>
          <t>SECURITY — SQL injection trong userId path → không execute</t>
        </is>
      </c>
      <c r="F136" s="41" t="inlineStr">
        <is>
          <t>REQ-PA-SEC</t>
        </is>
      </c>
      <c r="G136" s="41" t="inlineStr">
        <is>
          <t>OWASP A03 / SQLi</t>
        </is>
      </c>
      <c r="H136" s="41" t="inlineStr">
        <is>
          <t>Cao</t>
        </is>
      </c>
      <c r="I136" s="44" t="inlineStr">
        <is>
          <t>-</t>
        </is>
      </c>
      <c r="J136" s="44" t="inlineStr">
        <is>
          <t>POST body {userId:"1'; DROP TABLE petition_assignments; --"}</t>
        </is>
      </c>
      <c r="K136" s="44" t="inlineStr">
        <is>
          <t>petition.new.D0</t>
        </is>
      </c>
      <c r="L136" s="44" t="inlineStr">
        <is>
          <t>petition.new.D0</t>
        </is>
      </c>
      <c r="M136" s="44" t="inlineStr">
        <is>
          <t>-</t>
        </is>
      </c>
      <c r="N136" s="44" t="inlineStr">
        <is>
          <t>HTTP 404 hoặc 400 — không execute SQL</t>
        </is>
      </c>
      <c r="O136" s="44" t="inlineStr">
        <is>
          <t>petition_assignments table vẫn intact</t>
        </is>
      </c>
      <c r="P136" s="41" t="inlineStr">
        <is>
          <t>Critical</t>
        </is>
      </c>
      <c r="Q136" s="44" t="inlineStr"/>
      <c r="R136" s="41" t="inlineStr"/>
      <c r="S136" s="41" t="inlineStr"/>
      <c r="T136" s="41" t="inlineStr"/>
      <c r="U136" s="41" t="inlineStr"/>
      <c r="V136" s="44" t="inlineStr"/>
      <c r="W136" s="41" t="inlineStr"/>
      <c r="X136" s="44" t="inlineStr">
        <is>
          <t>A03:2021 Injection — Prisma parameterized</t>
        </is>
      </c>
    </row>
    <row r="137" ht="80" customHeight="1">
      <c r="A137" s="41" t="inlineStr">
        <is>
          <t>TC-134</t>
        </is>
      </c>
      <c r="B137" s="52" t="inlineStr">
        <is>
          <t>SECURITY</t>
        </is>
      </c>
      <c r="C137" s="45" t="inlineStr">
        <is>
          <t>P1</t>
        </is>
      </c>
      <c r="D137" s="44" t="inlineStr">
        <is>
          <t>GET /assignments</t>
        </is>
      </c>
      <c r="E137" s="44" t="inlineStr">
        <is>
          <t>SECURITY — Path traversal trong petitionId → not found</t>
        </is>
      </c>
      <c r="F137" s="41" t="inlineStr">
        <is>
          <t>REQ-PA-SEC</t>
        </is>
      </c>
      <c r="G137" s="41" t="inlineStr">
        <is>
          <t>OWASP A01 / Path traversal</t>
        </is>
      </c>
      <c r="H137" s="41" t="inlineStr">
        <is>
          <t>Cao</t>
        </is>
      </c>
      <c r="I137" s="44" t="inlineStr">
        <is>
          <t>-</t>
        </is>
      </c>
      <c r="J137" s="44" t="inlineStr">
        <is>
          <t>GET /api/v1/petitions/../../admin/assignments</t>
        </is>
      </c>
      <c r="K137" s="44" t="inlineStr">
        <is>
          <t>account.officer.primary</t>
        </is>
      </c>
      <c r="L137" s="44" t="inlineStr">
        <is>
          <t>account.officer.primary</t>
        </is>
      </c>
      <c r="M137" s="44" t="inlineStr">
        <is>
          <t>-</t>
        </is>
      </c>
      <c r="N137" s="44" t="inlineStr">
        <is>
          <t>HTTP 404 (route không match hoặc petition not found)</t>
        </is>
      </c>
      <c r="O137" s="44" t="inlineStr">
        <is>
          <t>-</t>
        </is>
      </c>
      <c r="P137" s="41" t="inlineStr">
        <is>
          <t>High</t>
        </is>
      </c>
      <c r="Q137" s="44" t="inlineStr"/>
      <c r="R137" s="41" t="inlineStr"/>
      <c r="S137" s="41" t="inlineStr"/>
      <c r="T137" s="41" t="inlineStr"/>
      <c r="U137" s="41" t="inlineStr"/>
      <c r="V137" s="44" t="inlineStr"/>
      <c r="W137" s="41" t="inlineStr"/>
      <c r="X137" s="44" t="inlineStr">
        <is>
          <t>Express router sanitizes path traversal</t>
        </is>
      </c>
    </row>
    <row r="138" ht="80" customHeight="1">
      <c r="A138" s="41" t="inlineStr">
        <is>
          <t>TC-135</t>
        </is>
      </c>
      <c r="B138" s="52" t="inlineStr">
        <is>
          <t>SECURITY</t>
        </is>
      </c>
      <c r="C138" s="45" t="inlineStr">
        <is>
          <t>P1</t>
        </is>
      </c>
      <c r="D138" s="44" t="inlineStr">
        <is>
          <t>POST /assignments</t>
        </is>
      </c>
      <c r="E138" s="44" t="inlineStr">
        <is>
          <t>SECURITY — Null byte injection trong userId → rejected</t>
        </is>
      </c>
      <c r="F138" s="41" t="inlineStr">
        <is>
          <t>REQ-PA-SEC</t>
        </is>
      </c>
      <c r="G138" s="41" t="inlineStr">
        <is>
          <t>OWASP A03 / Null byte</t>
        </is>
      </c>
      <c r="H138" s="41" t="inlineStr">
        <is>
          <t>Cao</t>
        </is>
      </c>
      <c r="I138" s="44" t="inlineStr">
        <is>
          <t>-</t>
        </is>
      </c>
      <c r="J138" s="44" t="inlineStr">
        <is>
          <t>POST {userId:'user\x00admin', role:'SUPPORT'}</t>
        </is>
      </c>
      <c r="K138" s="44" t="inlineStr">
        <is>
          <t>petition.new.D0</t>
        </is>
      </c>
      <c r="L138" s="44" t="inlineStr">
        <is>
          <t>petition.new.D0</t>
        </is>
      </c>
      <c r="M138" s="44" t="inlineStr">
        <is>
          <t>-</t>
        </is>
      </c>
      <c r="N138" s="44" t="inlineStr">
        <is>
          <t>HTTP 400 hoặc 404 (userId not found)</t>
        </is>
      </c>
      <c r="O138" s="44" t="inlineStr">
        <is>
          <t>-</t>
        </is>
      </c>
      <c r="P138" s="41" t="inlineStr">
        <is>
          <t>High</t>
        </is>
      </c>
      <c r="Q138" s="44" t="inlineStr"/>
      <c r="R138" s="41" t="inlineStr"/>
      <c r="S138" s="41" t="inlineStr"/>
      <c r="T138" s="41" t="inlineStr"/>
      <c r="U138" s="41" t="inlineStr"/>
      <c r="V138" s="44" t="inlineStr"/>
      <c r="W138" s="41" t="inlineStr"/>
      <c r="X138" s="44" t="inlineStr">
        <is>
          <t>Null byte in string — Prisma sanitizes</t>
        </is>
      </c>
    </row>
    <row r="139" ht="80" customHeight="1">
      <c r="A139" s="41" t="inlineStr">
        <is>
          <t>TC-136</t>
        </is>
      </c>
      <c r="B139" s="52" t="inlineStr">
        <is>
          <t>SECURITY</t>
        </is>
      </c>
      <c r="C139" s="45" t="inlineStr">
        <is>
          <t>P1</t>
        </is>
      </c>
      <c r="D139" s="44" t="inlineStr">
        <is>
          <t>DELETE /assignments</t>
        </is>
      </c>
      <c r="E139" s="44" t="inlineStr">
        <is>
          <t>SECURITY — IDOR: user-A xóa assignment của petition không thuộc team-A → check permission</t>
        </is>
      </c>
      <c r="F139" s="41" t="inlineStr">
        <is>
          <t>REQ-PA-SEC</t>
        </is>
      </c>
      <c r="G139" s="41" t="inlineStr">
        <is>
          <t>OWASP A01 / IDOR</t>
        </is>
      </c>
      <c r="H139" s="41" t="inlineStr">
        <is>
          <t>Cao</t>
        </is>
      </c>
      <c r="I139" s="44" t="inlineStr">
        <is>
          <t>petition-B thuộc team-B, user-A có edit Petition perm</t>
        </is>
      </c>
      <c r="J139" s="44" t="inlineStr">
        <is>
          <t>DELETE /petitions/petition-B/assignments/user-B với JWT user-A</t>
        </is>
      </c>
      <c r="K139" s="44" t="inlineStr">
        <is>
          <t>account.officer.team_a, petition.team_b.D7</t>
        </is>
      </c>
      <c r="L139" s="44" t="inlineStr">
        <is>
          <t>petition.team_b.D7</t>
        </is>
      </c>
      <c r="M139" s="44" t="inlineStr">
        <is>
          <t>-</t>
        </is>
      </c>
      <c r="N139" s="44" t="inlineStr">
        <is>
          <t>HTTP 200 hoặc 403 — tùy DataScope policy</t>
        </is>
      </c>
      <c r="O139" s="44" t="inlineStr">
        <is>
          <t>Verify: user-A không thể xóa nếu DataScope enforce team scope</t>
        </is>
      </c>
      <c r="P139" s="41" t="inlineStr">
        <is>
          <t>Critical</t>
        </is>
      </c>
      <c r="Q139" s="44" t="inlineStr"/>
      <c r="R139" s="41" t="inlineStr"/>
      <c r="S139" s="41" t="inlineStr"/>
      <c r="T139" s="41" t="inlineStr"/>
      <c r="U139" s="41" t="inlineStr"/>
      <c r="V139" s="44" t="inlineStr"/>
      <c r="W139" s="41" t="inlineStr"/>
      <c r="X139" s="44" t="inlineStr">
        <is>
          <t>A01:2021 — IDOR cross-team</t>
        </is>
      </c>
    </row>
    <row r="140" ht="80" customHeight="1">
      <c r="A140" s="41" t="inlineStr">
        <is>
          <t>TC-137</t>
        </is>
      </c>
      <c r="B140" s="52" t="inlineStr">
        <is>
          <t>SECURITY</t>
        </is>
      </c>
      <c r="C140" s="45" t="inlineStr">
        <is>
          <t>P1</t>
        </is>
      </c>
      <c r="D140" s="44" t="inlineStr">
        <is>
          <t>POST /assignments</t>
        </is>
      </c>
      <c r="E140" s="44" t="inlineStr">
        <is>
          <t>SECURITY — CSRF: request từ external domain không có JWT → 401</t>
        </is>
      </c>
      <c r="F140" s="41" t="inlineStr">
        <is>
          <t>REQ-PA-SEC</t>
        </is>
      </c>
      <c r="G140" s="41" t="inlineStr">
        <is>
          <t>OWASP A01 / CSRF</t>
        </is>
      </c>
      <c r="H140" s="41" t="inlineStr">
        <is>
          <t>Cao</t>
        </is>
      </c>
      <c r="I140" s="44" t="inlineStr">
        <is>
          <t>-</t>
        </is>
      </c>
      <c r="J140" s="44" t="inlineStr">
        <is>
          <t>Simulate CSRF: POST /assignments từ evil.com không có Authorization header</t>
        </is>
      </c>
      <c r="K140" s="44" t="inlineStr">
        <is>
          <t>-</t>
        </is>
      </c>
      <c r="L140" s="44" t="inlineStr">
        <is>
          <t>petition.any.D7</t>
        </is>
      </c>
      <c r="M140" s="44" t="inlineStr">
        <is>
          <t>-</t>
        </is>
      </c>
      <c r="N140" s="44" t="inlineStr">
        <is>
          <t>HTTP 401 (không có JWT)</t>
        </is>
      </c>
      <c r="O140" s="44" t="inlineStr">
        <is>
          <t>-</t>
        </is>
      </c>
      <c r="P140" s="41" t="inlineStr">
        <is>
          <t>Critical</t>
        </is>
      </c>
      <c r="Q140" s="44" t="inlineStr"/>
      <c r="R140" s="41" t="inlineStr"/>
      <c r="S140" s="41" t="inlineStr"/>
      <c r="T140" s="41" t="inlineStr"/>
      <c r="U140" s="41" t="inlineStr"/>
      <c r="V140" s="44" t="inlineStr"/>
      <c r="W140" s="41" t="inlineStr"/>
      <c r="X140" s="44" t="inlineStr">
        <is>
          <t>JWT = stateless, không cần CSRF token</t>
        </is>
      </c>
    </row>
    <row r="141" ht="80" customHeight="1">
      <c r="A141" s="41" t="inlineStr">
        <is>
          <t>TC-138</t>
        </is>
      </c>
      <c r="B141" s="52" t="inlineStr">
        <is>
          <t>SECURITY</t>
        </is>
      </c>
      <c r="C141" s="47" t="inlineStr">
        <is>
          <t>P2</t>
        </is>
      </c>
      <c r="D141" s="44" t="inlineStr">
        <is>
          <t>POST /assignments</t>
        </is>
      </c>
      <c r="E141" s="44" t="inlineStr">
        <is>
          <t>SECURITY — XSS trong role field → không execute</t>
        </is>
      </c>
      <c r="F141" s="41" t="inlineStr">
        <is>
          <t>REQ-PA-SEC</t>
        </is>
      </c>
      <c r="G141" s="41" t="inlineStr">
        <is>
          <t>OWASP A03 / XSS</t>
        </is>
      </c>
      <c r="H141" s="41" t="inlineStr">
        <is>
          <t>Cao</t>
        </is>
      </c>
      <c r="I141" s="44" t="inlineStr">
        <is>
          <t>-</t>
        </is>
      </c>
      <c r="J141" s="44" t="inlineStr">
        <is>
          <t>POST {userId:'u1', role:'&lt;img src=x onerror=alert(1)&gt;'}</t>
        </is>
      </c>
      <c r="K141" s="44" t="inlineStr">
        <is>
          <t>petition.new.D0</t>
        </is>
      </c>
      <c r="L141" s="44" t="inlineStr">
        <is>
          <t>petition.new.D0</t>
        </is>
      </c>
      <c r="M141" s="44" t="inlineStr">
        <is>
          <t>Nếu hiển thị role, không execute script</t>
        </is>
      </c>
      <c r="N141" s="44" t="inlineStr">
        <is>
          <t>HTTP 400 hoặc 201 với stored XSS string</t>
        </is>
      </c>
      <c r="O141" s="44" t="inlineStr">
        <is>
          <t>React JSX escapes output</t>
        </is>
      </c>
      <c r="P141" s="41" t="inlineStr">
        <is>
          <t>High</t>
        </is>
      </c>
      <c r="Q141" s="44" t="inlineStr"/>
      <c r="R141" s="41" t="inlineStr"/>
      <c r="S141" s="41" t="inlineStr"/>
      <c r="T141" s="41" t="inlineStr"/>
      <c r="U141" s="41" t="inlineStr"/>
      <c r="V141" s="44" t="inlineStr"/>
      <c r="W141" s="41" t="inlineStr"/>
      <c r="X141" s="44" t="inlineStr">
        <is>
          <t>Stored XSS — React escapes by default</t>
        </is>
      </c>
    </row>
    <row r="142" ht="80" customHeight="1">
      <c r="A142" s="41" t="inlineStr">
        <is>
          <t>TC-139</t>
        </is>
      </c>
      <c r="B142" s="52" t="inlineStr">
        <is>
          <t>SECURITY</t>
        </is>
      </c>
      <c r="C142" s="47" t="inlineStr">
        <is>
          <t>P2</t>
        </is>
      </c>
      <c r="D142" s="44" t="inlineStr">
        <is>
          <t>GET /assignments</t>
        </is>
      </c>
      <c r="E142" s="44" t="inlineStr">
        <is>
          <t>SECURITY — OWASP A09: Server không leak stack trace trong error response</t>
        </is>
      </c>
      <c r="F142" s="41" t="inlineStr">
        <is>
          <t>REQ-PA-SEC</t>
        </is>
      </c>
      <c r="G142" s="41" t="inlineStr">
        <is>
          <t>OWASP A09 / Security logging</t>
        </is>
      </c>
      <c r="H142" s="41" t="inlineStr">
        <is>
          <t>Cao</t>
        </is>
      </c>
      <c r="I142" s="44" t="inlineStr">
        <is>
          <t>-</t>
        </is>
      </c>
      <c r="J142" s="44" t="inlineStr">
        <is>
          <t>GET /petitions/invalid/assignments → inspect error body</t>
        </is>
      </c>
      <c r="K142" s="44" t="inlineStr">
        <is>
          <t>account.officer.primary</t>
        </is>
      </c>
      <c r="L142" s="44" t="inlineStr">
        <is>
          <t>account.officer.primary</t>
        </is>
      </c>
      <c r="M142" s="44" t="inlineStr">
        <is>
          <t>-</t>
        </is>
      </c>
      <c r="N142" s="44" t="inlineStr">
        <is>
          <t>HTTP 404, error body chỉ có message và statusCode — không có stack trace</t>
        </is>
      </c>
      <c r="O142" s="44" t="inlineStr">
        <is>
          <t>-</t>
        </is>
      </c>
      <c r="P142" s="41" t="inlineStr">
        <is>
          <t>High</t>
        </is>
      </c>
      <c r="Q142" s="44" t="inlineStr"/>
      <c r="R142" s="41" t="inlineStr"/>
      <c r="S142" s="41" t="inlineStr"/>
      <c r="T142" s="41" t="inlineStr"/>
      <c r="U142" s="41" t="inlineStr"/>
      <c r="V142" s="44" t="inlineStr"/>
      <c r="W142" s="41" t="inlineStr"/>
      <c r="X142" s="44" t="inlineStr">
        <is>
          <t>A09:2021 Logging — no stack trace in prod</t>
        </is>
      </c>
    </row>
    <row r="143" ht="80" customHeight="1">
      <c r="A143" s="41" t="inlineStr">
        <is>
          <t>TC-140</t>
        </is>
      </c>
      <c r="B143" s="52" t="inlineStr">
        <is>
          <t>SECURITY</t>
        </is>
      </c>
      <c r="C143" s="47" t="inlineStr">
        <is>
          <t>P2</t>
        </is>
      </c>
      <c r="D143" s="44" t="inlineStr">
        <is>
          <t>POST /assignments</t>
        </is>
      </c>
      <c r="E143" s="44" t="inlineStr">
        <is>
          <t>SECURITY — Log injection: userId có ký tự newline → sanitized trong logs</t>
        </is>
      </c>
      <c r="F143" s="41" t="inlineStr">
        <is>
          <t>REQ-PA-SEC</t>
        </is>
      </c>
      <c r="G143" s="41" t="inlineStr">
        <is>
          <t>OWASP A09 / Log injection</t>
        </is>
      </c>
      <c r="H143" s="41" t="inlineStr">
        <is>
          <t>TB</t>
        </is>
      </c>
      <c r="I143" s="44" t="inlineStr">
        <is>
          <t>-</t>
        </is>
      </c>
      <c r="J143" s="44" t="inlineStr">
        <is>
          <t>POST {userId:'user\nFAKE_LOG_ENTRY', role:'SUPPORT'}</t>
        </is>
      </c>
      <c r="K143" s="44" t="inlineStr">
        <is>
          <t>petition.new.D0</t>
        </is>
      </c>
      <c r="L143" s="44" t="inlineStr">
        <is>
          <t>petition.new.D0</t>
        </is>
      </c>
      <c r="M143" s="44" t="inlineStr">
        <is>
          <t>-</t>
        </is>
      </c>
      <c r="N143" s="44" t="inlineStr">
        <is>
          <t>HTTP 404 hoặc 400</t>
        </is>
      </c>
      <c r="O143" s="44" t="inlineStr">
        <is>
          <t>Log không có injected entry</t>
        </is>
      </c>
      <c r="P143" s="41" t="inlineStr">
        <is>
          <t>Medium</t>
        </is>
      </c>
      <c r="Q143" s="44" t="inlineStr"/>
      <c r="R143" s="41" t="inlineStr"/>
      <c r="S143" s="41" t="inlineStr"/>
      <c r="T143" s="41" t="inlineStr"/>
      <c r="U143" s="41" t="inlineStr"/>
      <c r="V143" s="44" t="inlineStr"/>
      <c r="W143" s="41" t="inlineStr"/>
      <c r="X143" s="44" t="inlineStr">
        <is>
          <t>Log injection prevention</t>
        </is>
      </c>
    </row>
    <row r="144" ht="80" customHeight="1">
      <c r="A144" s="41" t="inlineStr">
        <is>
          <t>TC-141</t>
        </is>
      </c>
      <c r="B144" s="52" t="inlineStr">
        <is>
          <t>SECURITY</t>
        </is>
      </c>
      <c r="C144" s="47" t="inlineStr">
        <is>
          <t>P2</t>
        </is>
      </c>
      <c r="D144" s="44" t="inlineStr">
        <is>
          <t>POST /assignments</t>
        </is>
      </c>
      <c r="E144" s="44" t="inlineStr">
        <is>
          <t>SECURITY — Rate limiting: 50 POST liên tiếp từ 1 IP → không 500</t>
        </is>
      </c>
      <c r="F144" s="41" t="inlineStr">
        <is>
          <t>REQ-PA-SEC</t>
        </is>
      </c>
      <c r="G144" s="41" t="inlineStr">
        <is>
          <t>OWASP A07 / DoS</t>
        </is>
      </c>
      <c r="H144" s="41" t="inlineStr">
        <is>
          <t>TB</t>
        </is>
      </c>
      <c r="I144" s="44" t="inlineStr">
        <is>
          <t>-</t>
        </is>
      </c>
      <c r="J144" s="44" t="inlineStr">
        <is>
          <t>50 POST requests tuần tự với cùng auth token</t>
        </is>
      </c>
      <c r="K144" s="44" t="inlineStr">
        <is>
          <t>petition.new.D0</t>
        </is>
      </c>
      <c r="L144" s="44" t="inlineStr">
        <is>
          <t>petition.new.D0</t>
        </is>
      </c>
      <c r="M144" s="44" t="inlineStr">
        <is>
          <t>-</t>
        </is>
      </c>
      <c r="N144" s="44" t="inlineStr">
        <is>
          <t>Tất cả ≥ 200, không có 500. Có thể có 429 nếu rate limit configured</t>
        </is>
      </c>
      <c r="O144" s="44" t="inlineStr">
        <is>
          <t>Server không crash</t>
        </is>
      </c>
      <c r="P144" s="41" t="inlineStr">
        <is>
          <t>Medium</t>
        </is>
      </c>
      <c r="Q144" s="44" t="inlineStr"/>
      <c r="R144" s="41" t="inlineStr"/>
      <c r="S144" s="41" t="inlineStr"/>
      <c r="T144" s="41" t="inlineStr"/>
      <c r="U144" s="41" t="inlineStr"/>
      <c r="V144" s="44" t="inlineStr"/>
      <c r="W144" s="41" t="inlineStr"/>
      <c r="X144" s="44" t="inlineStr">
        <is>
          <t>No explicit rate limit — server stability</t>
        </is>
      </c>
    </row>
    <row r="145" ht="80" customHeight="1">
      <c r="A145" s="41" t="inlineStr">
        <is>
          <t>TC-142</t>
        </is>
      </c>
      <c r="B145" s="52" t="inlineStr">
        <is>
          <t>SECURITY</t>
        </is>
      </c>
      <c r="C145" s="47" t="inlineStr">
        <is>
          <t>P2</t>
        </is>
      </c>
      <c r="D145" s="44" t="inlineStr">
        <is>
          <t>GET /assignments</t>
        </is>
      </c>
      <c r="E145" s="44" t="inlineStr">
        <is>
          <t>SECURITY — JWT từ deactivated user → 401 hoặc 403</t>
        </is>
      </c>
      <c r="F145" s="41" t="inlineStr">
        <is>
          <t>REQ-PA-SEC</t>
        </is>
      </c>
      <c r="G145" s="41" t="inlineStr">
        <is>
          <t>OWASP A07 / Revocation</t>
        </is>
      </c>
      <c r="H145" s="41" t="inlineStr">
        <is>
          <t>Cao</t>
        </is>
      </c>
      <c r="I145" s="44" t="inlineStr">
        <is>
          <t>User deactivated trong DB</t>
        </is>
      </c>
      <c r="J145" s="44" t="inlineStr">
        <is>
          <t>GET /assignments với JWT của user đã deactivated</t>
        </is>
      </c>
      <c r="K145" s="44" t="inlineStr">
        <is>
          <t>account.deactivated.primary, petition.any.D7</t>
        </is>
      </c>
      <c r="L145" s="44" t="inlineStr">
        <is>
          <t>petition.any.D7</t>
        </is>
      </c>
      <c r="M145" s="44" t="inlineStr">
        <is>
          <t>-</t>
        </is>
      </c>
      <c r="N145" s="44" t="inlineStr">
        <is>
          <t>HTTP 401 hoặc 403 (tùy strategy — stateless JWT có thể không revoke ngay)</t>
        </is>
      </c>
      <c r="O145" s="44" t="inlineStr">
        <is>
          <t>-</t>
        </is>
      </c>
      <c r="P145" s="41" t="inlineStr">
        <is>
          <t>High</t>
        </is>
      </c>
      <c r="Q145" s="44" t="inlineStr"/>
      <c r="R145" s="41" t="inlineStr"/>
      <c r="S145" s="41" t="inlineStr"/>
      <c r="T145" s="41" t="inlineStr"/>
      <c r="U145" s="41" t="inlineStr"/>
      <c r="V145" s="44" t="inlineStr"/>
      <c r="W145" s="41" t="inlineStr"/>
      <c r="X145" s="44" t="inlineStr">
        <is>
          <t>JWT stateless — revocation không immediate</t>
        </is>
      </c>
    </row>
    <row r="146" ht="80" customHeight="1">
      <c r="A146" s="41" t="inlineStr">
        <is>
          <t>TC-143</t>
        </is>
      </c>
      <c r="B146" s="52" t="inlineStr">
        <is>
          <t>SECURITY</t>
        </is>
      </c>
      <c r="C146" s="45" t="inlineStr">
        <is>
          <t>P1</t>
        </is>
      </c>
      <c r="D146" s="44" t="inlineStr">
        <is>
          <t>POST /assignments</t>
        </is>
      </c>
      <c r="E146" s="44" t="inlineStr">
        <is>
          <t>SECURITY — Content-Type mismatch: POST với text/plain body → 400 hoặc 415</t>
        </is>
      </c>
      <c r="F146" s="41" t="inlineStr">
        <is>
          <t>REQ-PA-SEC</t>
        </is>
      </c>
      <c r="G146" s="41" t="inlineStr">
        <is>
          <t>Input validation</t>
        </is>
      </c>
      <c r="H146" s="41" t="inlineStr">
        <is>
          <t>TB</t>
        </is>
      </c>
      <c r="I146" s="44" t="inlineStr">
        <is>
          <t>-</t>
        </is>
      </c>
      <c r="J146" s="44" t="inlineStr">
        <is>
          <t>POST /assignments với Content-Type: text/plain, body='userId=user-1'</t>
        </is>
      </c>
      <c r="K146" s="44" t="inlineStr">
        <is>
          <t>petition.new.D0</t>
        </is>
      </c>
      <c r="L146" s="44" t="inlineStr">
        <is>
          <t>petition.new.D0</t>
        </is>
      </c>
      <c r="M146" s="44" t="inlineStr">
        <is>
          <t>-</t>
        </is>
      </c>
      <c r="N146" s="44" t="inlineStr">
        <is>
          <t>HTTP 400 hoặc 415 Unsupported Media Type</t>
        </is>
      </c>
      <c r="O146" s="44" t="inlineStr">
        <is>
          <t>-</t>
        </is>
      </c>
      <c r="P146" s="41" t="inlineStr">
        <is>
          <t>Medium</t>
        </is>
      </c>
      <c r="Q146" s="44" t="inlineStr"/>
      <c r="R146" s="41" t="inlineStr"/>
      <c r="S146" s="41" t="inlineStr"/>
      <c r="T146" s="41" t="inlineStr"/>
      <c r="U146" s="41" t="inlineStr"/>
      <c r="V146" s="44" t="inlineStr"/>
      <c r="W146" s="41" t="inlineStr"/>
      <c r="X146" s="44" t="inlineStr">
        <is>
          <t>NestJS expects application/json</t>
        </is>
      </c>
    </row>
    <row r="147" ht="80" customHeight="1">
      <c r="A147" s="41" t="inlineStr">
        <is>
          <t>TC-144</t>
        </is>
      </c>
      <c r="B147" s="52" t="inlineStr">
        <is>
          <t>SECURITY</t>
        </is>
      </c>
      <c r="C147" s="47" t="inlineStr">
        <is>
          <t>P2</t>
        </is>
      </c>
      <c r="D147" s="44" t="inlineStr">
        <is>
          <t>POST /assignments</t>
        </is>
      </c>
      <c r="E147" s="44" t="inlineStr">
        <is>
          <t>SECURITY — Replay attack: reuse expired JWT → 401</t>
        </is>
      </c>
      <c r="F147" s="41" t="inlineStr">
        <is>
          <t>REQ-PA-SEC</t>
        </is>
      </c>
      <c r="G147" s="41" t="inlineStr">
        <is>
          <t>OWASP A07 / Replay</t>
        </is>
      </c>
      <c r="H147" s="41" t="inlineStr">
        <is>
          <t>Cao</t>
        </is>
      </c>
      <c r="I147" s="44" t="inlineStr">
        <is>
          <t>JWT đã expire 1 ngày trước</t>
        </is>
      </c>
      <c r="J147" s="44" t="inlineStr">
        <is>
          <t>POST /assignments với expired JWT</t>
        </is>
      </c>
      <c r="K147" s="44" t="inlineStr">
        <is>
          <t>-</t>
        </is>
      </c>
      <c r="L147" s="44" t="inlineStr">
        <is>
          <t>petition.any.D7</t>
        </is>
      </c>
      <c r="M147" s="44" t="inlineStr">
        <is>
          <t>-</t>
        </is>
      </c>
      <c r="N147" s="44" t="inlineStr">
        <is>
          <t>HTTP 401</t>
        </is>
      </c>
      <c r="O147" s="44" t="inlineStr">
        <is>
          <t>-</t>
        </is>
      </c>
      <c r="P147" s="41" t="inlineStr">
        <is>
          <t>Critical</t>
        </is>
      </c>
      <c r="Q147" s="44" t="inlineStr"/>
      <c r="R147" s="41" t="inlineStr"/>
      <c r="S147" s="41" t="inlineStr"/>
      <c r="T147" s="41" t="inlineStr"/>
      <c r="U147" s="41" t="inlineStr"/>
      <c r="V147" s="44" t="inlineStr"/>
      <c r="W147" s="41" t="inlineStr"/>
      <c r="X147" s="44" t="inlineStr">
        <is>
          <t>JWT exp claim verification</t>
        </is>
      </c>
    </row>
    <row r="148" ht="80" customHeight="1">
      <c r="A148" s="41" t="inlineStr">
        <is>
          <t>TC-145</t>
        </is>
      </c>
      <c r="B148" s="53" t="inlineStr">
        <is>
          <t>DATA</t>
        </is>
      </c>
      <c r="C148" s="45" t="inlineStr">
        <is>
          <t>P1</t>
        </is>
      </c>
      <c r="D148" s="44" t="inlineStr">
        <is>
          <t>GET /assignments</t>
        </is>
      </c>
      <c r="E148" s="44" t="inlineStr">
        <is>
          <t>DATA — displayName fallback: không có firstName/lastName → hiển thị username</t>
        </is>
      </c>
      <c r="F148" s="41" t="inlineStr">
        <is>
          <t>REQ-PA-DATA</t>
        </is>
      </c>
      <c r="G148" s="41" t="inlineStr">
        <is>
          <t>Data / Display logic</t>
        </is>
      </c>
      <c r="H148" s="41" t="inlineStr">
        <is>
          <t>TB</t>
        </is>
      </c>
      <c r="I148" s="44" t="inlineStr">
        <is>
          <t>user có username='officer99', firstName=null, lastName=null</t>
        </is>
      </c>
      <c r="J148" s="44" t="inlineStr">
        <is>
          <t>POST {userId:'officer99'} → GET /assignments → check display</t>
        </is>
      </c>
      <c r="K148" s="44" t="inlineStr">
        <is>
          <t>petition.new.D0, user.no_name</t>
        </is>
      </c>
      <c r="L148" s="44" t="inlineStr">
        <is>
          <t>petition.new.D0</t>
        </is>
      </c>
      <c r="M148" s="44" t="inlineStr">
        <is>
          <t>Hiển thị 'officer99' (username)</t>
        </is>
      </c>
      <c r="N148" s="44" t="inlineStr">
        <is>
          <t>HTTP 200, user.username='officer99'</t>
        </is>
      </c>
      <c r="O148" s="44" t="inlineStr">
        <is>
          <t>-</t>
        </is>
      </c>
      <c r="P148" s="41" t="inlineStr">
        <is>
          <t>High</t>
        </is>
      </c>
      <c r="Q148" s="44" t="inlineStr"/>
      <c r="R148" s="41" t="inlineStr"/>
      <c r="S148" s="41" t="inlineStr"/>
      <c r="T148" s="41" t="inlineStr"/>
      <c r="U148" s="41" t="inlineStr"/>
      <c r="V148" s="44" t="inlineStr"/>
      <c r="W148" s="41" t="inlineStr"/>
      <c r="X148" s="44" t="inlineStr">
        <is>
          <t>displayName(): full || username fallback</t>
        </is>
      </c>
    </row>
    <row r="149" ht="80" customHeight="1">
      <c r="A149" s="41" t="inlineStr">
        <is>
          <t>TC-146</t>
        </is>
      </c>
      <c r="B149" s="53" t="inlineStr">
        <is>
          <t>DATA</t>
        </is>
      </c>
      <c r="C149" s="45" t="inlineStr">
        <is>
          <t>P1</t>
        </is>
      </c>
      <c r="D149" s="44" t="inlineStr">
        <is>
          <t>GET /assignments</t>
        </is>
      </c>
      <c r="E149" s="44" t="inlineStr">
        <is>
          <t>DATA — assignedAt timestamp format UTC ISO8601</t>
        </is>
      </c>
      <c r="F149" s="41" t="inlineStr">
        <is>
          <t>REQ-PA-DATA</t>
        </is>
      </c>
      <c r="G149" s="41" t="inlineStr">
        <is>
          <t>Data / Timestamp</t>
        </is>
      </c>
      <c r="H149" s="41" t="inlineStr">
        <is>
          <t>TB</t>
        </is>
      </c>
      <c r="I149" s="44" t="inlineStr">
        <is>
          <t>-</t>
        </is>
      </c>
      <c r="J149" s="44" t="inlineStr">
        <is>
          <t>POST assignment → GET, inspect assignedAt</t>
        </is>
      </c>
      <c r="K149" s="44" t="inlineStr">
        <is>
          <t>petition.new.D0</t>
        </is>
      </c>
      <c r="L149" s="44" t="inlineStr">
        <is>
          <t>petition.new.D0</t>
        </is>
      </c>
      <c r="M149" s="44" t="inlineStr">
        <is>
          <t>assignedAt hiển thị đúng theo timezone VN</t>
        </is>
      </c>
      <c r="N149" s="44" t="inlineStr">
        <is>
          <t>HTTP 200, item.assignedAt format ISO8601, e.g. '2026-06-08T07:00:00.000Z'</t>
        </is>
      </c>
      <c r="O149" s="44" t="inlineStr">
        <is>
          <t>-</t>
        </is>
      </c>
      <c r="P149" s="41" t="inlineStr">
        <is>
          <t>Medium</t>
        </is>
      </c>
      <c r="Q149" s="44" t="inlineStr"/>
      <c r="R149" s="41" t="inlineStr"/>
      <c r="S149" s="41" t="inlineStr"/>
      <c r="T149" s="41" t="inlineStr"/>
      <c r="U149" s="41" t="inlineStr"/>
      <c r="V149" s="44" t="inlineStr"/>
      <c r="W149" s="41" t="inlineStr"/>
      <c r="X149" s="44" t="inlineStr">
        <is>
          <t>UTC storage, VN display via dates.ts</t>
        </is>
      </c>
    </row>
    <row r="150" ht="80" customHeight="1">
      <c r="A150" s="41" t="inlineStr">
        <is>
          <t>TC-147</t>
        </is>
      </c>
      <c r="B150" s="53" t="inlineStr">
        <is>
          <t>DATA</t>
        </is>
      </c>
      <c r="C150" s="45" t="inlineStr">
        <is>
          <t>P1</t>
        </is>
      </c>
      <c r="D150" s="44" t="inlineStr">
        <is>
          <t>GET /assignments</t>
        </is>
      </c>
      <c r="E150" s="44" t="inlineStr">
        <is>
          <t>DATA — Vietnamese special chars trong user name → display đúng</t>
        </is>
      </c>
      <c r="F150" s="41" t="inlineStr">
        <is>
          <t>REQ-PA-DATA</t>
        </is>
      </c>
      <c r="G150" s="41" t="inlineStr">
        <is>
          <t>Data / i18n</t>
        </is>
      </c>
      <c r="H150" s="41" t="inlineStr">
        <is>
          <t>TB</t>
        </is>
      </c>
      <c r="I150" s="44" t="inlineStr">
        <is>
          <t>user firstName='Nguyễn Thị Hương', lastName='Vũ'</t>
        </is>
      </c>
      <c r="J150" s="44" t="inlineStr">
        <is>
          <t>GET /assignments</t>
        </is>
      </c>
      <c r="K150" s="44" t="inlineStr">
        <is>
          <t>petition.with_vietnamese_user.D7</t>
        </is>
      </c>
      <c r="L150" s="44" t="inlineStr">
        <is>
          <t>petition.with_vietnamese_user.D7</t>
        </is>
      </c>
      <c r="M150" s="44" t="inlineStr">
        <is>
          <t>Hiển thị 'Nguyễn Thị Hương Vũ' không bị méo hay mất dấu</t>
        </is>
      </c>
      <c r="N150" s="44" t="inlineStr">
        <is>
          <t>HTTP 200, user.firstName='Nguyễn Thị Hương'</t>
        </is>
      </c>
      <c r="O150" s="44" t="inlineStr">
        <is>
          <t>-</t>
        </is>
      </c>
      <c r="P150" s="41" t="inlineStr">
        <is>
          <t>Medium</t>
        </is>
      </c>
      <c r="Q150" s="44" t="inlineStr"/>
      <c r="R150" s="41" t="inlineStr"/>
      <c r="S150" s="41" t="inlineStr"/>
      <c r="T150" s="41" t="inlineStr"/>
      <c r="U150" s="41" t="inlineStr"/>
      <c r="V150" s="44" t="inlineStr"/>
      <c r="W150" s="41" t="inlineStr"/>
      <c r="X150" s="44" t="inlineStr">
        <is>
          <t>UTF-8 Vietnamese diacritics</t>
        </is>
      </c>
    </row>
    <row r="151" ht="80" customHeight="1">
      <c r="A151" s="41" t="inlineStr">
        <is>
          <t>TC-148</t>
        </is>
      </c>
      <c r="B151" s="53" t="inlineStr">
        <is>
          <t>DATA</t>
        </is>
      </c>
      <c r="C151" s="47" t="inlineStr">
        <is>
          <t>P2</t>
        </is>
      </c>
      <c r="D151" s="44" t="inlineStr">
        <is>
          <t>GET /assignments</t>
        </is>
      </c>
      <c r="E151" s="44" t="inlineStr">
        <is>
          <t>DATA — assignedBy nullable (user được gán trực tiếp vào DB không qua API) → UI không crash</t>
        </is>
      </c>
      <c r="F151" s="41" t="inlineStr">
        <is>
          <t>REQ-PA-DATA</t>
        </is>
      </c>
      <c r="G151" s="41" t="inlineStr">
        <is>
          <t>Data / Nullable</t>
        </is>
      </c>
      <c r="H151" s="41" t="inlineStr">
        <is>
          <t>TB</t>
        </is>
      </c>
      <c r="I151" s="44" t="inlineStr">
        <is>
          <t>Assignment có assignedById trỏ đến user đã bị xóa hard</t>
        </is>
      </c>
      <c r="J151" s="44" t="inlineStr">
        <is>
          <t>GET /assignments, inspect item.assignedBy</t>
        </is>
      </c>
      <c r="K151" s="44" t="inlineStr">
        <is>
          <t>petition.with_orphan_assignment.D7</t>
        </is>
      </c>
      <c r="L151" s="44" t="inlineStr">
        <is>
          <t>petition.with_orphan_assignment.D7</t>
        </is>
      </c>
      <c r="M151" s="44" t="inlineStr">
        <is>
          <t>UI không crash, hiển thị tên cán bộ bình thường</t>
        </is>
      </c>
      <c r="N151" s="44" t="inlineStr">
        <is>
          <t>HTTP 200, item.assignedBy có thể null</t>
        </is>
      </c>
      <c r="O151" s="44" t="inlineStr">
        <is>
          <t>-</t>
        </is>
      </c>
      <c r="P151" s="41" t="inlineStr">
        <is>
          <t>High</t>
        </is>
      </c>
      <c r="Q151" s="44" t="inlineStr"/>
      <c r="R151" s="41" t="inlineStr"/>
      <c r="S151" s="41" t="inlineStr"/>
      <c r="T151" s="41" t="inlineStr"/>
      <c r="U151" s="41" t="inlineStr"/>
      <c r="V151" s="44" t="inlineStr"/>
      <c r="W151" s="41" t="inlineStr"/>
      <c r="X151" s="44" t="inlineStr">
        <is>
          <t>assignedBy?: Partial&lt;UserOption&gt; — optional</t>
        </is>
      </c>
    </row>
    <row r="152" ht="80" customHeight="1">
      <c r="A152" s="41" t="inlineStr">
        <is>
          <t>TC-149</t>
        </is>
      </c>
      <c r="B152" s="53" t="inlineStr">
        <is>
          <t>DATA</t>
        </is>
      </c>
      <c r="C152" s="47" t="inlineStr">
        <is>
          <t>P2</t>
        </is>
      </c>
      <c r="D152" s="44" t="inlineStr">
        <is>
          <t>GET /assignments</t>
        </is>
      </c>
      <c r="E152" s="44" t="inlineStr">
        <is>
          <t>DATA — GET response đủ 8 fields theo interface: id, petitionId, userId, user, role, assignedById, assignedBy?, assignedAt</t>
        </is>
      </c>
      <c r="F152" s="41" t="inlineStr">
        <is>
          <t>REQ-PA-DATA</t>
        </is>
      </c>
      <c r="G152" s="41" t="inlineStr">
        <is>
          <t>Data / Field completeness</t>
        </is>
      </c>
      <c r="H152" s="41" t="inlineStr">
        <is>
          <t>TB</t>
        </is>
      </c>
      <c r="I152" s="44" t="inlineStr">
        <is>
          <t>-</t>
        </is>
      </c>
      <c r="J152" s="44" t="inlineStr">
        <is>
          <t>GET /assignments, so sánh response fields với interface Assignment</t>
        </is>
      </c>
      <c r="K152" s="44" t="inlineStr">
        <is>
          <t>petition.with_1_assignment.D7</t>
        </is>
      </c>
      <c r="L152" s="44" t="inlineStr">
        <is>
          <t>petition.with_1_assignment.D7</t>
        </is>
      </c>
      <c r="M152" s="44" t="inlineStr">
        <is>
          <t>-</t>
        </is>
      </c>
      <c r="N152" s="44" t="inlineStr">
        <is>
          <t>HTTP 200, mỗi item có: id, petitionId, userId, user{id,username,firstName,lastName}, role, assignedById, assignedBy{id,username}, assignedAt</t>
        </is>
      </c>
      <c r="O152" s="44" t="inlineStr">
        <is>
          <t>-</t>
        </is>
      </c>
      <c r="P152" s="41" t="inlineStr">
        <is>
          <t>High</t>
        </is>
      </c>
      <c r="Q152" s="44" t="inlineStr"/>
      <c r="R152" s="41" t="inlineStr"/>
      <c r="S152" s="41" t="inlineStr"/>
      <c r="T152" s="41" t="inlineStr"/>
      <c r="U152" s="41" t="inlineStr"/>
      <c r="V152" s="44" t="inlineStr"/>
      <c r="W152" s="41" t="inlineStr"/>
      <c r="X152" s="44" t="inlineStr">
        <is>
          <t>Interface compliance</t>
        </is>
      </c>
    </row>
    <row r="153" ht="80" customHeight="1">
      <c r="A153" s="41" t="inlineStr">
        <is>
          <t>TC-150</t>
        </is>
      </c>
      <c r="B153" s="54" t="inlineStr">
        <is>
          <t>INTEGRATION</t>
        </is>
      </c>
      <c r="C153" s="43" t="inlineStr">
        <is>
          <t>P0</t>
        </is>
      </c>
      <c r="D153" s="44" t="inlineStr">
        <is>
          <t>Full flow</t>
        </is>
      </c>
      <c r="E153" s="44" t="inlineStr">
        <is>
          <t>INTEGRATION — Tạo petition → PATCH assign → GET assignments → DELETE → GET rỗng</t>
        </is>
      </c>
      <c r="F153" s="41" t="inlineStr">
        <is>
          <t>REQ-PA-INT</t>
        </is>
      </c>
      <c r="G153" s="41" t="inlineStr">
        <is>
          <t>Integration / E2E flow</t>
        </is>
      </c>
      <c r="H153" s="41" t="inlineStr">
        <is>
          <t>Cao</t>
        </is>
      </c>
      <c r="I153" s="44" t="inlineStr">
        <is>
          <t>-</t>
        </is>
      </c>
      <c r="J153" s="44" t="inlineStr">
        <is>
          <t>1. POST /petitions → petitionId
2. PATCH /assign {teamId, auto-leader}
3. POST /assignments {user-2, SUPPORT}
4. GET /assignments → verify 2 items
5. DELETE user-2
6. GET /assignments → verify 1 item</t>
        </is>
      </c>
      <c r="K153" s="44" t="inlineStr">
        <is>
          <t>account.dispatcher.primary, petition.new.D0</t>
        </is>
      </c>
      <c r="L153" s="44" t="inlineStr">
        <is>
          <t>petition.new.D0</t>
        </is>
      </c>
      <c r="M153" s="44" t="inlineStr">
        <is>
          <t>-</t>
        </is>
      </c>
      <c r="N153" s="44" t="inlineStr">
        <is>
          <t>Tất cả HTTP 200/201, GET cuối → [leader only]</t>
        </is>
      </c>
      <c r="O153" s="44" t="inlineStr">
        <is>
          <t>DB consistent sau mỗi bước</t>
        </is>
      </c>
      <c r="P153" s="41" t="inlineStr">
        <is>
          <t>Critical</t>
        </is>
      </c>
      <c r="Q153" s="44" t="inlineStr"/>
      <c r="R153" s="41" t="inlineStr"/>
      <c r="S153" s="41" t="inlineStr"/>
      <c r="T153" s="41" t="inlineStr"/>
      <c r="U153" s="41" t="inlineStr"/>
      <c r="V153" s="44" t="inlineStr"/>
      <c r="W153" s="41" t="inlineStr"/>
      <c r="X153" s="44" t="inlineStr">
        <is>
          <t>Full round-trip integration</t>
        </is>
      </c>
    </row>
    <row r="154" ht="80" customHeight="1">
      <c r="A154" s="41" t="inlineStr">
        <is>
          <t>TC-151</t>
        </is>
      </c>
      <c r="B154" s="54" t="inlineStr">
        <is>
          <t>INTEGRATION</t>
        </is>
      </c>
      <c r="C154" s="43" t="inlineStr">
        <is>
          <t>P0</t>
        </is>
      </c>
      <c r="D154" s="44" t="inlineStr">
        <is>
          <t>UI + API</t>
        </is>
      </c>
      <c r="E154" s="44" t="inlineStr">
        <is>
          <t>INTEGRATION — PetitionFormPage edit: thêm assignment qua UI → reload page → vẫn còn</t>
        </is>
      </c>
      <c r="F154" s="41" t="inlineStr">
        <is>
          <t>REQ-PA-INT</t>
        </is>
      </c>
      <c r="G154" s="41" t="inlineStr">
        <is>
          <t>Integration / Persistence</t>
        </is>
      </c>
      <c r="H154" s="41" t="inlineStr">
        <is>
          <t>Cao</t>
        </is>
      </c>
      <c r="I154" s="44" t="inlineStr">
        <is>
          <t>-</t>
        </is>
      </c>
      <c r="J154" s="44" t="inlineStr">
        <is>
          <t>1. Mở /petitions/:id/edit
2. Thêm user-3 qua UI
3. Reload page
4. Kiểm tra danh sách</t>
        </is>
      </c>
      <c r="K154" s="44" t="inlineStr">
        <is>
          <t>petition.new.D0</t>
        </is>
      </c>
      <c r="L154" s="44" t="inlineStr">
        <is>
          <t>petition.new.D0</t>
        </is>
      </c>
      <c r="M154" s="44" t="inlineStr">
        <is>
          <t>user-3 vẫn có trong danh sách sau reload</t>
        </is>
      </c>
      <c r="N154" s="44" t="inlineStr">
        <is>
          <t>GET /assignments sau reload → user-3 present</t>
        </is>
      </c>
      <c r="O154" s="44" t="inlineStr">
        <is>
          <t>Data persisted in DB</t>
        </is>
      </c>
      <c r="P154" s="41" t="inlineStr">
        <is>
          <t>Critical</t>
        </is>
      </c>
      <c r="Q154" s="44" t="inlineStr"/>
      <c r="R154" s="41" t="inlineStr"/>
      <c r="S154" s="41" t="inlineStr"/>
      <c r="T154" s="41" t="inlineStr"/>
      <c r="U154" s="41" t="inlineStr"/>
      <c r="V154" s="44" t="inlineStr"/>
      <c r="W154" s="41" t="inlineStr"/>
      <c r="X154" s="44" t="inlineStr">
        <is>
          <t>Persistence test</t>
        </is>
      </c>
    </row>
    <row r="155" ht="80" customHeight="1">
      <c r="A155" s="41" t="inlineStr">
        <is>
          <t>TC-152</t>
        </is>
      </c>
      <c r="B155" s="54" t="inlineStr">
        <is>
          <t>INTEGRATION</t>
        </is>
      </c>
      <c r="C155" s="45" t="inlineStr">
        <is>
          <t>P1</t>
        </is>
      </c>
      <c r="D155" s="44" t="inlineStr">
        <is>
          <t>Team + Assignment</t>
        </is>
      </c>
      <c r="E155" s="44" t="inlineStr">
        <is>
          <t>INTEGRATION — PATCH assign với team có leader → PetitionAssignment section hiện leader</t>
        </is>
      </c>
      <c r="F155" s="41" t="inlineStr">
        <is>
          <t>REQ-PA-INT</t>
        </is>
      </c>
      <c r="G155" s="41" t="inlineStr">
        <is>
          <t>Integration / Data flow</t>
        </is>
      </c>
      <c r="H155" s="41" t="inlineStr">
        <is>
          <t>Cao</t>
        </is>
      </c>
      <c r="I155" s="44" t="inlineStr">
        <is>
          <t>Team-A có leaderA</t>
        </is>
      </c>
      <c r="J155" s="44" t="inlineStr">
        <is>
          <t>1. PATCH /assign {team-A}
2. Mở edit page
3. Kiểm tra section phân công</t>
        </is>
      </c>
      <c r="K155" s="44" t="inlineStr">
        <is>
          <t>petition.unassigned.D0, team.a_with_leader</t>
        </is>
      </c>
      <c r="L155" s="44" t="inlineStr">
        <is>
          <t>petition.unassigned.D0</t>
        </is>
      </c>
      <c r="M155" s="44" t="inlineStr">
        <is>
          <t>leaderA không tự động xuất hiện trong PetitionAssignment section (auto-assign là field, không phải assignment record)</t>
        </is>
      </c>
      <c r="N155" s="44" t="inlineStr">
        <is>
          <t>GET /assignments → [] (auto-assign chỉ set petition.assignedToId, không tạo PetitionAssignment record)</t>
        </is>
      </c>
      <c r="O155" s="44" t="inlineStr">
        <is>
          <t>Phân biệt petition.assignedToId vs petition_assignments</t>
        </is>
      </c>
      <c r="P155" s="41" t="inlineStr">
        <is>
          <t>Critical</t>
        </is>
      </c>
      <c r="Q155" s="44" t="inlineStr"/>
      <c r="R155" s="41" t="inlineStr"/>
      <c r="S155" s="41" t="inlineStr"/>
      <c r="T155" s="41" t="inlineStr"/>
      <c r="U155" s="41" t="inlineStr"/>
      <c r="V155" s="44" t="inlineStr"/>
      <c r="W155" s="41" t="inlineStr"/>
      <c r="X155" s="44" t="inlineStr">
        <is>
          <t>Auto-assign ≠ PetitionAssignment — 2 khái niệm khác nhau</t>
        </is>
      </c>
    </row>
    <row r="156" ht="80" customHeight="1">
      <c r="A156" s="41" t="inlineStr">
        <is>
          <t>TC-153</t>
        </is>
      </c>
      <c r="B156" s="54" t="inlineStr">
        <is>
          <t>INTEGRATION</t>
        </is>
      </c>
      <c r="C156" s="45" t="inlineStr">
        <is>
          <t>P1</t>
        </is>
      </c>
      <c r="D156" s="44" t="inlineStr">
        <is>
          <t>Form + Assignment</t>
        </is>
      </c>
      <c r="E156" s="44" t="inlineStr">
        <is>
          <t>INTEGRATION — Submit PetitionFormPage không gửi assignment data trong request body</t>
        </is>
      </c>
      <c r="F156" s="41" t="inlineStr">
        <is>
          <t>REQ-PA-INT</t>
        </is>
      </c>
      <c r="G156" s="41" t="inlineStr">
        <is>
          <t>Integration / Form isolation</t>
        </is>
      </c>
      <c r="H156" s="41" t="inlineStr">
        <is>
          <t>TB</t>
        </is>
      </c>
      <c r="I156" s="44" t="inlineStr">
        <is>
          <t>Petition có 2 assignments</t>
        </is>
      </c>
      <c r="J156" s="44" t="inlineStr">
        <is>
          <t>1. Mở edit page với 2 assignments
2. Sửa senderName
3. Submit form
4. GET assignments sau submit</t>
        </is>
      </c>
      <c r="K156" s="44" t="inlineStr">
        <is>
          <t>petition.with_2_assignments.D7</t>
        </is>
      </c>
      <c r="L156" s="44" t="inlineStr">
        <is>
          <t>petition.with_2_assignments.D7</t>
        </is>
      </c>
      <c r="M156" s="44" t="inlineStr">
        <is>
          <t>Assignments vẫn còn sau submit form</t>
        </is>
      </c>
      <c r="N156" s="44" t="inlineStr">
        <is>
          <t>PUT /petitions/:id không có assignments field trong body</t>
        </is>
      </c>
      <c r="O156" s="44" t="inlineStr">
        <is>
          <t>petition_assignments rows không thay đổi khi update petition</t>
        </is>
      </c>
      <c r="P156" s="41" t="inlineStr">
        <is>
          <t>Critical</t>
        </is>
      </c>
      <c r="Q156" s="44" t="inlineStr"/>
      <c r="R156" s="41" t="inlineStr"/>
      <c r="S156" s="41" t="inlineStr"/>
      <c r="T156" s="41" t="inlineStr"/>
      <c r="U156" s="41" t="inlineStr"/>
      <c r="V156" s="44" t="inlineStr"/>
      <c r="W156" s="41" t="inlineStr"/>
      <c r="X156" s="44" t="inlineStr">
        <is>
          <t>Assignment section độc lập với PetitionForm</t>
        </is>
      </c>
    </row>
    <row r="157" ht="80" customHeight="1">
      <c r="A157" s="41" t="inlineStr">
        <is>
          <t>TC-154</t>
        </is>
      </c>
      <c r="B157" s="55" t="inlineStr">
        <is>
          <t>REGRESSION</t>
        </is>
      </c>
      <c r="C157" s="45" t="inlineStr">
        <is>
          <t>P1</t>
        </is>
      </c>
      <c r="D157" s="44" t="inlineStr">
        <is>
          <t>Regression</t>
        </is>
      </c>
      <c r="E157" s="44" t="inlineStr">
        <is>
          <t>REGRESSION — Thêm assignment không ảnh hưởng đến petition list page</t>
        </is>
      </c>
      <c r="F157" s="41" t="inlineStr">
        <is>
          <t>REQ-PA-REG</t>
        </is>
      </c>
      <c r="G157" s="41" t="inlineStr">
        <is>
          <t>Regression</t>
        </is>
      </c>
      <c r="H157" s="41" t="inlineStr">
        <is>
          <t>TB</t>
        </is>
      </c>
      <c r="I157" s="44" t="inlineStr">
        <is>
          <t>-</t>
        </is>
      </c>
      <c r="J157" s="44" t="inlineStr">
        <is>
          <t>1. GET /petitions → note count
2. POST /petitions/:id/assignments
3. GET /petitions → verify count không đổi</t>
        </is>
      </c>
      <c r="K157" s="44" t="inlineStr">
        <is>
          <t>petition.with_1_assignment.D7</t>
        </is>
      </c>
      <c r="L157" s="44" t="inlineStr">
        <is>
          <t>petition.with_1_assignment.D7</t>
        </is>
      </c>
      <c r="M157" s="44" t="inlineStr">
        <is>
          <t>-</t>
        </is>
      </c>
      <c r="N157" s="44" t="inlineStr">
        <is>
          <t>GET /petitions: count không tăng</t>
        </is>
      </c>
      <c r="O157" s="44" t="inlineStr">
        <is>
          <t>-</t>
        </is>
      </c>
      <c r="P157" s="41" t="inlineStr">
        <is>
          <t>Medium</t>
        </is>
      </c>
      <c r="Q157" s="44" t="inlineStr"/>
      <c r="R157" s="41" t="inlineStr"/>
      <c r="S157" s="41" t="inlineStr"/>
      <c r="T157" s="41" t="inlineStr"/>
      <c r="U157" s="41" t="inlineStr"/>
      <c r="V157" s="44" t="inlineStr"/>
      <c r="W157" s="41" t="inlineStr"/>
      <c r="X157" s="44" t="inlineStr">
        <is>
          <t>Assignment không tạo/xóa petition</t>
        </is>
      </c>
    </row>
    <row r="158" ht="80" customHeight="1">
      <c r="A158" s="41" t="inlineStr">
        <is>
          <t>TC-155</t>
        </is>
      </c>
      <c r="B158" s="55" t="inlineStr">
        <is>
          <t>REGRESSION</t>
        </is>
      </c>
      <c r="C158" s="45" t="inlineStr">
        <is>
          <t>P1</t>
        </is>
      </c>
      <c r="D158" s="44" t="inlineStr">
        <is>
          <t>Regression</t>
        </is>
      </c>
      <c r="E158" s="44" t="inlineStr">
        <is>
          <t>REGRESSION — Thêm assignment không thay đổi petition.updatedAt</t>
        </is>
      </c>
      <c r="F158" s="41" t="inlineStr">
        <is>
          <t>REQ-PA-REG</t>
        </is>
      </c>
      <c r="G158" s="41" t="inlineStr">
        <is>
          <t>Regression</t>
        </is>
      </c>
      <c r="H158" s="41" t="inlineStr">
        <is>
          <t>TB</t>
        </is>
      </c>
      <c r="I158" s="44" t="inlineStr">
        <is>
          <t>Petition có updatedAt=T0</t>
        </is>
      </c>
      <c r="J158" s="44" t="inlineStr">
        <is>
          <t>1. POST /assignments
2. GET /petitions/:id → check updatedAt</t>
        </is>
      </c>
      <c r="K158" s="44" t="inlineStr">
        <is>
          <t>petition.any.D7</t>
        </is>
      </c>
      <c r="L158" s="44" t="inlineStr">
        <is>
          <t>petition.any.D7</t>
        </is>
      </c>
      <c r="M158" s="44" t="inlineStr">
        <is>
          <t>-</t>
        </is>
      </c>
      <c r="N158" s="44" t="inlineStr">
        <is>
          <t>petition.updatedAt = T0 (không thay đổi)</t>
        </is>
      </c>
      <c r="O158" s="44" t="inlineStr">
        <is>
          <t>-</t>
        </is>
      </c>
      <c r="P158" s="41" t="inlineStr">
        <is>
          <t>Medium</t>
        </is>
      </c>
      <c r="Q158" s="44" t="inlineStr"/>
      <c r="R158" s="41" t="inlineStr"/>
      <c r="S158" s="41" t="inlineStr"/>
      <c r="T158" s="41" t="inlineStr"/>
      <c r="U158" s="41" t="inlineStr"/>
      <c r="V158" s="44" t="inlineStr"/>
      <c r="W158" s="41" t="inlineStr"/>
      <c r="X158" s="44" t="inlineStr">
        <is>
          <t>Assignment là bảng riêng — không trigger petition update</t>
        </is>
      </c>
    </row>
    <row r="159" ht="80" customHeight="1">
      <c r="A159" s="41" t="inlineStr">
        <is>
          <t>TC-156</t>
        </is>
      </c>
      <c r="B159" s="55" t="inlineStr">
        <is>
          <t>REGRESSION</t>
        </is>
      </c>
      <c r="C159" s="45" t="inlineStr">
        <is>
          <t>P1</t>
        </is>
      </c>
      <c r="D159" s="44" t="inlineStr">
        <is>
          <t>Regression</t>
        </is>
      </c>
      <c r="E159" s="44" t="inlineStr">
        <is>
          <t>REGRESSION — Xóa assignment không thay đổi petition.status</t>
        </is>
      </c>
      <c r="F159" s="41" t="inlineStr">
        <is>
          <t>REQ-PA-REG</t>
        </is>
      </c>
      <c r="G159" s="41" t="inlineStr">
        <is>
          <t>Regression</t>
        </is>
      </c>
      <c r="H159" s="41" t="inlineStr">
        <is>
          <t>TB</t>
        </is>
      </c>
      <c r="I159" s="44" t="inlineStr">
        <is>
          <t>Petition status=DANG_XU_LY</t>
        </is>
      </c>
      <c r="J159" s="44" t="inlineStr">
        <is>
          <t>1. DELETE /assignments/user-1
2. GET /petitions/:id → check status</t>
        </is>
      </c>
      <c r="K159" s="44" t="inlineStr">
        <is>
          <t>petition.with_1_assignment.D7</t>
        </is>
      </c>
      <c r="L159" s="44" t="inlineStr">
        <is>
          <t>petition.with_1_assignment.D7</t>
        </is>
      </c>
      <c r="M159" s="44" t="inlineStr">
        <is>
          <t>-</t>
        </is>
      </c>
      <c r="N159" s="44" t="inlineStr">
        <is>
          <t>petition.status vẫn = DANG_XU_LY</t>
        </is>
      </c>
      <c r="O159" s="44" t="inlineStr">
        <is>
          <t>-</t>
        </is>
      </c>
      <c r="P159" s="41" t="inlineStr">
        <is>
          <t>High</t>
        </is>
      </c>
      <c r="Q159" s="44" t="inlineStr"/>
      <c r="R159" s="41" t="inlineStr"/>
      <c r="S159" s="41" t="inlineStr"/>
      <c r="T159" s="41" t="inlineStr"/>
      <c r="U159" s="41" t="inlineStr"/>
      <c r="V159" s="44" t="inlineStr"/>
      <c r="W159" s="41" t="inlineStr"/>
      <c r="X159" s="44" t="inlineStr">
        <is>
          <t>Status không phụ thuộc vào assignment</t>
        </is>
      </c>
    </row>
    <row r="160" ht="80" customHeight="1">
      <c r="A160" s="41" t="inlineStr">
        <is>
          <t>TC-157</t>
        </is>
      </c>
      <c r="B160" s="55" t="inlineStr">
        <is>
          <t>REGRESSION</t>
        </is>
      </c>
      <c r="C160" s="45" t="inlineStr">
        <is>
          <t>P1</t>
        </is>
      </c>
      <c r="D160" s="44" t="inlineStr">
        <is>
          <t>Regression</t>
        </is>
      </c>
      <c r="E160" s="44" t="inlineStr">
        <is>
          <t>REGRESSION — PATCH /assign (phân công đội) không xóa petition_assignments đã có</t>
        </is>
      </c>
      <c r="F160" s="41" t="inlineStr">
        <is>
          <t>REQ-PA-REG</t>
        </is>
      </c>
      <c r="G160" s="41" t="inlineStr">
        <is>
          <t>Regression</t>
        </is>
      </c>
      <c r="H160" s="41" t="inlineStr">
        <is>
          <t>Cao</t>
        </is>
      </c>
      <c r="I160" s="44" t="inlineStr">
        <is>
          <t>Petition có 2 assignments + assignedTeamId=team-A</t>
        </is>
      </c>
      <c r="J160" s="44" t="inlineStr">
        <is>
          <t>1. PATCH /assign {team-B, expectedUpdatedAt}
2. GET /assignments → verify vẫn còn 2</t>
        </is>
      </c>
      <c r="K160" s="44" t="inlineStr">
        <is>
          <t>petition.with_2_assignments.D7</t>
        </is>
      </c>
      <c r="L160" s="44" t="inlineStr">
        <is>
          <t>petition.with_2_assignments.D7</t>
        </is>
      </c>
      <c r="M160" s="44" t="inlineStr">
        <is>
          <t>-</t>
        </is>
      </c>
      <c r="N160" s="44" t="inlineStr">
        <is>
          <t>GET /assignments vẫn trả về 2 items</t>
        </is>
      </c>
      <c r="O160" s="44" t="inlineStr">
        <is>
          <t>petition_assignments không thay đổi</t>
        </is>
      </c>
      <c r="P160" s="41" t="inlineStr">
        <is>
          <t>Critical</t>
        </is>
      </c>
      <c r="Q160" s="44" t="inlineStr"/>
      <c r="R160" s="41" t="inlineStr"/>
      <c r="S160" s="41" t="inlineStr"/>
      <c r="T160" s="41" t="inlineStr"/>
      <c r="U160" s="41" t="inlineStr"/>
      <c r="V160" s="44" t="inlineStr"/>
      <c r="W160" s="41" t="inlineStr"/>
      <c r="X160" s="44" t="inlineStr">
        <is>
          <t>PATCH /assign chỉ update petition.assignedTeamId/assignedToId</t>
        </is>
      </c>
    </row>
    <row r="161" ht="80" customHeight="1">
      <c r="A161" s="41" t="inlineStr">
        <is>
          <t>TC-158</t>
        </is>
      </c>
      <c r="B161" s="56" t="inlineStr">
        <is>
          <t>EDGE</t>
        </is>
      </c>
      <c r="C161" s="47" t="inlineStr">
        <is>
          <t>P2</t>
        </is>
      </c>
      <c r="D161" s="44" t="inlineStr">
        <is>
          <t>EDGE</t>
        </is>
      </c>
      <c r="E161" s="44" t="inlineStr">
        <is>
          <t>EDGE — GET /assignments sau khi petition bị hard-deleted → 404 hoặc []</t>
        </is>
      </c>
      <c r="F161" s="41" t="inlineStr">
        <is>
          <t>REQ-PA-EDGE</t>
        </is>
      </c>
      <c r="G161" s="41" t="inlineStr">
        <is>
          <t>Edge / Cascade</t>
        </is>
      </c>
      <c r="H161" s="41" t="inlineStr">
        <is>
          <t>TB</t>
        </is>
      </c>
      <c r="I161" s="44" t="inlineStr">
        <is>
          <t>Petition hard-deleted (cascade)</t>
        </is>
      </c>
      <c r="J161" s="44" t="inlineStr">
        <is>
          <t>GET /petitions/hard-deleted-id/assignments</t>
        </is>
      </c>
      <c r="K161" s="44" t="inlineStr">
        <is>
          <t>petition.hard_deleted.D0</t>
        </is>
      </c>
      <c r="L161" s="44" t="inlineStr">
        <is>
          <t>petition.hard_deleted.D0</t>
        </is>
      </c>
      <c r="M161" s="44" t="inlineStr">
        <is>
          <t>-</t>
        </is>
      </c>
      <c r="N161" s="44" t="inlineStr">
        <is>
          <t>HTTP 404 (petition findFirst → null)</t>
        </is>
      </c>
      <c r="O161" s="44" t="inlineStr">
        <is>
          <t>-</t>
        </is>
      </c>
      <c r="P161" s="41" t="inlineStr">
        <is>
          <t>Medium</t>
        </is>
      </c>
      <c r="Q161" s="44" t="inlineStr"/>
      <c r="R161" s="41" t="inlineStr"/>
      <c r="S161" s="41" t="inlineStr"/>
      <c r="T161" s="41" t="inlineStr"/>
      <c r="U161" s="41" t="inlineStr"/>
      <c r="V161" s="44" t="inlineStr"/>
      <c r="W161" s="41" t="inlineStr"/>
      <c r="X161" s="44" t="inlineStr">
        <is>
          <t>Hard delete ≠ soft delete</t>
        </is>
      </c>
    </row>
    <row r="162" ht="80" customHeight="1">
      <c r="A162" s="41" t="inlineStr">
        <is>
          <t>TC-159</t>
        </is>
      </c>
      <c r="B162" s="56" t="inlineStr">
        <is>
          <t>EDGE</t>
        </is>
      </c>
      <c r="C162" s="47" t="inlineStr">
        <is>
          <t>P2</t>
        </is>
      </c>
      <c r="D162" s="44" t="inlineStr">
        <is>
          <t>EDGE</t>
        </is>
      </c>
      <c r="E162" s="44" t="inlineStr">
        <is>
          <t>EDGE — Petition có assignment nhưng user đã bị soft-deleted → assignment vẫn còn</t>
        </is>
      </c>
      <c r="F162" s="41" t="inlineStr">
        <is>
          <t>REQ-PA-EDGE</t>
        </is>
      </c>
      <c r="G162" s="41" t="inlineStr">
        <is>
          <t>Edge / Orphan</t>
        </is>
      </c>
      <c r="H162" s="41" t="inlineStr">
        <is>
          <t>TB</t>
        </is>
      </c>
      <c r="I162" s="44" t="inlineStr">
        <is>
          <t>user-1 soft-deleted, assignment vẫn còn</t>
        </is>
      </c>
      <c r="J162" s="44" t="inlineStr">
        <is>
          <t>GET /assignments</t>
        </is>
      </c>
      <c r="K162" s="44" t="inlineStr">
        <is>
          <t>petition.with_softdeleted_user_assignment.D7</t>
        </is>
      </c>
      <c r="L162" s="44" t="inlineStr">
        <is>
          <t>petition.with_softdeleted_user_assignment.D7</t>
        </is>
      </c>
      <c r="M162" s="44" t="inlineStr">
        <is>
          <t>user-1 vẫn hiển thị trong list (dữ liệu cũ)</t>
        </is>
      </c>
      <c r="N162" s="44" t="inlineStr">
        <is>
          <t>HTTP 200, item.user.username hiển thị (nếu user soft-delete không cascade)</t>
        </is>
      </c>
      <c r="O162" s="44" t="inlineStr">
        <is>
          <t>-</t>
        </is>
      </c>
      <c r="P162" s="41" t="inlineStr">
        <is>
          <t>Medium</t>
        </is>
      </c>
      <c r="Q162" s="44" t="inlineStr"/>
      <c r="R162" s="41" t="inlineStr"/>
      <c r="S162" s="41" t="inlineStr"/>
      <c r="T162" s="41" t="inlineStr"/>
      <c r="U162" s="41" t="inlineStr"/>
      <c r="V162" s="44" t="inlineStr"/>
      <c r="W162" s="41" t="inlineStr"/>
      <c r="X162" s="44" t="inlineStr">
        <is>
          <t>Soft-delete của User không cascade assignment</t>
        </is>
      </c>
    </row>
    <row r="163" ht="80" customHeight="1">
      <c r="A163" s="41" t="inlineStr">
        <is>
          <t>TC-160</t>
        </is>
      </c>
      <c r="B163" s="56" t="inlineStr">
        <is>
          <t>EDGE</t>
        </is>
      </c>
      <c r="C163" s="47" t="inlineStr">
        <is>
          <t>P2</t>
        </is>
      </c>
      <c r="D163" s="44" t="inlineStr">
        <is>
          <t>EDGE</t>
        </is>
      </c>
      <c r="E163" s="44" t="inlineStr">
        <is>
          <t>EDGE — Section phân công không render trong petition CREATE mode</t>
        </is>
      </c>
      <c r="F163" s="41" t="inlineStr">
        <is>
          <t>REQ-PA-EDGE</t>
        </is>
      </c>
      <c r="G163" s="41" t="inlineStr">
        <is>
          <t>Edge / Conditional render</t>
        </is>
      </c>
      <c r="H163" s="41" t="inlineStr">
        <is>
          <t>Cao</t>
        </is>
      </c>
      <c r="I163" s="44" t="inlineStr">
        <is>
          <t>-</t>
        </is>
      </c>
      <c r="J163" s="44" t="inlineStr">
        <is>
          <t>Mở /petitions/new (tạo mới)</t>
        </is>
      </c>
      <c r="K163" s="44" t="inlineStr">
        <is>
          <t>account.officer.primary</t>
        </is>
      </c>
      <c r="L163" s="44" t="inlineStr">
        <is>
          <t>account.officer.primary</t>
        </is>
      </c>
      <c r="M163" s="44" t="inlineStr">
        <is>
          <t>Section 'Phân công cán bộ' KHÔNG xuất hiện trong create form</t>
        </is>
      </c>
      <c r="N163" s="44" t="inlineStr">
        <is>
          <t>-</t>
        </is>
      </c>
      <c r="O163" s="44" t="inlineStr">
        <is>
          <t>-</t>
        </is>
      </c>
      <c r="P163" s="41" t="inlineStr">
        <is>
          <t>Critical</t>
        </is>
      </c>
      <c r="Q163" s="44" t="inlineStr"/>
      <c r="R163" s="41" t="inlineStr"/>
      <c r="S163" s="41" t="inlineStr"/>
      <c r="T163" s="41" t="inlineStr"/>
      <c r="U163" s="41" t="inlineStr"/>
      <c r="V163" s="44" t="inlineStr"/>
      <c r="W163" s="41" t="inlineStr"/>
      <c r="X163" s="44" t="inlineStr">
        <is>
          <t>Section chỉ edit mode — petitionId không có trong create</t>
        </is>
      </c>
    </row>
    <row r="164" ht="80" customHeight="1">
      <c r="A164" s="41" t="inlineStr">
        <is>
          <t>TC-161</t>
        </is>
      </c>
      <c r="B164" s="56" t="inlineStr">
        <is>
          <t>EDGE</t>
        </is>
      </c>
      <c r="C164" s="47" t="inlineStr">
        <is>
          <t>P2</t>
        </is>
      </c>
      <c r="D164" s="44" t="inlineStr">
        <is>
          <t>EDGE</t>
        </is>
      </c>
      <c r="E164" s="44" t="inlineStr">
        <is>
          <t>EDGE — Add assignment khi petition đang có concurrent edit → optimistic lock không apply (assignments độc lập)</t>
        </is>
      </c>
      <c r="F164" s="41" t="inlineStr">
        <is>
          <t>REQ-PA-EDGE</t>
        </is>
      </c>
      <c r="G164" s="41" t="inlineStr">
        <is>
          <t>Edge / Concurrency</t>
        </is>
      </c>
      <c r="H164" s="41" t="inlineStr">
        <is>
          <t>TB</t>
        </is>
      </c>
      <c r="I164" s="44" t="inlineStr">
        <is>
          <t>Petition đang bị edit bởi user khác</t>
        </is>
      </c>
      <c r="J164" s="44" t="inlineStr">
        <is>
          <t>POST /petitions/:id/assignments đồng thời với PUT /petitions/:id</t>
        </is>
      </c>
      <c r="K164" s="44" t="inlineStr">
        <is>
          <t>petition.any.D7</t>
        </is>
      </c>
      <c r="L164" s="44" t="inlineStr">
        <is>
          <t>petition.any.D7</t>
        </is>
      </c>
      <c r="M164" s="44" t="inlineStr">
        <is>
          <t>-</t>
        </is>
      </c>
      <c r="N164" s="44" t="inlineStr">
        <is>
          <t>POST /assignments vẫn HTTP 201 (không check expectedUpdatedAt)</t>
        </is>
      </c>
      <c r="O164" s="44" t="inlineStr">
        <is>
          <t>Cả 2 operations thành công độc lập</t>
        </is>
      </c>
      <c r="P164" s="41" t="inlineStr">
        <is>
          <t>Low</t>
        </is>
      </c>
      <c r="Q164" s="44" t="inlineStr"/>
      <c r="R164" s="41" t="inlineStr"/>
      <c r="S164" s="41" t="inlineStr"/>
      <c r="T164" s="41" t="inlineStr"/>
      <c r="U164" s="41" t="inlineStr"/>
      <c r="V164" s="44" t="inlineStr"/>
      <c r="W164" s="41" t="inlineStr"/>
      <c r="X164" s="44" t="inlineStr">
        <is>
          <t>Assignment không cần expectedUpdatedAt</t>
        </is>
      </c>
    </row>
    <row r="165" ht="80" customHeight="1">
      <c r="A165" s="41" t="inlineStr">
        <is>
          <t>TC-162</t>
        </is>
      </c>
      <c r="B165" s="56" t="inlineStr">
        <is>
          <t>EDGE</t>
        </is>
      </c>
      <c r="C165" s="47" t="inlineStr">
        <is>
          <t>P2</t>
        </is>
      </c>
      <c r="D165" s="44" t="inlineStr">
        <is>
          <t>EDGE</t>
        </is>
      </c>
      <c r="E165" s="44" t="inlineStr">
        <is>
          <t>EDGE — PATCH /assign với cùng team+cùng leader → idempotent, không tạo duplicate assignment</t>
        </is>
      </c>
      <c r="F165" s="41" t="inlineStr">
        <is>
          <t>REQ-PA-EDGE</t>
        </is>
      </c>
      <c r="G165" s="41" t="inlineStr">
        <is>
          <t>Edge / Idempotency</t>
        </is>
      </c>
      <c r="H165" s="41" t="inlineStr">
        <is>
          <t>TB</t>
        </is>
      </c>
      <c r="I165" s="44" t="inlineStr">
        <is>
          <t>Petition đã assign team-A với leaderA</t>
        </is>
      </c>
      <c r="J165" s="44" t="inlineStr">
        <is>
          <t>PATCH /assign lần 2 với cùng team-A, không gửi assignedToId</t>
        </is>
      </c>
      <c r="K165" s="44" t="inlineStr">
        <is>
          <t>petition.assigned_team.D7</t>
        </is>
      </c>
      <c r="L165" s="44" t="inlineStr">
        <is>
          <t>petition.assigned_team.D7</t>
        </is>
      </c>
      <c r="M165" s="44" t="inlineStr">
        <is>
          <t>-</t>
        </is>
      </c>
      <c r="N165" s="44" t="inlineStr">
        <is>
          <t>HTTP 200, không tạo thêm PetitionAssignment record</t>
        </is>
      </c>
      <c r="O165" s="44" t="inlineStr">
        <is>
          <t>petition_assignments không thay đổi</t>
        </is>
      </c>
      <c r="P165" s="41" t="inlineStr">
        <is>
          <t>Medium</t>
        </is>
      </c>
      <c r="Q165" s="44" t="inlineStr"/>
      <c r="R165" s="41" t="inlineStr"/>
      <c r="S165" s="41" t="inlineStr"/>
      <c r="T165" s="41" t="inlineStr"/>
      <c r="U165" s="41" t="inlineStr"/>
      <c r="V165" s="44" t="inlineStr"/>
      <c r="W165" s="41" t="inlineStr"/>
      <c r="X165" s="44" t="inlineStr">
        <is>
          <t>PATCH /assign ≠ POST /assignments — không tạo record</t>
        </is>
      </c>
    </row>
    <row r="166" ht="80" customHeight="1">
      <c r="A166" s="41" t="inlineStr">
        <is>
          <t>TC-163</t>
        </is>
      </c>
      <c r="B166" s="57" t="inlineStr">
        <is>
          <t>A11Y</t>
        </is>
      </c>
      <c r="C166" s="47" t="inlineStr">
        <is>
          <t>P2</t>
        </is>
      </c>
      <c r="D166" s="44" t="inlineStr">
        <is>
          <t>UI A11Y</t>
        </is>
      </c>
      <c r="E166" s="44" t="inlineStr">
        <is>
          <t>A11Y — Section có heading h2 'Phân công cán bộ' (semantic HTML)</t>
        </is>
      </c>
      <c r="F166" s="41" t="inlineStr">
        <is>
          <t>REQ-PA-A11Y</t>
        </is>
      </c>
      <c r="G166" s="41" t="inlineStr">
        <is>
          <t>WCAG 2.1 / Headings</t>
        </is>
      </c>
      <c r="H166" s="41" t="inlineStr">
        <is>
          <t>Thấp</t>
        </is>
      </c>
      <c r="I166" s="44" t="inlineStr">
        <is>
          <t>-</t>
        </is>
      </c>
      <c r="J166" s="44" t="inlineStr">
        <is>
          <t>Inspect DOM của section phân công</t>
        </is>
      </c>
      <c r="K166" s="44" t="inlineStr">
        <is>
          <t>petition.any.D7</t>
        </is>
      </c>
      <c r="L166" s="44" t="inlineStr">
        <is>
          <t>petition.any.D7</t>
        </is>
      </c>
      <c r="M166" s="44" t="inlineStr">
        <is>
          <t>Element h2 với text 'Phân công cán bộ' tồn tại, có thể đọc bởi screen reader</t>
        </is>
      </c>
      <c r="N166" s="44" t="inlineStr">
        <is>
          <t>-</t>
        </is>
      </c>
      <c r="O166" s="44" t="inlineStr">
        <is>
          <t>-</t>
        </is>
      </c>
      <c r="P166" s="41" t="inlineStr">
        <is>
          <t>Low</t>
        </is>
      </c>
      <c r="Q166" s="44" t="inlineStr"/>
      <c r="R166" s="41" t="inlineStr"/>
      <c r="S166" s="41" t="inlineStr"/>
      <c r="T166" s="41" t="inlineStr"/>
      <c r="U166" s="41" t="inlineStr"/>
      <c r="V166" s="44" t="inlineStr"/>
      <c r="W166" s="41" t="inlineStr"/>
      <c r="X166" s="44" t="inlineStr">
        <is>
          <t>WCAG 2.4.6: Headings — h2 cho section</t>
        </is>
      </c>
    </row>
    <row r="167" ht="80" customHeight="1">
      <c r="A167" s="41" t="inlineStr">
        <is>
          <t>TC-164</t>
        </is>
      </c>
      <c r="B167" s="57" t="inlineStr">
        <is>
          <t>A11Y</t>
        </is>
      </c>
      <c r="C167" s="47" t="inlineStr">
        <is>
          <t>P2</t>
        </is>
      </c>
      <c r="D167" s="44" t="inlineStr">
        <is>
          <t>UI A11Y</t>
        </is>
      </c>
      <c r="E167" s="44" t="inlineStr">
        <is>
          <t>A11Y — Select 'Cán bộ' có label liên kết đúng (for/id hoặc aria-labelledby)</t>
        </is>
      </c>
      <c r="F167" s="41" t="inlineStr">
        <is>
          <t>REQ-PA-A11Y</t>
        </is>
      </c>
      <c r="G167" s="41" t="inlineStr">
        <is>
          <t>WCAG 2.1 / Form labels</t>
        </is>
      </c>
      <c r="H167" s="41" t="inlineStr">
        <is>
          <t>Thấp</t>
        </is>
      </c>
      <c r="I167" s="44" t="inlineStr">
        <is>
          <t>-</t>
        </is>
      </c>
      <c r="J167" s="44" t="inlineStr">
        <is>
          <t>Inspect DOM: label[for] → select[id] hoặc aria-labelledby</t>
        </is>
      </c>
      <c r="K167" s="44" t="inlineStr">
        <is>
          <t>petition.any.D7</t>
        </is>
      </c>
      <c r="L167" s="44" t="inlineStr">
        <is>
          <t>petition.any.D7</t>
        </is>
      </c>
      <c r="M167" s="44" t="inlineStr">
        <is>
          <t>Screen reader đọc 'Cán bộ' khi focus vào select</t>
        </is>
      </c>
      <c r="N167" s="44" t="inlineStr">
        <is>
          <t>-</t>
        </is>
      </c>
      <c r="O167" s="44" t="inlineStr">
        <is>
          <t>-</t>
        </is>
      </c>
      <c r="P167" s="41" t="inlineStr">
        <is>
          <t>Medium</t>
        </is>
      </c>
      <c r="Q167" s="44" t="inlineStr"/>
      <c r="R167" s="41" t="inlineStr"/>
      <c r="S167" s="41" t="inlineStr"/>
      <c r="T167" s="41" t="inlineStr"/>
      <c r="U167" s="41" t="inlineStr"/>
      <c r="V167" s="44" t="inlineStr"/>
      <c r="W167" s="41" t="inlineStr"/>
      <c r="X167" s="44" t="inlineStr">
        <is>
          <t>WCAG 1.3.1: Info and Relationships</t>
        </is>
      </c>
    </row>
    <row r="168" ht="80" customHeight="1">
      <c r="A168" s="41" t="inlineStr">
        <is>
          <t>TC-165</t>
        </is>
      </c>
      <c r="B168" s="57" t="inlineStr">
        <is>
          <t>A11Y</t>
        </is>
      </c>
      <c r="C168" s="47" t="inlineStr">
        <is>
          <t>P2</t>
        </is>
      </c>
      <c r="D168" s="44" t="inlineStr">
        <is>
          <t>UI A11Y</t>
        </is>
      </c>
      <c r="E168" s="44" t="inlineStr">
        <is>
          <t>A11Y — Select 'Vai trò' có label liên kết đúng</t>
        </is>
      </c>
      <c r="F168" s="41" t="inlineStr">
        <is>
          <t>REQ-PA-A11Y</t>
        </is>
      </c>
      <c r="G168" s="41" t="inlineStr">
        <is>
          <t>WCAG 2.1 / Form labels</t>
        </is>
      </c>
      <c r="H168" s="41" t="inlineStr">
        <is>
          <t>Thấp</t>
        </is>
      </c>
      <c r="I168" s="44" t="inlineStr">
        <is>
          <t>-</t>
        </is>
      </c>
      <c r="J168" s="44" t="inlineStr">
        <is>
          <t>Inspect DOM</t>
        </is>
      </c>
      <c r="K168" s="44" t="inlineStr">
        <is>
          <t>petition.any.D7</t>
        </is>
      </c>
      <c r="L168" s="44" t="inlineStr">
        <is>
          <t>petition.any.D7</t>
        </is>
      </c>
      <c r="M168" s="44" t="inlineStr">
        <is>
          <t>Label 'Vai trò' liên kết với select data-testid=assignment-role-select</t>
        </is>
      </c>
      <c r="N168" s="44" t="inlineStr">
        <is>
          <t>-</t>
        </is>
      </c>
      <c r="O168" s="44" t="inlineStr">
        <is>
          <t>-</t>
        </is>
      </c>
      <c r="P168" s="41" t="inlineStr">
        <is>
          <t>Low</t>
        </is>
      </c>
      <c r="Q168" s="44" t="inlineStr"/>
      <c r="R168" s="41" t="inlineStr"/>
      <c r="S168" s="41" t="inlineStr"/>
      <c r="T168" s="41" t="inlineStr"/>
      <c r="U168" s="41" t="inlineStr"/>
      <c r="V168" s="44" t="inlineStr"/>
      <c r="W168" s="41" t="inlineStr"/>
      <c r="X168" s="44" t="inlineStr">
        <is>
          <t>WCAG 1.3.1</t>
        </is>
      </c>
    </row>
    <row r="169" ht="80" customHeight="1">
      <c r="A169" s="41" t="inlineStr">
        <is>
          <t>TC-166</t>
        </is>
      </c>
      <c r="B169" s="57" t="inlineStr">
        <is>
          <t>A11Y</t>
        </is>
      </c>
      <c r="C169" s="47" t="inlineStr">
        <is>
          <t>P2</t>
        </is>
      </c>
      <c r="D169" s="44" t="inlineStr">
        <is>
          <t>UI A11Y</t>
        </is>
      </c>
      <c r="E169" s="44" t="inlineStr">
        <is>
          <t>A11Y — Nút 'Thêm' có accessible name rõ ràng</t>
        </is>
      </c>
      <c r="F169" s="41" t="inlineStr">
        <is>
          <t>REQ-PA-A11Y</t>
        </is>
      </c>
      <c r="G169" s="41" t="inlineStr">
        <is>
          <t>WCAG 2.1 / Button name</t>
        </is>
      </c>
      <c r="H169" s="41" t="inlineStr">
        <is>
          <t>Thấp</t>
        </is>
      </c>
      <c r="I169" s="44" t="inlineStr">
        <is>
          <t>-</t>
        </is>
      </c>
      <c r="J169" s="44" t="inlineStr">
        <is>
          <t>Inspect button, check aria-label hoặc text content</t>
        </is>
      </c>
      <c r="K169" s="44" t="inlineStr">
        <is>
          <t>petition.any.D7</t>
        </is>
      </c>
      <c r="L169" s="44" t="inlineStr">
        <is>
          <t>petition.any.D7</t>
        </is>
      </c>
      <c r="M169" s="44" t="inlineStr">
        <is>
          <t>Screen reader đọc 'Thêm' (hoặc 'Thêm phân công'). Icon UserPlus có aria-hidden=true</t>
        </is>
      </c>
      <c r="N169" s="44" t="inlineStr">
        <is>
          <t>-</t>
        </is>
      </c>
      <c r="O169" s="44" t="inlineStr">
        <is>
          <t>-</t>
        </is>
      </c>
      <c r="P169" s="41" t="inlineStr">
        <is>
          <t>Medium</t>
        </is>
      </c>
      <c r="Q169" s="44" t="inlineStr"/>
      <c r="R169" s="41" t="inlineStr"/>
      <c r="S169" s="41" t="inlineStr"/>
      <c r="T169" s="41" t="inlineStr"/>
      <c r="U169" s="41" t="inlineStr"/>
      <c r="V169" s="44" t="inlineStr"/>
      <c r="W169" s="41" t="inlineStr"/>
      <c r="X169" s="44" t="inlineStr">
        <is>
          <t>WCAG 4.1.2: Name, Role, Value</t>
        </is>
      </c>
    </row>
    <row r="170" ht="80" customHeight="1">
      <c r="A170" s="41" t="inlineStr">
        <is>
          <t>TC-167</t>
        </is>
      </c>
      <c r="B170" s="57" t="inlineStr">
        <is>
          <t>A11Y</t>
        </is>
      </c>
      <c r="C170" s="45" t="inlineStr">
        <is>
          <t>P1</t>
        </is>
      </c>
      <c r="D170" s="44" t="inlineStr">
        <is>
          <t>UI A11Y</t>
        </is>
      </c>
      <c r="E170" s="44" t="inlineStr">
        <is>
          <t>A11Y — Nút xóa có title='Xóa phân công' để screen reader đọc</t>
        </is>
      </c>
      <c r="F170" s="41" t="inlineStr">
        <is>
          <t>REQ-PA-A11Y</t>
        </is>
      </c>
      <c r="G170" s="41" t="inlineStr">
        <is>
          <t>WCAG 2.1 / Button accessible name</t>
        </is>
      </c>
      <c r="H170" s="41" t="inlineStr">
        <is>
          <t>TB</t>
        </is>
      </c>
      <c r="I170" s="44" t="inlineStr">
        <is>
          <t>Petition có assignment</t>
        </is>
      </c>
      <c r="J170" s="44" t="inlineStr">
        <is>
          <t>Inspect delete button: kiểm tra title attr và aria</t>
        </is>
      </c>
      <c r="K170" s="44" t="inlineStr">
        <is>
          <t>petition.with_1_assignment.D7</t>
        </is>
      </c>
      <c r="L170" s="44" t="inlineStr">
        <is>
          <t>petition.with_1_assignment.D7</t>
        </is>
      </c>
      <c r="M170" s="44" t="inlineStr">
        <is>
          <t>Screen reader đọc 'Xóa phân công' khi focus vào trash button</t>
        </is>
      </c>
      <c r="N170" s="44" t="inlineStr">
        <is>
          <t>-</t>
        </is>
      </c>
      <c r="O170" s="44" t="inlineStr">
        <is>
          <t>-</t>
        </is>
      </c>
      <c r="P170" s="41" t="inlineStr">
        <is>
          <t>Medium</t>
        </is>
      </c>
      <c r="Q170" s="44" t="inlineStr"/>
      <c r="R170" s="41" t="inlineStr"/>
      <c r="S170" s="41" t="inlineStr"/>
      <c r="T170" s="41" t="inlineStr"/>
      <c r="U170" s="41" t="inlineStr"/>
      <c r="V170" s="44" t="inlineStr"/>
      <c r="W170" s="41" t="inlineStr"/>
      <c r="X170" s="44" t="inlineStr">
        <is>
          <t>title='Xóa phân công' → tooltip + SR name</t>
        </is>
      </c>
    </row>
    <row r="171" ht="80" customHeight="1">
      <c r="A171" s="41" t="inlineStr">
        <is>
          <t>TC-168</t>
        </is>
      </c>
      <c r="B171" s="57" t="inlineStr">
        <is>
          <t>A11Y</t>
        </is>
      </c>
      <c r="C171" s="47" t="inlineStr">
        <is>
          <t>P2</t>
        </is>
      </c>
      <c r="D171" s="44" t="inlineStr">
        <is>
          <t>UI A11Y</t>
        </is>
      </c>
      <c r="E171" s="44" t="inlineStr">
        <is>
          <t>A11Y — Error message có role='alert' hoặc aria-live='assertive'</t>
        </is>
      </c>
      <c r="F171" s="41" t="inlineStr">
        <is>
          <t>REQ-PA-A11Y</t>
        </is>
      </c>
      <c r="G171" s="41" t="inlineStr">
        <is>
          <t>WCAG 2.1 / Live regions</t>
        </is>
      </c>
      <c r="H171" s="41" t="inlineStr">
        <is>
          <t>TB</t>
        </is>
      </c>
      <c r="I171" s="44" t="inlineStr">
        <is>
          <t>-</t>
        </is>
      </c>
      <c r="J171" s="44" t="inlineStr">
        <is>
          <t>Trigger error → inspect p[data-testid=assignment-error]</t>
        </is>
      </c>
      <c r="K171" s="44" t="inlineStr">
        <is>
          <t>petition.new.D0</t>
        </is>
      </c>
      <c r="L171" s="44" t="inlineStr">
        <is>
          <t>petition.new.D0</t>
        </is>
      </c>
      <c r="M171" s="44" t="inlineStr">
        <is>
          <t>Screen reader thông báo lỗi ngay khi xuất hiện</t>
        </is>
      </c>
      <c r="N171" s="44" t="inlineStr">
        <is>
          <t>-</t>
        </is>
      </c>
      <c r="O171" s="44" t="inlineStr">
        <is>
          <t>-</t>
        </is>
      </c>
      <c r="P171" s="41" t="inlineStr">
        <is>
          <t>Medium</t>
        </is>
      </c>
      <c r="Q171" s="44" t="inlineStr"/>
      <c r="R171" s="41" t="inlineStr"/>
      <c r="S171" s="41" t="inlineStr"/>
      <c r="T171" s="41" t="inlineStr"/>
      <c r="U171" s="41" t="inlineStr"/>
      <c r="V171" s="44" t="inlineStr"/>
      <c r="W171" s="41" t="inlineStr"/>
      <c r="X171" s="44" t="inlineStr">
        <is>
          <t>WCAG 4.1.3: Status Messages — cần aria-live</t>
        </is>
      </c>
    </row>
    <row r="172" ht="80" customHeight="1">
      <c r="A172" s="41" t="inlineStr">
        <is>
          <t>TC-169</t>
        </is>
      </c>
      <c r="B172" s="57" t="inlineStr">
        <is>
          <t>A11Y</t>
        </is>
      </c>
      <c r="C172" s="47" t="inlineStr">
        <is>
          <t>P2</t>
        </is>
      </c>
      <c r="D172" s="44" t="inlineStr">
        <is>
          <t>UI A11Y</t>
        </is>
      </c>
      <c r="E172" s="44" t="inlineStr">
        <is>
          <t>A11Y — Tab order hợp lý: select Cán bộ → select Vai trò → nút Thêm</t>
        </is>
      </c>
      <c r="F172" s="41" t="inlineStr">
        <is>
          <t>REQ-PA-A11Y</t>
        </is>
      </c>
      <c r="G172" s="41" t="inlineStr">
        <is>
          <t>WCAG 2.1 / Focus order</t>
        </is>
      </c>
      <c r="H172" s="41" t="inlineStr">
        <is>
          <t>Thấp</t>
        </is>
      </c>
      <c r="I172" s="44" t="inlineStr">
        <is>
          <t>-</t>
        </is>
      </c>
      <c r="J172" s="44" t="inlineStr">
        <is>
          <t>Tab từ select Cán bộ</t>
        </is>
      </c>
      <c r="K172" s="44" t="inlineStr">
        <is>
          <t>petition.any.D7</t>
        </is>
      </c>
      <c r="L172" s="44" t="inlineStr">
        <is>
          <t>petition.any.D7</t>
        </is>
      </c>
      <c r="M172" s="44" t="inlineStr">
        <is>
          <t>Tab đến select Vai trò → Tab đến nút Thêm (focus order đúng)</t>
        </is>
      </c>
      <c r="N172" s="44" t="inlineStr">
        <is>
          <t>-</t>
        </is>
      </c>
      <c r="O172" s="44" t="inlineStr">
        <is>
          <t>-</t>
        </is>
      </c>
      <c r="P172" s="41" t="inlineStr">
        <is>
          <t>Low</t>
        </is>
      </c>
      <c r="Q172" s="44" t="inlineStr"/>
      <c r="R172" s="41" t="inlineStr"/>
      <c r="S172" s="41" t="inlineStr"/>
      <c r="T172" s="41" t="inlineStr"/>
      <c r="U172" s="41" t="inlineStr"/>
      <c r="V172" s="44" t="inlineStr"/>
      <c r="W172" s="41" t="inlineStr"/>
      <c r="X172" s="44" t="inlineStr">
        <is>
          <t>WCAG 2.4.3: Focus Order</t>
        </is>
      </c>
    </row>
    <row r="173" ht="80" customHeight="1">
      <c r="A173" s="41" t="inlineStr">
        <is>
          <t>TC-170</t>
        </is>
      </c>
      <c r="B173" s="57" t="inlineStr">
        <is>
          <t>A11Y</t>
        </is>
      </c>
      <c r="C173" s="47" t="inlineStr">
        <is>
          <t>P2</t>
        </is>
      </c>
      <c r="D173" s="44" t="inlineStr">
        <is>
          <t>UI A11Y</t>
        </is>
      </c>
      <c r="E173" s="44" t="inlineStr">
        <is>
          <t>A11Y — Keyboard: Enter trên nút Thêm (khi enabled) → trigger add</t>
        </is>
      </c>
      <c r="F173" s="41" t="inlineStr">
        <is>
          <t>REQ-PA-A11Y</t>
        </is>
      </c>
      <c r="G173" s="41" t="inlineStr">
        <is>
          <t>WCAG 2.1 / Keyboard</t>
        </is>
      </c>
      <c r="H173" s="41" t="inlineStr">
        <is>
          <t>Thấp</t>
        </is>
      </c>
      <c r="I173" s="44" t="inlineStr">
        <is>
          <t>Đã chọn user</t>
        </is>
      </c>
      <c r="J173" s="44" t="inlineStr">
        <is>
          <t>Focus nút Thêm, nhấn Enter</t>
        </is>
      </c>
      <c r="K173" s="44" t="inlineStr">
        <is>
          <t>petition.new.D0</t>
        </is>
      </c>
      <c r="L173" s="44" t="inlineStr">
        <is>
          <t>petition.new.D0</t>
        </is>
      </c>
      <c r="M173" s="44" t="inlineStr">
        <is>
          <t>POST /assignments được gọi, user xuất hiện trong list</t>
        </is>
      </c>
      <c r="N173" s="44" t="inlineStr">
        <is>
          <t>POST 201</t>
        </is>
      </c>
      <c r="O173" s="44" t="inlineStr">
        <is>
          <t>-</t>
        </is>
      </c>
      <c r="P173" s="41" t="inlineStr">
        <is>
          <t>Medium</t>
        </is>
      </c>
      <c r="Q173" s="44" t="inlineStr"/>
      <c r="R173" s="41" t="inlineStr"/>
      <c r="S173" s="41" t="inlineStr"/>
      <c r="T173" s="41" t="inlineStr"/>
      <c r="U173" s="41" t="inlineStr"/>
      <c r="V173" s="44" t="inlineStr"/>
      <c r="W173" s="41" t="inlineStr"/>
      <c r="X173" s="44" t="inlineStr">
        <is>
          <t>WCAG 2.1.1: Keyboard</t>
        </is>
      </c>
    </row>
    <row r="174" ht="80" customHeight="1">
      <c r="A174" s="41" t="inlineStr">
        <is>
          <t>TC-171</t>
        </is>
      </c>
      <c r="B174" s="57" t="inlineStr">
        <is>
          <t>A11Y</t>
        </is>
      </c>
      <c r="C174" s="47" t="inlineStr">
        <is>
          <t>P2</t>
        </is>
      </c>
      <c r="D174" s="44" t="inlineStr">
        <is>
          <t>UI A11Y</t>
        </is>
      </c>
      <c r="E174" s="44" t="inlineStr">
        <is>
          <t>A11Y — Loading state 'Đang thêm...' visible và accessible</t>
        </is>
      </c>
      <c r="F174" s="41" t="inlineStr">
        <is>
          <t>REQ-PA-A11Y</t>
        </is>
      </c>
      <c r="G174" s="41" t="inlineStr">
        <is>
          <t>WCAG 2.1 / State changes</t>
        </is>
      </c>
      <c r="H174" s="41" t="inlineStr">
        <is>
          <t>Thấp</t>
        </is>
      </c>
      <c r="I174" s="44" t="inlineStr">
        <is>
          <t>-</t>
        </is>
      </c>
      <c r="J174" s="44" t="inlineStr">
        <is>
          <t>Click Thêm, observe button text trong khi loading</t>
        </is>
      </c>
      <c r="K174" s="44" t="inlineStr">
        <is>
          <t>petition.new.D0</t>
        </is>
      </c>
      <c r="L174" s="44" t="inlineStr">
        <is>
          <t>petition.new.D0</t>
        </is>
      </c>
      <c r="M174" s="44" t="inlineStr">
        <is>
          <t>Button text 'Đang thêm...' visible, không chỉ dùng spinner ẩn</t>
        </is>
      </c>
      <c r="N174" s="44" t="inlineStr">
        <is>
          <t>-</t>
        </is>
      </c>
      <c r="O174" s="44" t="inlineStr">
        <is>
          <t>-</t>
        </is>
      </c>
      <c r="P174" s="41" t="inlineStr">
        <is>
          <t>Low</t>
        </is>
      </c>
      <c r="Q174" s="44" t="inlineStr"/>
      <c r="R174" s="41" t="inlineStr"/>
      <c r="S174" s="41" t="inlineStr"/>
      <c r="T174" s="41" t="inlineStr"/>
      <c r="U174" s="41" t="inlineStr"/>
      <c r="V174" s="44" t="inlineStr"/>
      <c r="W174" s="41" t="inlineStr"/>
      <c r="X174" s="44" t="inlineStr">
        <is>
          <t>WCAG 4.1.3: Status</t>
        </is>
      </c>
    </row>
    <row r="175" ht="80" customHeight="1">
      <c r="A175" s="41" t="inlineStr">
        <is>
          <t>TC-172</t>
        </is>
      </c>
      <c r="B175" s="57" t="inlineStr">
        <is>
          <t>A11Y</t>
        </is>
      </c>
      <c r="C175" s="47" t="inlineStr">
        <is>
          <t>P2</t>
        </is>
      </c>
      <c r="D175" s="44" t="inlineStr">
        <is>
          <t>UI A11Y</t>
        </is>
      </c>
      <c r="E175" s="44" t="inlineStr">
        <is>
          <t>A11Y — Color contrast badge 'Chủ trì' đủ WCAG AA (4.5:1)</t>
        </is>
      </c>
      <c r="F175" s="41" t="inlineStr">
        <is>
          <t>REQ-PA-A11Y</t>
        </is>
      </c>
      <c r="G175" s="41" t="inlineStr">
        <is>
          <t>WCAG 2.1 / Color contrast</t>
        </is>
      </c>
      <c r="H175" s="41" t="inlineStr">
        <is>
          <t>Thấp</t>
        </is>
      </c>
      <c r="I175" s="44" t="inlineStr">
        <is>
          <t>-</t>
        </is>
      </c>
      <c r="J175" s="44" t="inlineStr">
        <is>
          <t>Inspect badge LEAD: bg-blue-100 + text-blue-700 → tính contrast ratio</t>
        </is>
      </c>
      <c r="K175" s="44" t="inlineStr">
        <is>
          <t>petition.with_lead_assignment.D7</t>
        </is>
      </c>
      <c r="L175" s="44" t="inlineStr">
        <is>
          <t>petition.with_lead_assignment.D7</t>
        </is>
      </c>
      <c r="M175" s="44" t="inlineStr">
        <is>
          <t>Contrast ratio ≥ 4.5:1 (text-blue-700 #1d4ed8 on bg-blue-100 #dbeafe)</t>
        </is>
      </c>
      <c r="N175" s="44" t="inlineStr">
        <is>
          <t>-</t>
        </is>
      </c>
      <c r="O175" s="44" t="inlineStr">
        <is>
          <t>-</t>
        </is>
      </c>
      <c r="P175" s="41" t="inlineStr">
        <is>
          <t>Low</t>
        </is>
      </c>
      <c r="Q175" s="44" t="inlineStr"/>
      <c r="R175" s="41" t="inlineStr"/>
      <c r="S175" s="41" t="inlineStr"/>
      <c r="T175" s="41" t="inlineStr"/>
      <c r="U175" s="41" t="inlineStr"/>
      <c r="V175" s="44" t="inlineStr"/>
      <c r="W175" s="41" t="inlineStr"/>
      <c r="X175" s="44" t="inlineStr">
        <is>
          <t>WCAG 1.4.3: Contrast (Minimum)</t>
        </is>
      </c>
    </row>
    <row r="176" ht="80" customHeight="1">
      <c r="A176" s="41" t="inlineStr">
        <is>
          <t>TC-173</t>
        </is>
      </c>
      <c r="B176" s="57" t="inlineStr">
        <is>
          <t>A11Y</t>
        </is>
      </c>
      <c r="C176" s="47" t="inlineStr">
        <is>
          <t>P2</t>
        </is>
      </c>
      <c r="D176" s="44" t="inlineStr">
        <is>
          <t>UI A11Y</t>
        </is>
      </c>
      <c r="E176" s="44" t="inlineStr">
        <is>
          <t>A11Y — List assignments có markup ul &gt; li đúng (semantic list)</t>
        </is>
      </c>
      <c r="F176" s="41" t="inlineStr">
        <is>
          <t>REQ-PA-A11Y</t>
        </is>
      </c>
      <c r="G176" s="41" t="inlineStr">
        <is>
          <t>WCAG 2.1 / Semantic HTML</t>
        </is>
      </c>
      <c r="H176" s="41" t="inlineStr">
        <is>
          <t>Thấp</t>
        </is>
      </c>
      <c r="I176" s="44" t="inlineStr">
        <is>
          <t>Petition có 2 assignments</t>
        </is>
      </c>
      <c r="J176" s="44" t="inlineStr">
        <is>
          <t>Inspect DOM: data-testid=assignment-list</t>
        </is>
      </c>
      <c r="K176" s="44" t="inlineStr">
        <is>
          <t>petition.with_2_assignments.D7</t>
        </is>
      </c>
      <c r="L176" s="44" t="inlineStr">
        <is>
          <t>petition.with_2_assignments.D7</t>
        </is>
      </c>
      <c r="M176" s="44" t="inlineStr">
        <is>
          <t>Element ul[data-testid=assignment-list] chứa các li. Screen reader đọc '2 items'</t>
        </is>
      </c>
      <c r="N176" s="44" t="inlineStr">
        <is>
          <t>-</t>
        </is>
      </c>
      <c r="O176" s="44" t="inlineStr">
        <is>
          <t>-</t>
        </is>
      </c>
      <c r="P176" s="41" t="inlineStr">
        <is>
          <t>Low</t>
        </is>
      </c>
      <c r="Q176" s="44" t="inlineStr"/>
      <c r="R176" s="41" t="inlineStr"/>
      <c r="S176" s="41" t="inlineStr"/>
      <c r="T176" s="41" t="inlineStr"/>
      <c r="U176" s="41" t="inlineStr"/>
      <c r="V176" s="44" t="inlineStr"/>
      <c r="W176" s="41" t="inlineStr"/>
      <c r="X176" s="44" t="inlineStr">
        <is>
          <t>WCAG 1.3.1: Info and Relationships — semantic list</t>
        </is>
      </c>
    </row>
    <row r="177" ht="80" customHeight="1">
      <c r="A177" s="41" t="inlineStr">
        <is>
          <t>TC-174</t>
        </is>
      </c>
      <c r="B177" s="58" t="inlineStr">
        <is>
          <t>COMPAT</t>
        </is>
      </c>
      <c r="C177" s="47" t="inlineStr">
        <is>
          <t>P2</t>
        </is>
      </c>
      <c r="D177" s="44" t="inlineStr">
        <is>
          <t>COMPAT</t>
        </is>
      </c>
      <c r="E177" s="44" t="inlineStr">
        <is>
          <t>COMPAT — Chrome latest (131+): section render và interactions OK</t>
        </is>
      </c>
      <c r="F177" s="41" t="inlineStr">
        <is>
          <t>REQ-PA-COMPAT</t>
        </is>
      </c>
      <c r="G177" s="41" t="inlineStr">
        <is>
          <t>Browser compatibility</t>
        </is>
      </c>
      <c r="H177" s="41" t="inlineStr">
        <is>
          <t>Thấp</t>
        </is>
      </c>
      <c r="I177" s="44" t="inlineStr">
        <is>
          <t>-</t>
        </is>
      </c>
      <c r="J177" s="44" t="inlineStr">
        <is>
          <t>Mở edit page trên Chrome latest</t>
        </is>
      </c>
      <c r="K177" s="44" t="inlineStr">
        <is>
          <t>petition.with_2_assignments.D7</t>
        </is>
      </c>
      <c r="L177" s="44" t="inlineStr">
        <is>
          <t>petition.with_2_assignments.D7</t>
        </is>
      </c>
      <c r="M177" s="44" t="inlineStr">
        <is>
          <t>Section hiển thị đúng, add/remove hoạt động</t>
        </is>
      </c>
      <c r="N177" s="44" t="inlineStr">
        <is>
          <t>-</t>
        </is>
      </c>
      <c r="O177" s="44" t="inlineStr">
        <is>
          <t>-</t>
        </is>
      </c>
      <c r="P177" s="41" t="inlineStr">
        <is>
          <t>High</t>
        </is>
      </c>
      <c r="Q177" s="44" t="inlineStr"/>
      <c r="R177" s="41" t="inlineStr"/>
      <c r="S177" s="41" t="inlineStr"/>
      <c r="T177" s="41" t="inlineStr"/>
      <c r="U177" s="41" t="inlineStr"/>
      <c r="V177" s="44" t="inlineStr"/>
      <c r="W177" s="41" t="inlineStr"/>
      <c r="X177" s="44" t="inlineStr">
        <is>
          <t>Primary browser</t>
        </is>
      </c>
    </row>
    <row r="178" ht="80" customHeight="1">
      <c r="A178" s="41" t="inlineStr">
        <is>
          <t>TC-175</t>
        </is>
      </c>
      <c r="B178" s="58" t="inlineStr">
        <is>
          <t>COMPAT</t>
        </is>
      </c>
      <c r="C178" s="47" t="inlineStr">
        <is>
          <t>P2</t>
        </is>
      </c>
      <c r="D178" s="44" t="inlineStr">
        <is>
          <t>COMPAT</t>
        </is>
      </c>
      <c r="E178" s="44" t="inlineStr">
        <is>
          <t>COMPAT — Firefox latest (120+): dropdown select render đúng</t>
        </is>
      </c>
      <c r="F178" s="41" t="inlineStr">
        <is>
          <t>REQ-PA-COMPAT</t>
        </is>
      </c>
      <c r="G178" s="41" t="inlineStr">
        <is>
          <t>Browser compatibility</t>
        </is>
      </c>
      <c r="H178" s="41" t="inlineStr">
        <is>
          <t>Thấp</t>
        </is>
      </c>
      <c r="I178" s="44" t="inlineStr">
        <is>
          <t>-</t>
        </is>
      </c>
      <c r="J178" s="44" t="inlineStr">
        <is>
          <t>Mở trên Firefox, test dropdown</t>
        </is>
      </c>
      <c r="K178" s="44" t="inlineStr">
        <is>
          <t>petition.any.D7</t>
        </is>
      </c>
      <c r="L178" s="44" t="inlineStr">
        <is>
          <t>petition.any.D7</t>
        </is>
      </c>
      <c r="M178" s="44" t="inlineStr">
        <is>
          <t>Dropdown native select hiển thị options đúng</t>
        </is>
      </c>
      <c r="N178" s="44" t="inlineStr">
        <is>
          <t>-</t>
        </is>
      </c>
      <c r="O178" s="44" t="inlineStr">
        <is>
          <t>-</t>
        </is>
      </c>
      <c r="P178" s="41" t="inlineStr">
        <is>
          <t>Medium</t>
        </is>
      </c>
      <c r="Q178" s="44" t="inlineStr"/>
      <c r="R178" s="41" t="inlineStr"/>
      <c r="S178" s="41" t="inlineStr"/>
      <c r="T178" s="41" t="inlineStr"/>
      <c r="U178" s="41" t="inlineStr"/>
      <c r="V178" s="44" t="inlineStr"/>
      <c r="W178" s="41" t="inlineStr"/>
      <c r="X178" s="44" t="inlineStr">
        <is>
          <t>Firefox compat</t>
        </is>
      </c>
    </row>
    <row r="179" ht="80" customHeight="1">
      <c r="A179" s="41" t="inlineStr">
        <is>
          <t>TC-176</t>
        </is>
      </c>
      <c r="B179" s="58" t="inlineStr">
        <is>
          <t>COMPAT</t>
        </is>
      </c>
      <c r="C179" s="47" t="inlineStr">
        <is>
          <t>P2</t>
        </is>
      </c>
      <c r="D179" s="44" t="inlineStr">
        <is>
          <t>COMPAT</t>
        </is>
      </c>
      <c r="E179" s="44" t="inlineStr">
        <is>
          <t>COMPAT — Safari 17 (macOS): form elements không bị clip</t>
        </is>
      </c>
      <c r="F179" s="41" t="inlineStr">
        <is>
          <t>REQ-PA-COMPAT</t>
        </is>
      </c>
      <c r="G179" s="41" t="inlineStr">
        <is>
          <t>Browser compatibility</t>
        </is>
      </c>
      <c r="H179" s="41" t="inlineStr">
        <is>
          <t>Thấp</t>
        </is>
      </c>
      <c r="I179" s="44" t="inlineStr">
        <is>
          <t>-</t>
        </is>
      </c>
      <c r="J179" s="44" t="inlineStr">
        <is>
          <t>Mở trên Safari 17</t>
        </is>
      </c>
      <c r="K179" s="44" t="inlineStr">
        <is>
          <t>petition.any.D7</t>
        </is>
      </c>
      <c r="L179" s="44" t="inlineStr">
        <is>
          <t>petition.any.D7</t>
        </is>
      </c>
      <c r="M179" s="44" t="inlineStr">
        <is>
          <t>Select và button không bị clip, layout đúng</t>
        </is>
      </c>
      <c r="N179" s="44" t="inlineStr">
        <is>
          <t>-</t>
        </is>
      </c>
      <c r="O179" s="44" t="inlineStr">
        <is>
          <t>-</t>
        </is>
      </c>
      <c r="P179" s="41" t="inlineStr">
        <is>
          <t>Medium</t>
        </is>
      </c>
      <c r="Q179" s="44" t="inlineStr"/>
      <c r="R179" s="41" t="inlineStr"/>
      <c r="S179" s="41" t="inlineStr"/>
      <c r="T179" s="41" t="inlineStr"/>
      <c r="U179" s="41" t="inlineStr"/>
      <c r="V179" s="44" t="inlineStr"/>
      <c r="W179" s="41" t="inlineStr"/>
      <c r="X179" s="44" t="inlineStr">
        <is>
          <t>Safari CSS quirks</t>
        </is>
      </c>
    </row>
    <row r="180" ht="80" customHeight="1">
      <c r="A180" s="41" t="inlineStr">
        <is>
          <t>TC-177</t>
        </is>
      </c>
      <c r="B180" s="58" t="inlineStr">
        <is>
          <t>COMPAT</t>
        </is>
      </c>
      <c r="C180" s="47" t="inlineStr">
        <is>
          <t>P2</t>
        </is>
      </c>
      <c r="D180" s="44" t="inlineStr">
        <is>
          <t>COMPAT</t>
        </is>
      </c>
      <c r="E180" s="44" t="inlineStr">
        <is>
          <t>COMPAT — Edge latest: badges render đúng màu</t>
        </is>
      </c>
      <c r="F180" s="41" t="inlineStr">
        <is>
          <t>REQ-PA-COMPAT</t>
        </is>
      </c>
      <c r="G180" s="41" t="inlineStr">
        <is>
          <t>Browser compatibility</t>
        </is>
      </c>
      <c r="H180" s="41" t="inlineStr">
        <is>
          <t>Thấp</t>
        </is>
      </c>
      <c r="I180" s="44" t="inlineStr">
        <is>
          <t>-</t>
        </is>
      </c>
      <c r="J180" s="44" t="inlineStr">
        <is>
          <t>Mở trên Edge latest</t>
        </is>
      </c>
      <c r="K180" s="44" t="inlineStr">
        <is>
          <t>petition.with_2_assignments.D7</t>
        </is>
      </c>
      <c r="L180" s="44" t="inlineStr">
        <is>
          <t>petition.with_2_assignments.D7</t>
        </is>
      </c>
      <c r="M180" s="44" t="inlineStr">
        <is>
          <t>Badge LEAD xanh, SUPPORT xám — màu đúng</t>
        </is>
      </c>
      <c r="N180" s="44" t="inlineStr">
        <is>
          <t>-</t>
        </is>
      </c>
      <c r="O180" s="44" t="inlineStr">
        <is>
          <t>-</t>
        </is>
      </c>
      <c r="P180" s="41" t="inlineStr">
        <is>
          <t>Low</t>
        </is>
      </c>
      <c r="Q180" s="44" t="inlineStr"/>
      <c r="R180" s="41" t="inlineStr"/>
      <c r="S180" s="41" t="inlineStr"/>
      <c r="T180" s="41" t="inlineStr"/>
      <c r="U180" s="41" t="inlineStr"/>
      <c r="V180" s="44" t="inlineStr"/>
      <c r="W180" s="41" t="inlineStr"/>
      <c r="X180" s="44" t="inlineStr">
        <is>
          <t>Edge Chromium — same as Chrome</t>
        </is>
      </c>
    </row>
    <row r="181" ht="80" customHeight="1">
      <c r="A181" s="41" t="inlineStr">
        <is>
          <t>TC-178</t>
        </is>
      </c>
      <c r="B181" s="58" t="inlineStr">
        <is>
          <t>COMPAT</t>
        </is>
      </c>
      <c r="C181" s="47" t="inlineStr">
        <is>
          <t>P2</t>
        </is>
      </c>
      <c r="D181" s="44" t="inlineStr">
        <is>
          <t>COMPAT</t>
        </is>
      </c>
      <c r="E181" s="44" t="inlineStr">
        <is>
          <t>COMPAT — Mobile Chrome Android 12: dropdown select có thể chọn</t>
        </is>
      </c>
      <c r="F181" s="41" t="inlineStr">
        <is>
          <t>REQ-PA-COMPAT</t>
        </is>
      </c>
      <c r="G181" s="41" t="inlineStr">
        <is>
          <t>Mobile compatibility</t>
        </is>
      </c>
      <c r="H181" s="41" t="inlineStr">
        <is>
          <t>TB</t>
        </is>
      </c>
      <c r="I181" s="44" t="inlineStr">
        <is>
          <t>-</t>
        </is>
      </c>
      <c r="J181" s="44" t="inlineStr">
        <is>
          <t>Mở trên Android Chrome, tap dropdown</t>
        </is>
      </c>
      <c r="K181" s="44" t="inlineStr">
        <is>
          <t>petition.any.D7</t>
        </is>
      </c>
      <c r="L181" s="44" t="inlineStr">
        <is>
          <t>petition.any.D7</t>
        </is>
      </c>
      <c r="M181" s="44" t="inlineStr">
        <is>
          <t>Native mobile dropdown picker mở, có thể chọn option</t>
        </is>
      </c>
      <c r="N181" s="44" t="inlineStr">
        <is>
          <t>-</t>
        </is>
      </c>
      <c r="O181" s="44" t="inlineStr">
        <is>
          <t>-</t>
        </is>
      </c>
      <c r="P181" s="41" t="inlineStr">
        <is>
          <t>Medium</t>
        </is>
      </c>
      <c r="Q181" s="44" t="inlineStr"/>
      <c r="R181" s="41" t="inlineStr"/>
      <c r="S181" s="41" t="inlineStr"/>
      <c r="T181" s="41" t="inlineStr"/>
      <c r="U181" s="41" t="inlineStr"/>
      <c r="V181" s="44" t="inlineStr"/>
      <c r="W181" s="41" t="inlineStr"/>
      <c r="X181" s="44" t="inlineStr">
        <is>
          <t>Mobile touch — native select</t>
        </is>
      </c>
    </row>
    <row r="182" ht="80" customHeight="1">
      <c r="A182" s="41" t="inlineStr">
        <is>
          <t>TC-179</t>
        </is>
      </c>
      <c r="B182" s="58" t="inlineStr">
        <is>
          <t>COMPAT</t>
        </is>
      </c>
      <c r="C182" s="47" t="inlineStr">
        <is>
          <t>P2</t>
        </is>
      </c>
      <c r="D182" s="44" t="inlineStr">
        <is>
          <t>COMPAT</t>
        </is>
      </c>
      <c r="E182" s="44" t="inlineStr">
        <is>
          <t>COMPAT — Mobile Safari iOS 16: touch target nút xóa ≥ 44px</t>
        </is>
      </c>
      <c r="F182" s="41" t="inlineStr">
        <is>
          <t>REQ-PA-COMPAT</t>
        </is>
      </c>
      <c r="G182" s="41" t="inlineStr">
        <is>
          <t>Mobile / Touch target</t>
        </is>
      </c>
      <c r="H182" s="41" t="inlineStr">
        <is>
          <t>TB</t>
        </is>
      </c>
      <c r="I182" s="44" t="inlineStr">
        <is>
          <t>-</t>
        </is>
      </c>
      <c r="J182" s="44" t="inlineStr">
        <is>
          <t>Inspect computed size của trash button trên iOS</t>
        </is>
      </c>
      <c r="K182" s="44" t="inlineStr">
        <is>
          <t>petition.with_1_assignment.D7</t>
        </is>
      </c>
      <c r="L182" s="44" t="inlineStr">
        <is>
          <t>petition.with_1_assignment.D7</t>
        </is>
      </c>
      <c r="M182" s="44" t="inlineStr">
        <is>
          <t>Button touch area ≥ 44×44px (iOS HIG)</t>
        </is>
      </c>
      <c r="N182" s="44" t="inlineStr">
        <is>
          <t>-</t>
        </is>
      </c>
      <c r="O182" s="44" t="inlineStr">
        <is>
          <t>-</t>
        </is>
      </c>
      <c r="P182" s="41" t="inlineStr">
        <is>
          <t>Medium</t>
        </is>
      </c>
      <c r="Q182" s="44" t="inlineStr"/>
      <c r="R182" s="41" t="inlineStr"/>
      <c r="S182" s="41" t="inlineStr"/>
      <c r="T182" s="41" t="inlineStr"/>
      <c r="U182" s="41" t="inlineStr"/>
      <c r="V182" s="44" t="inlineStr"/>
      <c r="W182" s="41" t="inlineStr"/>
      <c r="X182" s="44" t="inlineStr">
        <is>
          <t>iOS touch target minimum</t>
        </is>
      </c>
    </row>
    <row r="183" ht="80" customHeight="1">
      <c r="A183" s="41" t="inlineStr">
        <is>
          <t>TC-180</t>
        </is>
      </c>
      <c r="B183" s="58" t="inlineStr">
        <is>
          <t>COMPAT</t>
        </is>
      </c>
      <c r="C183" s="47" t="inlineStr">
        <is>
          <t>P2</t>
        </is>
      </c>
      <c r="D183" s="44" t="inlineStr">
        <is>
          <t>COMPAT</t>
        </is>
      </c>
      <c r="E183" s="44" t="inlineStr">
        <is>
          <t>COMPAT — Viewport 375px (mobile): section không overflow ngang</t>
        </is>
      </c>
      <c r="F183" s="41" t="inlineStr">
        <is>
          <t>REQ-PA-COMPAT</t>
        </is>
      </c>
      <c r="G183" s="41" t="inlineStr">
        <is>
          <t>Responsive / Mobile first</t>
        </is>
      </c>
      <c r="H183" s="41" t="inlineStr">
        <is>
          <t>TB</t>
        </is>
      </c>
      <c r="I183" s="44" t="inlineStr">
        <is>
          <t>-</t>
        </is>
      </c>
      <c r="J183" s="44" t="inlineStr">
        <is>
          <t>Set viewport 375px, kiểm tra layout</t>
        </is>
      </c>
      <c r="K183" s="44" t="inlineStr">
        <is>
          <t>petition.any.D7</t>
        </is>
      </c>
      <c r="L183" s="44" t="inlineStr">
        <is>
          <t>petition.any.D7</t>
        </is>
      </c>
      <c r="M183" s="44" t="inlineStr">
        <is>
          <t>Không có horizontal scrollbar, flex-wrap hoạt động, form stacks vertically</t>
        </is>
      </c>
      <c r="N183" s="44" t="inlineStr">
        <is>
          <t>-</t>
        </is>
      </c>
      <c r="O183" s="44" t="inlineStr">
        <is>
          <t>-</t>
        </is>
      </c>
      <c r="P183" s="41" t="inlineStr">
        <is>
          <t>High</t>
        </is>
      </c>
      <c r="Q183" s="44" t="inlineStr"/>
      <c r="R183" s="41" t="inlineStr"/>
      <c r="S183" s="41" t="inlineStr"/>
      <c r="T183" s="41" t="inlineStr"/>
      <c r="U183" s="41" t="inlineStr"/>
      <c r="V183" s="44" t="inlineStr"/>
      <c r="W183" s="41" t="inlineStr"/>
      <c r="X183" s="44" t="inlineStr">
        <is>
          <t>flex-wrap + min-w-[200px]</t>
        </is>
      </c>
    </row>
    <row r="184" ht="80" customHeight="1">
      <c r="A184" s="41" t="inlineStr">
        <is>
          <t>TC-181</t>
        </is>
      </c>
      <c r="B184" s="58" t="inlineStr">
        <is>
          <t>COMPAT</t>
        </is>
      </c>
      <c r="C184" s="47" t="inlineStr">
        <is>
          <t>P2</t>
        </is>
      </c>
      <c r="D184" s="44" t="inlineStr">
        <is>
          <t>COMPAT</t>
        </is>
      </c>
      <c r="E184" s="44" t="inlineStr">
        <is>
          <t>COMPAT — Viewport 768px (tablet): layout 2 cột hoặc stacked OK</t>
        </is>
      </c>
      <c r="F184" s="41" t="inlineStr">
        <is>
          <t>REQ-PA-COMPAT</t>
        </is>
      </c>
      <c r="G184" s="41" t="inlineStr">
        <is>
          <t>Responsive / Tablet</t>
        </is>
      </c>
      <c r="H184" s="41" t="inlineStr">
        <is>
          <t>Thấp</t>
        </is>
      </c>
      <c r="I184" s="44" t="inlineStr">
        <is>
          <t>-</t>
        </is>
      </c>
      <c r="J184" s="44" t="inlineStr">
        <is>
          <t>Set viewport 768px</t>
        </is>
      </c>
      <c r="K184" s="44" t="inlineStr">
        <is>
          <t>petition.any.D7</t>
        </is>
      </c>
      <c r="L184" s="44" t="inlineStr">
        <is>
          <t>petition.any.D7</t>
        </is>
      </c>
      <c r="M184" s="44" t="inlineStr">
        <is>
          <t>Form hàng đơn hoặc xuống hàng — không overflow</t>
        </is>
      </c>
      <c r="N184" s="44" t="inlineStr">
        <is>
          <t>-</t>
        </is>
      </c>
      <c r="O184" s="44" t="inlineStr">
        <is>
          <t>-</t>
        </is>
      </c>
      <c r="P184" s="41" t="inlineStr">
        <is>
          <t>Low</t>
        </is>
      </c>
      <c r="Q184" s="44" t="inlineStr"/>
      <c r="R184" s="41" t="inlineStr"/>
      <c r="S184" s="41" t="inlineStr"/>
      <c r="T184" s="41" t="inlineStr"/>
      <c r="U184" s="41" t="inlineStr"/>
      <c r="V184" s="44" t="inlineStr"/>
      <c r="W184" s="41" t="inlineStr"/>
      <c r="X184" s="44" t="inlineStr">
        <is>
          <t>Tablet viewport</t>
        </is>
      </c>
    </row>
    <row r="185" ht="80" customHeight="1">
      <c r="A185" s="41" t="inlineStr">
        <is>
          <t>TC-182</t>
        </is>
      </c>
      <c r="B185" s="58" t="inlineStr">
        <is>
          <t>COMPAT</t>
        </is>
      </c>
      <c r="C185" s="47" t="inlineStr">
        <is>
          <t>P2</t>
        </is>
      </c>
      <c r="D185" s="44" t="inlineStr">
        <is>
          <t>COMPAT</t>
        </is>
      </c>
      <c r="E185" s="44" t="inlineStr">
        <is>
          <t>COMPAT — Viewport 1920px: section không quá rộng, centered</t>
        </is>
      </c>
      <c r="F185" s="41" t="inlineStr">
        <is>
          <t>REQ-PA-COMPAT</t>
        </is>
      </c>
      <c r="G185" s="41" t="inlineStr">
        <is>
          <t>Responsive / Large screen</t>
        </is>
      </c>
      <c r="H185" s="41" t="inlineStr">
        <is>
          <t>Thấp</t>
        </is>
      </c>
      <c r="I185" s="44" t="inlineStr">
        <is>
          <t>-</t>
        </is>
      </c>
      <c r="J185" s="44" t="inlineStr">
        <is>
          <t>Set viewport 1920px</t>
        </is>
      </c>
      <c r="K185" s="44" t="inlineStr">
        <is>
          <t>petition.any.D7</t>
        </is>
      </c>
      <c r="L185" s="44" t="inlineStr">
        <is>
          <t>petition.any.D7</t>
        </is>
      </c>
      <c r="M185" s="44" t="inlineStr">
        <is>
          <t>Không bị kéo căng tới 1920px — max-width container giữ layout đẹp</t>
        </is>
      </c>
      <c r="N185" s="44" t="inlineStr">
        <is>
          <t>-</t>
        </is>
      </c>
      <c r="O185" s="44" t="inlineStr">
        <is>
          <t>-</t>
        </is>
      </c>
      <c r="P185" s="41" t="inlineStr">
        <is>
          <t>Low</t>
        </is>
      </c>
      <c r="Q185" s="44" t="inlineStr"/>
      <c r="R185" s="41" t="inlineStr"/>
      <c r="S185" s="41" t="inlineStr"/>
      <c r="T185" s="41" t="inlineStr"/>
      <c r="U185" s="41" t="inlineStr"/>
      <c r="V185" s="44" t="inlineStr"/>
      <c r="W185" s="41" t="inlineStr"/>
      <c r="X185" s="44" t="inlineStr">
        <is>
          <t>Wide screen layout</t>
        </is>
      </c>
    </row>
    <row r="186" ht="80" customHeight="1">
      <c r="A186" s="41" t="inlineStr">
        <is>
          <t>TC-183</t>
        </is>
      </c>
      <c r="B186" s="58" t="inlineStr">
        <is>
          <t>COMPAT</t>
        </is>
      </c>
      <c r="C186" s="47" t="inlineStr">
        <is>
          <t>P2</t>
        </is>
      </c>
      <c r="D186" s="44" t="inlineStr">
        <is>
          <t>COMPAT</t>
        </is>
      </c>
      <c r="E186" s="44" t="inlineStr">
        <is>
          <t>COMPAT — Windows 11 + Chrome: font Vietnamese render đúng dấu</t>
        </is>
      </c>
      <c r="F186" s="41" t="inlineStr">
        <is>
          <t>REQ-PA-COMPAT</t>
        </is>
      </c>
      <c r="G186" s="41" t="inlineStr">
        <is>
          <t>OS / Font rendering</t>
        </is>
      </c>
      <c r="H186" s="41" t="inlineStr">
        <is>
          <t>Thấp</t>
        </is>
      </c>
      <c r="I186" s="44" t="inlineStr">
        <is>
          <t>-</t>
        </is>
      </c>
      <c r="J186" s="44" t="inlineStr">
        <is>
          <t>Trên Windows 11 Chrome, hiển thị tên Vietnamese trong list</t>
        </is>
      </c>
      <c r="K186" s="44" t="inlineStr">
        <is>
          <t>petition.with_vietnamese_user.D7</t>
        </is>
      </c>
      <c r="L186" s="44" t="inlineStr">
        <is>
          <t>petition.with_vietnamese_user.D7</t>
        </is>
      </c>
      <c r="M186" s="44" t="inlineStr">
        <is>
          <t>Tên 'Nguyễn Văn Đức' hiển thị đúng tất cả dấu</t>
        </is>
      </c>
      <c r="N186" s="44" t="inlineStr">
        <is>
          <t>-</t>
        </is>
      </c>
      <c r="O186" s="44" t="inlineStr">
        <is>
          <t>-</t>
        </is>
      </c>
      <c r="P186" s="41" t="inlineStr">
        <is>
          <t>Low</t>
        </is>
      </c>
      <c r="Q186" s="44" t="inlineStr"/>
      <c r="R186" s="41" t="inlineStr"/>
      <c r="S186" s="41" t="inlineStr"/>
      <c r="T186" s="41" t="inlineStr"/>
      <c r="U186" s="41" t="inlineStr"/>
      <c r="V186" s="44" t="inlineStr"/>
      <c r="W186" s="41" t="inlineStr"/>
      <c r="X186" s="44" t="inlineStr">
        <is>
          <t>Windows font rendering</t>
        </is>
      </c>
    </row>
    <row r="187" ht="80" customHeight="1">
      <c r="A187" s="41" t="inlineStr">
        <is>
          <t>TC-184</t>
        </is>
      </c>
      <c r="B187" s="58" t="inlineStr">
        <is>
          <t>COMPAT</t>
        </is>
      </c>
      <c r="C187" s="47" t="inlineStr">
        <is>
          <t>P2</t>
        </is>
      </c>
      <c r="D187" s="44" t="inlineStr">
        <is>
          <t>COMPAT</t>
        </is>
      </c>
      <c r="E187" s="44" t="inlineStr">
        <is>
          <t>COMPAT — MacOS Safari: hover effects (hover:bg-red-50) hoạt động</t>
        </is>
      </c>
      <c r="F187" s="41" t="inlineStr">
        <is>
          <t>REQ-PA-COMPAT</t>
        </is>
      </c>
      <c r="G187" s="41" t="inlineStr">
        <is>
          <t>OS / CSS hover</t>
        </is>
      </c>
      <c r="H187" s="41" t="inlineStr">
        <is>
          <t>Thấp</t>
        </is>
      </c>
      <c r="I187" s="44" t="inlineStr">
        <is>
          <t>-</t>
        </is>
      </c>
      <c r="J187" s="44" t="inlineStr">
        <is>
          <t>Hover vào trash button trên macOS Safari</t>
        </is>
      </c>
      <c r="K187" s="44" t="inlineStr">
        <is>
          <t>petition.with_1_assignment.D7</t>
        </is>
      </c>
      <c r="L187" s="44" t="inlineStr">
        <is>
          <t>petition.with_1_assignment.D7</t>
        </is>
      </c>
      <c r="M187" s="44" t="inlineStr">
        <is>
          <t>Background đổi thành nhạt đỏ khi hover</t>
        </is>
      </c>
      <c r="N187" s="44" t="inlineStr">
        <is>
          <t>-</t>
        </is>
      </c>
      <c r="O187" s="44" t="inlineStr">
        <is>
          <t>-</t>
        </is>
      </c>
      <c r="P187" s="41" t="inlineStr">
        <is>
          <t>Low</t>
        </is>
      </c>
      <c r="Q187" s="44" t="inlineStr"/>
      <c r="R187" s="41" t="inlineStr"/>
      <c r="S187" s="41" t="inlineStr"/>
      <c r="T187" s="41" t="inlineStr"/>
      <c r="U187" s="41" t="inlineStr"/>
      <c r="V187" s="44" t="inlineStr"/>
      <c r="W187" s="41" t="inlineStr"/>
      <c r="X187" s="44" t="inlineStr">
        <is>
          <t>Safari hover CSS</t>
        </is>
      </c>
    </row>
    <row r="188" ht="80" customHeight="1">
      <c r="A188" s="41" t="inlineStr">
        <is>
          <t>TC-185</t>
        </is>
      </c>
      <c r="B188" s="59" t="inlineStr">
        <is>
          <t>PERFORMANCE</t>
        </is>
      </c>
      <c r="C188" s="45" t="inlineStr">
        <is>
          <t>P1</t>
        </is>
      </c>
      <c r="D188" s="44" t="inlineStr">
        <is>
          <t>PERFORMANCE</t>
        </is>
      </c>
      <c r="E188" s="44" t="inlineStr">
        <is>
          <t>PERF — GET /assignments với 1 item &lt; 100ms</t>
        </is>
      </c>
      <c r="F188" s="41" t="inlineStr">
        <is>
          <t>REQ-PA-PERF</t>
        </is>
      </c>
      <c r="G188" s="41" t="inlineStr">
        <is>
          <t>Performance / Response time</t>
        </is>
      </c>
      <c r="H188" s="41" t="inlineStr">
        <is>
          <t>TB</t>
        </is>
      </c>
      <c r="I188" s="44" t="inlineStr">
        <is>
          <t>1 assignment trong DB</t>
        </is>
      </c>
      <c r="J188" s="44" t="inlineStr">
        <is>
          <t>GET /assignments, measure response time</t>
        </is>
      </c>
      <c r="K188" s="44" t="inlineStr">
        <is>
          <t>petition.with_1_assignment.D7</t>
        </is>
      </c>
      <c r="L188" s="44" t="inlineStr">
        <is>
          <t>petition.with_1_assignment.D7</t>
        </is>
      </c>
      <c r="M188" s="44" t="inlineStr">
        <is>
          <t>-</t>
        </is>
      </c>
      <c r="N188" s="44" t="inlineStr">
        <is>
          <t>HTTP 200, response time &lt; 100ms (p95)</t>
        </is>
      </c>
      <c r="O188" s="44" t="inlineStr">
        <is>
          <t>-</t>
        </is>
      </c>
      <c r="P188" s="41" t="inlineStr">
        <is>
          <t>Medium</t>
        </is>
      </c>
      <c r="Q188" s="44" t="inlineStr"/>
      <c r="R188" s="41" t="inlineStr"/>
      <c r="S188" s="41" t="inlineStr"/>
      <c r="T188" s="41" t="inlineStr"/>
      <c r="U188" s="41" t="inlineStr"/>
      <c r="V188" s="44" t="inlineStr"/>
      <c r="W188" s="41" t="inlineStr"/>
      <c r="X188" s="44" t="inlineStr">
        <is>
          <t>Baseline performance</t>
        </is>
      </c>
    </row>
    <row r="189" ht="80" customHeight="1">
      <c r="A189" s="41" t="inlineStr">
        <is>
          <t>TC-186</t>
        </is>
      </c>
      <c r="B189" s="59" t="inlineStr">
        <is>
          <t>PERFORMANCE</t>
        </is>
      </c>
      <c r="C189" s="45" t="inlineStr">
        <is>
          <t>P1</t>
        </is>
      </c>
      <c r="D189" s="44" t="inlineStr">
        <is>
          <t>PERFORMANCE</t>
        </is>
      </c>
      <c r="E189" s="44" t="inlineStr">
        <is>
          <t>PERF — GET /assignments với 50 items &lt; 500ms</t>
        </is>
      </c>
      <c r="F189" s="41" t="inlineStr">
        <is>
          <t>REQ-PA-PERF</t>
        </is>
      </c>
      <c r="G189" s="41" t="inlineStr">
        <is>
          <t>Performance / Response time</t>
        </is>
      </c>
      <c r="H189" s="41" t="inlineStr">
        <is>
          <t>TB</t>
        </is>
      </c>
      <c r="I189" s="44" t="inlineStr">
        <is>
          <t>50 assignments trong DB</t>
        </is>
      </c>
      <c r="J189" s="44" t="inlineStr">
        <is>
          <t>GET /assignments, measure response time</t>
        </is>
      </c>
      <c r="K189" s="44" t="inlineStr">
        <is>
          <t>petition.with_50_assignments.D30</t>
        </is>
      </c>
      <c r="L189" s="44" t="inlineStr">
        <is>
          <t>petition.with_50_assignments.D30</t>
        </is>
      </c>
      <c r="M189" s="44" t="inlineStr">
        <is>
          <t>-</t>
        </is>
      </c>
      <c r="N189" s="44" t="inlineStr">
        <is>
          <t>HTTP 200, response time &lt; 500ms (p95)</t>
        </is>
      </c>
      <c r="O189" s="44" t="inlineStr">
        <is>
          <t>-</t>
        </is>
      </c>
      <c r="P189" s="41" t="inlineStr">
        <is>
          <t>Medium</t>
        </is>
      </c>
      <c r="Q189" s="44" t="inlineStr"/>
      <c r="R189" s="41" t="inlineStr"/>
      <c r="S189" s="41" t="inlineStr"/>
      <c r="T189" s="41" t="inlineStr"/>
      <c r="U189" s="41" t="inlineStr"/>
      <c r="V189" s="44" t="inlineStr"/>
      <c r="W189" s="41" t="inlineStr"/>
      <c r="X189" s="44" t="inlineStr">
        <is>
          <t>List performance</t>
        </is>
      </c>
    </row>
    <row r="190" ht="80" customHeight="1">
      <c r="A190" s="41" t="inlineStr">
        <is>
          <t>TC-187</t>
        </is>
      </c>
      <c r="B190" s="59" t="inlineStr">
        <is>
          <t>PERFORMANCE</t>
        </is>
      </c>
      <c r="C190" s="45" t="inlineStr">
        <is>
          <t>P1</t>
        </is>
      </c>
      <c r="D190" s="44" t="inlineStr">
        <is>
          <t>PERFORMANCE</t>
        </is>
      </c>
      <c r="E190" s="44" t="inlineStr">
        <is>
          <t>PERF — POST /assignments &lt; 200ms</t>
        </is>
      </c>
      <c r="F190" s="41" t="inlineStr">
        <is>
          <t>REQ-PA-PERF</t>
        </is>
      </c>
      <c r="G190" s="41" t="inlineStr">
        <is>
          <t>Performance / Response time</t>
        </is>
      </c>
      <c r="H190" s="41" t="inlineStr">
        <is>
          <t>TB</t>
        </is>
      </c>
      <c r="I190" s="44" t="inlineStr">
        <is>
          <t>-</t>
        </is>
      </c>
      <c r="J190" s="44" t="inlineStr">
        <is>
          <t>POST {userId, role}, measure time</t>
        </is>
      </c>
      <c r="K190" s="44" t="inlineStr">
        <is>
          <t>petition.new.D0</t>
        </is>
      </c>
      <c r="L190" s="44" t="inlineStr">
        <is>
          <t>petition.new.D0</t>
        </is>
      </c>
      <c r="M190" s="44" t="inlineStr">
        <is>
          <t>-</t>
        </is>
      </c>
      <c r="N190" s="44" t="inlineStr">
        <is>
          <t>HTTP 201, response time &lt; 200ms</t>
        </is>
      </c>
      <c r="O190" s="44" t="inlineStr">
        <is>
          <t>-</t>
        </is>
      </c>
      <c r="P190" s="41" t="inlineStr">
        <is>
          <t>Medium</t>
        </is>
      </c>
      <c r="Q190" s="44" t="inlineStr"/>
      <c r="R190" s="41" t="inlineStr"/>
      <c r="S190" s="41" t="inlineStr"/>
      <c r="T190" s="41" t="inlineStr"/>
      <c r="U190" s="41" t="inlineStr"/>
      <c r="V190" s="44" t="inlineStr"/>
      <c r="W190" s="41" t="inlineStr"/>
      <c r="X190" s="44" t="inlineStr">
        <is>
          <t>Create performance</t>
        </is>
      </c>
    </row>
    <row r="191" ht="80" customHeight="1">
      <c r="A191" s="41" t="inlineStr">
        <is>
          <t>TC-188</t>
        </is>
      </c>
      <c r="B191" s="59" t="inlineStr">
        <is>
          <t>PERFORMANCE</t>
        </is>
      </c>
      <c r="C191" s="45" t="inlineStr">
        <is>
          <t>P1</t>
        </is>
      </c>
      <c r="D191" s="44" t="inlineStr">
        <is>
          <t>PERFORMANCE</t>
        </is>
      </c>
      <c r="E191" s="44" t="inlineStr">
        <is>
          <t>PERF — DELETE /assignments &lt; 200ms</t>
        </is>
      </c>
      <c r="F191" s="41" t="inlineStr">
        <is>
          <t>REQ-PA-PERF</t>
        </is>
      </c>
      <c r="G191" s="41" t="inlineStr">
        <is>
          <t>Performance / Response time</t>
        </is>
      </c>
      <c r="H191" s="41" t="inlineStr">
        <is>
          <t>TB</t>
        </is>
      </c>
      <c r="I191" s="44" t="inlineStr">
        <is>
          <t>1 assignment</t>
        </is>
      </c>
      <c r="J191" s="44" t="inlineStr">
        <is>
          <t>DELETE, measure time</t>
        </is>
      </c>
      <c r="K191" s="44" t="inlineStr">
        <is>
          <t>petition.with_1_assignment.D7</t>
        </is>
      </c>
      <c r="L191" s="44" t="inlineStr">
        <is>
          <t>petition.with_1_assignment.D7</t>
        </is>
      </c>
      <c r="M191" s="44" t="inlineStr">
        <is>
          <t>-</t>
        </is>
      </c>
      <c r="N191" s="44" t="inlineStr">
        <is>
          <t>HTTP 200, response time &lt; 200ms</t>
        </is>
      </c>
      <c r="O191" s="44" t="inlineStr">
        <is>
          <t>-</t>
        </is>
      </c>
      <c r="P191" s="41" t="inlineStr">
        <is>
          <t>Medium</t>
        </is>
      </c>
      <c r="Q191" s="44" t="inlineStr"/>
      <c r="R191" s="41" t="inlineStr"/>
      <c r="S191" s="41" t="inlineStr"/>
      <c r="T191" s="41" t="inlineStr"/>
      <c r="U191" s="41" t="inlineStr"/>
      <c r="V191" s="44" t="inlineStr"/>
      <c r="W191" s="41" t="inlineStr"/>
      <c r="X191" s="44" t="inlineStr">
        <is>
          <t>Delete performance</t>
        </is>
      </c>
    </row>
    <row r="192" ht="80" customHeight="1">
      <c r="A192" s="41" t="inlineStr">
        <is>
          <t>TC-189</t>
        </is>
      </c>
      <c r="B192" s="59" t="inlineStr">
        <is>
          <t>PERFORMANCE</t>
        </is>
      </c>
      <c r="C192" s="47" t="inlineStr">
        <is>
          <t>P2</t>
        </is>
      </c>
      <c r="D192" s="44" t="inlineStr">
        <is>
          <t>PERFORMANCE</t>
        </is>
      </c>
      <c r="E192" s="44" t="inlineStr">
        <is>
          <t>PERF — UI load section với 20 assignments render &lt; 1s</t>
        </is>
      </c>
      <c r="F192" s="41" t="inlineStr">
        <is>
          <t>REQ-PA-PERF</t>
        </is>
      </c>
      <c r="G192" s="41" t="inlineStr">
        <is>
          <t>Performance / UI render</t>
        </is>
      </c>
      <c r="H192" s="41" t="inlineStr">
        <is>
          <t>TB</t>
        </is>
      </c>
      <c r="I192" s="44" t="inlineStr">
        <is>
          <t>20 assignments</t>
        </is>
      </c>
      <c r="J192" s="44" t="inlineStr">
        <is>
          <t>Mở edit page, measure Time-to-Interactive</t>
        </is>
      </c>
      <c r="K192" s="44" t="inlineStr">
        <is>
          <t>petition.with_20_assignments.D30</t>
        </is>
      </c>
      <c r="L192" s="44" t="inlineStr">
        <is>
          <t>petition.with_20_assignments.D30</t>
        </is>
      </c>
      <c r="M192" s="44" t="inlineStr">
        <is>
          <t>Section fully rendered &lt; 1s sau API response</t>
        </is>
      </c>
      <c r="N192" s="44" t="inlineStr">
        <is>
          <t>-</t>
        </is>
      </c>
      <c r="O192" s="44" t="inlineStr">
        <is>
          <t>-</t>
        </is>
      </c>
      <c r="P192" s="41" t="inlineStr">
        <is>
          <t>Low</t>
        </is>
      </c>
      <c r="Q192" s="44" t="inlineStr"/>
      <c r="R192" s="41" t="inlineStr"/>
      <c r="S192" s="41" t="inlineStr"/>
      <c r="T192" s="41" t="inlineStr"/>
      <c r="U192" s="41" t="inlineStr"/>
      <c r="V192" s="44" t="inlineStr"/>
      <c r="W192" s="41" t="inlineStr"/>
      <c r="X192" s="44" t="inlineStr">
        <is>
          <t>React rendering 20 list items</t>
        </is>
      </c>
    </row>
    <row r="193" ht="80" customHeight="1">
      <c r="A193" s="41" t="inlineStr">
        <is>
          <t>TC-190</t>
        </is>
      </c>
      <c r="B193" s="59" t="inlineStr">
        <is>
          <t>PERFORMANCE</t>
        </is>
      </c>
      <c r="C193" s="45" t="inlineStr">
        <is>
          <t>P1</t>
        </is>
      </c>
      <c r="D193" s="44" t="inlineStr">
        <is>
          <t>PERFORMANCE</t>
        </is>
      </c>
      <c r="E193" s="44" t="inlineStr">
        <is>
          <t>PERF — Concurrent 10 GET /assignments cùng 1 petition → tất cả 200</t>
        </is>
      </c>
      <c r="F193" s="41" t="inlineStr">
        <is>
          <t>REQ-PA-PERF</t>
        </is>
      </c>
      <c r="G193" s="41" t="inlineStr">
        <is>
          <t>Performance / Concurrency</t>
        </is>
      </c>
      <c r="H193" s="41" t="inlineStr">
        <is>
          <t>TB</t>
        </is>
      </c>
      <c r="I193" s="44" t="inlineStr">
        <is>
          <t>-</t>
        </is>
      </c>
      <c r="J193" s="44" t="inlineStr">
        <is>
          <t>10 GET requests đồng thời</t>
        </is>
      </c>
      <c r="K193" s="44" t="inlineStr">
        <is>
          <t>petition.with_2_assignments.D7</t>
        </is>
      </c>
      <c r="L193" s="44" t="inlineStr">
        <is>
          <t>petition.with_2_assignments.D7</t>
        </is>
      </c>
      <c r="M193" s="44" t="inlineStr">
        <is>
          <t>-</t>
        </is>
      </c>
      <c r="N193" s="44" t="inlineStr">
        <is>
          <t>10 × HTTP 200, không có 500</t>
        </is>
      </c>
      <c r="O193" s="44" t="inlineStr">
        <is>
          <t>-</t>
        </is>
      </c>
      <c r="P193" s="41" t="inlineStr">
        <is>
          <t>Medium</t>
        </is>
      </c>
      <c r="Q193" s="44" t="inlineStr"/>
      <c r="R193" s="41" t="inlineStr"/>
      <c r="S193" s="41" t="inlineStr"/>
      <c r="T193" s="41" t="inlineStr"/>
      <c r="U193" s="41" t="inlineStr"/>
      <c r="V193" s="44" t="inlineStr"/>
      <c r="W193" s="41" t="inlineStr"/>
      <c r="X193" s="44" t="inlineStr">
        <is>
          <t>Read concurrency</t>
        </is>
      </c>
    </row>
    <row r="194" ht="80" customHeight="1">
      <c r="A194" s="41" t="inlineStr">
        <is>
          <t>TC-191</t>
        </is>
      </c>
      <c r="B194" s="59" t="inlineStr">
        <is>
          <t>PERFORMANCE</t>
        </is>
      </c>
      <c r="C194" s="45" t="inlineStr">
        <is>
          <t>P1</t>
        </is>
      </c>
      <c r="D194" s="44" t="inlineStr">
        <is>
          <t>PERFORMANCE</t>
        </is>
      </c>
      <c r="E194" s="44" t="inlineStr">
        <is>
          <t>PERF — Concurrent 5 POST /assignments với userId khác nhau → tất cả 201</t>
        </is>
      </c>
      <c r="F194" s="41" t="inlineStr">
        <is>
          <t>REQ-PA-PERF</t>
        </is>
      </c>
      <c r="G194" s="41" t="inlineStr">
        <is>
          <t>Performance / Concurrency</t>
        </is>
      </c>
      <c r="H194" s="41" t="inlineStr">
        <is>
          <t>TB</t>
        </is>
      </c>
      <c r="I194" s="44" t="inlineStr">
        <is>
          <t>5 users chưa assigned</t>
        </is>
      </c>
      <c r="J194" s="44" t="inlineStr">
        <is>
          <t>5 POST requests đồng thời</t>
        </is>
      </c>
      <c r="K194" s="44" t="inlineStr">
        <is>
          <t>petition.new.D0</t>
        </is>
      </c>
      <c r="L194" s="44" t="inlineStr">
        <is>
          <t>petition.new.D0</t>
        </is>
      </c>
      <c r="M194" s="44" t="inlineStr">
        <is>
          <t>-</t>
        </is>
      </c>
      <c r="N194" s="44" t="inlineStr">
        <is>
          <t>5 × HTTP 201, không có 500</t>
        </is>
      </c>
      <c r="O194" s="44" t="inlineStr">
        <is>
          <t>5 rows trong DB</t>
        </is>
      </c>
      <c r="P194" s="41" t="inlineStr">
        <is>
          <t>High</t>
        </is>
      </c>
      <c r="Q194" s="44" t="inlineStr"/>
      <c r="R194" s="41" t="inlineStr"/>
      <c r="S194" s="41" t="inlineStr"/>
      <c r="T194" s="41" t="inlineStr"/>
      <c r="U194" s="41" t="inlineStr"/>
      <c r="V194" s="44" t="inlineStr"/>
      <c r="W194" s="41" t="inlineStr"/>
      <c r="X194" s="44" t="inlineStr">
        <is>
          <t>Write concurrency — no conflict</t>
        </is>
      </c>
    </row>
    <row r="195" ht="80" customHeight="1">
      <c r="A195" s="41" t="inlineStr">
        <is>
          <t>TC-192</t>
        </is>
      </c>
      <c r="B195" s="59" t="inlineStr">
        <is>
          <t>PERFORMANCE</t>
        </is>
      </c>
      <c r="C195" s="45" t="inlineStr">
        <is>
          <t>P1</t>
        </is>
      </c>
      <c r="D195" s="44" t="inlineStr">
        <is>
          <t>PERFORMANCE</t>
        </is>
      </c>
      <c r="E195" s="44" t="inlineStr">
        <is>
          <t>PERF — PATCH /assign với DB query tìm leader &lt; 300ms</t>
        </is>
      </c>
      <c r="F195" s="41" t="inlineStr">
        <is>
          <t>REQ-PA-PERF</t>
        </is>
      </c>
      <c r="G195" s="41" t="inlineStr">
        <is>
          <t>Performance / Response time</t>
        </is>
      </c>
      <c r="H195" s="41" t="inlineStr">
        <is>
          <t>TB</t>
        </is>
      </c>
      <c r="I195" s="44" t="inlineStr">
        <is>
          <t>Team có 10 thành viên</t>
        </is>
      </c>
      <c r="J195" s="44" t="inlineStr">
        <is>
          <t>PATCH /assign {teamId, no assignedToId}, measure time</t>
        </is>
      </c>
      <c r="K195" s="44" t="inlineStr">
        <is>
          <t>petition.unassigned.D0, team.with_10_members</t>
        </is>
      </c>
      <c r="L195" s="44" t="inlineStr">
        <is>
          <t>petition.unassigned.D0</t>
        </is>
      </c>
      <c r="M195" s="44" t="inlineStr">
        <is>
          <t>-</t>
        </is>
      </c>
      <c r="N195" s="44" t="inlineStr">
        <is>
          <t>HTTP 200, response time &lt; 300ms</t>
        </is>
      </c>
      <c r="O195" s="44" t="inlineStr">
        <is>
          <t>-</t>
        </is>
      </c>
      <c r="P195" s="41" t="inlineStr">
        <is>
          <t>Medium</t>
        </is>
      </c>
      <c r="Q195" s="44" t="inlineStr"/>
      <c r="R195" s="41" t="inlineStr"/>
      <c r="S195" s="41" t="inlineStr"/>
      <c r="T195" s="41" t="inlineStr"/>
      <c r="U195" s="41" t="inlineStr"/>
      <c r="V195" s="44" t="inlineStr"/>
      <c r="W195" s="41" t="inlineStr"/>
      <c r="X195" s="44" t="inlineStr">
        <is>
          <t>userTeam.findMany + find(isLeader)</t>
        </is>
      </c>
    </row>
    <row r="196" ht="80" customHeight="1">
      <c r="A196" s="41" t="inlineStr">
        <is>
          <t>TC-193</t>
        </is>
      </c>
      <c r="B196" s="46" t="inlineStr">
        <is>
          <t>RED</t>
        </is>
      </c>
      <c r="C196" s="45" t="inlineStr">
        <is>
          <t>P1</t>
        </is>
      </c>
      <c r="D196" s="44" t="inlineStr">
        <is>
          <t>UI Phân công</t>
        </is>
      </c>
      <c r="E196" s="44" t="inlineStr">
        <is>
          <t>RED — double-click nút Thêm → chỉ gọi POST API 1 lần (không double-submit)</t>
        </is>
      </c>
      <c r="F196" s="41" t="inlineStr">
        <is>
          <t>REQ-PA-UX</t>
        </is>
      </c>
      <c r="G196" s="41" t="inlineStr">
        <is>
          <t>UI / Debounce</t>
        </is>
      </c>
      <c r="H196" s="41" t="inlineStr">
        <is>
          <t>TB</t>
        </is>
      </c>
      <c r="I196" s="44" t="inlineStr">
        <is>
          <t>user-3 đã chọn</t>
        </is>
      </c>
      <c r="J196" s="44" t="inlineStr">
        <is>
          <t>Double-click Thêm nhanh</t>
        </is>
      </c>
      <c r="K196" s="44" t="inlineStr">
        <is>
          <t>petition.new.D0</t>
        </is>
      </c>
      <c r="L196" s="44" t="inlineStr">
        <is>
          <t>petition.new.D0</t>
        </is>
      </c>
      <c r="M196" s="44" t="inlineStr">
        <is>
          <t>Chỉ 1 POST request được gửi</t>
        </is>
      </c>
      <c r="N196" s="44" t="inlineStr">
        <is>
          <t>1 × HTTP 201</t>
        </is>
      </c>
      <c r="O196" s="44" t="inlineStr">
        <is>
          <t>1 row, không duplicate</t>
        </is>
      </c>
      <c r="P196" s="41" t="inlineStr">
        <is>
          <t>High</t>
        </is>
      </c>
      <c r="Q196" s="44" t="inlineStr"/>
      <c r="R196" s="41" t="inlineStr"/>
      <c r="S196" s="41" t="inlineStr"/>
      <c r="T196" s="41" t="inlineStr"/>
      <c r="U196" s="41" t="inlineStr"/>
      <c r="V196" s="44" t="inlineStr"/>
      <c r="W196" s="41" t="inlineStr"/>
      <c r="X196" s="44" t="inlineStr">
        <is>
          <t>disabled={!addUserId || isAdding} ngăn double-submit</t>
        </is>
      </c>
    </row>
    <row r="197" ht="80" customHeight="1">
      <c r="A197" s="41" t="inlineStr">
        <is>
          <t>TC-194</t>
        </is>
      </c>
      <c r="B197" s="46" t="inlineStr">
        <is>
          <t>RED</t>
        </is>
      </c>
      <c r="C197" s="45" t="inlineStr">
        <is>
          <t>P1</t>
        </is>
      </c>
      <c r="D197" s="44" t="inlineStr">
        <is>
          <t>UI Phân công</t>
        </is>
      </c>
      <c r="E197" s="44" t="inlineStr">
        <is>
          <t>RED — POST trả về 409 (duplicate) → UI hiện error message rõ ràng</t>
        </is>
      </c>
      <c r="F197" s="41" t="inlineStr">
        <is>
          <t>REQ-PA-UX</t>
        </is>
      </c>
      <c r="G197" s="41" t="inlineStr">
        <is>
          <t>Error / UI feedback</t>
        </is>
      </c>
      <c r="H197" s="41" t="inlineStr">
        <is>
          <t>TB</t>
        </is>
      </c>
      <c r="I197" s="44" t="inlineStr">
        <is>
          <t>user-1 đã assigned</t>
        </is>
      </c>
      <c r="J197" s="44" t="inlineStr">
        <is>
          <t>Chọn user-1, click Thêm (giả sử thoát khỏi UI filter do race)</t>
        </is>
      </c>
      <c r="K197" s="44" t="inlineStr">
        <is>
          <t>petition.with_1_assignment.D7</t>
        </is>
      </c>
      <c r="L197" s="44" t="inlineStr">
        <is>
          <t>petition.with_1_assignment.D7</t>
        </is>
      </c>
      <c r="M197" s="44" t="inlineStr">
        <is>
          <t>Error message hiển thị: 'Không thể thêm phân công. Vui lòng thử lại.'</t>
        </is>
      </c>
      <c r="N197" s="44" t="inlineStr">
        <is>
          <t>POST → HTTP 409</t>
        </is>
      </c>
      <c r="O197" s="44" t="inlineStr">
        <is>
          <t>addError set</t>
        </is>
      </c>
      <c r="P197" s="41" t="inlineStr">
        <is>
          <t>Medium</t>
        </is>
      </c>
      <c r="Q197" s="44" t="inlineStr"/>
      <c r="R197" s="41" t="inlineStr"/>
      <c r="S197" s="41" t="inlineStr"/>
      <c r="T197" s="41" t="inlineStr"/>
      <c r="U197" s="41" t="inlineStr"/>
      <c r="V197" s="44" t="inlineStr"/>
      <c r="W197" s="41" t="inlineStr"/>
      <c r="X197" s="44" t="inlineStr">
        <is>
          <t>catch all errors → same message</t>
        </is>
      </c>
    </row>
    <row r="198" ht="80" customHeight="1">
      <c r="A198" s="41" t="inlineStr">
        <is>
          <t>TC-195</t>
        </is>
      </c>
      <c r="B198" s="46" t="inlineStr">
        <is>
          <t>RED</t>
        </is>
      </c>
      <c r="C198" s="47" t="inlineStr">
        <is>
          <t>P2</t>
        </is>
      </c>
      <c r="D198" s="44" t="inlineStr">
        <is>
          <t>UI Phân công</t>
        </is>
      </c>
      <c r="E198" s="44" t="inlineStr">
        <is>
          <t>RED — section không hiển thị trong create mode (/petitions/new)</t>
        </is>
      </c>
      <c r="F198" s="41" t="inlineStr">
        <is>
          <t>REQ-PA-UX</t>
        </is>
      </c>
      <c r="G198" s="41" t="inlineStr">
        <is>
          <t>UI / Conditional</t>
        </is>
      </c>
      <c r="H198" s="41" t="inlineStr">
        <is>
          <t>Cao</t>
        </is>
      </c>
      <c r="I198" s="44" t="inlineStr">
        <is>
          <t>Navigate to /petitions/new</t>
        </is>
      </c>
      <c r="J198" s="44" t="inlineStr">
        <is>
          <t>Kiểm tra UI create form</t>
        </is>
      </c>
      <c r="K198" s="44" t="inlineStr">
        <is>
          <t>account.officer.primary</t>
        </is>
      </c>
      <c r="L198" s="44" t="inlineStr">
        <is>
          <t>account.officer.primary</t>
        </is>
      </c>
      <c r="M198" s="44" t="inlineStr">
        <is>
          <t>Section 'Phân công cán bộ' KHÔNG tồn tại trong DOM</t>
        </is>
      </c>
      <c r="N198" s="44" t="inlineStr">
        <is>
          <t>-</t>
        </is>
      </c>
      <c r="O198" s="44" t="inlineStr">
        <is>
          <t>GET /petitions/undefined/assignments KHÔNG được gọi</t>
        </is>
      </c>
      <c r="P198" s="41" t="inlineStr">
        <is>
          <t>Critical</t>
        </is>
      </c>
      <c r="Q198" s="44" t="inlineStr"/>
      <c r="R198" s="41" t="inlineStr"/>
      <c r="S198" s="41" t="inlineStr"/>
      <c r="T198" s="41" t="inlineStr"/>
      <c r="U198" s="41" t="inlineStr"/>
      <c r="V198" s="44" t="inlineStr"/>
      <c r="W198" s="41" t="inlineStr"/>
      <c r="X198" s="44" t="inlineStr">
        <is>
          <t>No petitionId in create mode</t>
        </is>
      </c>
    </row>
    <row r="199" ht="80" customHeight="1">
      <c r="A199" s="41" t="inlineStr">
        <is>
          <t>TC-196</t>
        </is>
      </c>
      <c r="B199" s="46" t="inlineStr">
        <is>
          <t>RED</t>
        </is>
      </c>
      <c r="C199" s="45" t="inlineStr">
        <is>
          <t>P1</t>
        </is>
      </c>
      <c r="D199" s="44" t="inlineStr">
        <is>
          <t>UI Phân công</t>
        </is>
      </c>
      <c r="E199" s="44" t="inlineStr">
        <is>
          <t>RED — xóa assignment không có confirmation dialog → immediate delete</t>
        </is>
      </c>
      <c r="F199" s="41" t="inlineStr">
        <is>
          <t>REQ-PA-UX</t>
        </is>
      </c>
      <c r="G199" s="41" t="inlineStr">
        <is>
          <t>UI / UX</t>
        </is>
      </c>
      <c r="H199" s="41" t="inlineStr">
        <is>
          <t>TB</t>
        </is>
      </c>
      <c r="I199" s="44" t="inlineStr">
        <is>
          <t>user-1 assigned</t>
        </is>
      </c>
      <c r="J199" s="44" t="inlineStr">
        <is>
          <t>Click trash → observe</t>
        </is>
      </c>
      <c r="K199" s="44" t="inlineStr">
        <is>
          <t>petition.with_1_assignment.D7</t>
        </is>
      </c>
      <c r="L199" s="44" t="inlineStr">
        <is>
          <t>petition.with_1_assignment.D7</t>
        </is>
      </c>
      <c r="M199" s="44" t="inlineStr">
        <is>
          <t>Không có confirm dialog. DELETE API gọi ngay</t>
        </is>
      </c>
      <c r="N199" s="44" t="inlineStr">
        <is>
          <t>DELETE gọi ngay sau click</t>
        </is>
      </c>
      <c r="O199" s="44" t="inlineStr">
        <is>
          <t>Row bị xóa</t>
        </is>
      </c>
      <c r="P199" s="41" t="inlineStr">
        <is>
          <t>Low</t>
        </is>
      </c>
      <c r="Q199" s="44" t="inlineStr"/>
      <c r="R199" s="41" t="inlineStr"/>
      <c r="S199" s="41" t="inlineStr"/>
      <c r="T199" s="41" t="inlineStr"/>
      <c r="U199" s="41" t="inlineStr"/>
      <c r="V199" s="44" t="inlineStr"/>
      <c r="W199" s="41" t="inlineStr"/>
      <c r="X199" s="44" t="inlineStr">
        <is>
          <t>Current implementation: no confirm — potential UX risk</t>
        </is>
      </c>
    </row>
    <row r="200" ht="80" customHeight="1">
      <c r="A200" s="41" t="inlineStr">
        <is>
          <t>TC-197</t>
        </is>
      </c>
      <c r="B200" s="46" t="inlineStr">
        <is>
          <t>RED</t>
        </is>
      </c>
      <c r="C200" s="45" t="inlineStr">
        <is>
          <t>P1</t>
        </is>
      </c>
      <c r="D200" s="44" t="inlineStr">
        <is>
          <t>UI Phân công</t>
        </is>
      </c>
      <c r="E200" s="44" t="inlineStr">
        <is>
          <t>RED — sau add thành công, form reset: userId='' và role='SUPPORT' (default)</t>
        </is>
      </c>
      <c r="F200" s="41" t="inlineStr">
        <is>
          <t>REQ-PA-UX</t>
        </is>
      </c>
      <c r="G200" s="41" t="inlineStr">
        <is>
          <t>State / Reset</t>
        </is>
      </c>
      <c r="H200" s="41" t="inlineStr">
        <is>
          <t>TB</t>
        </is>
      </c>
      <c r="I200" s="44" t="inlineStr">
        <is>
          <t>-</t>
        </is>
      </c>
      <c r="J200" s="44" t="inlineStr">
        <is>
          <t>1. Chọn user-3, role LEAD
2. Click Thêm → success
3. Kiểm tra dropdown</t>
        </is>
      </c>
      <c r="K200" s="44" t="inlineStr">
        <is>
          <t>petition.new.D0</t>
        </is>
      </c>
      <c r="L200" s="44" t="inlineStr">
        <is>
          <t>petition.new.D0</t>
        </is>
      </c>
      <c r="M200" s="44" t="inlineStr">
        <is>
          <t>Dropdown về '-- Chọn cán bộ --', vai trò về 'Hỗ trợ'</t>
        </is>
      </c>
      <c r="N200" s="44" t="inlineStr">
        <is>
          <t>-</t>
        </is>
      </c>
      <c r="O200" s="44" t="inlineStr">
        <is>
          <t>setAddUserId('') sau success</t>
        </is>
      </c>
      <c r="P200" s="41" t="inlineStr">
        <is>
          <t>Medium</t>
        </is>
      </c>
      <c r="Q200" s="44" t="inlineStr"/>
      <c r="R200" s="41" t="inlineStr"/>
      <c r="S200" s="41" t="inlineStr"/>
      <c r="T200" s="41" t="inlineStr"/>
      <c r="U200" s="41" t="inlineStr"/>
      <c r="V200" s="44" t="inlineStr"/>
      <c r="W200" s="41" t="inlineStr"/>
      <c r="X200" s="44" t="inlineStr">
        <is>
          <t>setAddUserId('') — role không reset về SUPPORT</t>
        </is>
      </c>
    </row>
    <row r="201" ht="80" customHeight="1">
      <c r="A201" s="41" t="inlineStr">
        <is>
          <t>TC-198</t>
        </is>
      </c>
      <c r="B201" s="46" t="inlineStr">
        <is>
          <t>RED</t>
        </is>
      </c>
      <c r="C201" s="47" t="inlineStr">
        <is>
          <t>P2</t>
        </is>
      </c>
      <c r="D201" s="44" t="inlineStr">
        <is>
          <t>UI Phân công</t>
        </is>
      </c>
      <c r="E201" s="44" t="inlineStr">
        <is>
          <t>RED — navigate away và back → GET /assignments gọi lại (không dùng stale cache)</t>
        </is>
      </c>
      <c r="F201" s="41" t="inlineStr">
        <is>
          <t>REQ-PA-UX</t>
        </is>
      </c>
      <c r="G201" s="41" t="inlineStr">
        <is>
          <t>State / Re-fetch</t>
        </is>
      </c>
      <c r="H201" s="41" t="inlineStr">
        <is>
          <t>TB</t>
        </is>
      </c>
      <c r="I201" s="44" t="inlineStr">
        <is>
          <t>-</t>
        </is>
      </c>
      <c r="J201" s="44" t="inlineStr">
        <is>
          <t>1. Load trang → assignments loaded
2. Navigate away
3. Navigate back
4. Kiểm tra GET có gọi lại không</t>
        </is>
      </c>
      <c r="K201" s="44" t="inlineStr">
        <is>
          <t>petition.with_2_assignments.D7</t>
        </is>
      </c>
      <c r="L201" s="44" t="inlineStr">
        <is>
          <t>petition.with_2_assignments.D7</t>
        </is>
      </c>
      <c r="M201" s="44" t="inlineStr">
        <is>
          <t>Danh sách fresh — không stale</t>
        </is>
      </c>
      <c r="N201" s="44" t="inlineStr">
        <is>
          <t>GET /assignments gọi lại khi component mount</t>
        </is>
      </c>
      <c r="O201" s="44" t="inlineStr">
        <is>
          <t>-</t>
        </is>
      </c>
      <c r="P201" s="41" t="inlineStr">
        <is>
          <t>Medium</t>
        </is>
      </c>
      <c r="Q201" s="44" t="inlineStr"/>
      <c r="R201" s="41" t="inlineStr"/>
      <c r="S201" s="41" t="inlineStr"/>
      <c r="T201" s="41" t="inlineStr"/>
      <c r="U201" s="41" t="inlineStr"/>
      <c r="V201" s="44" t="inlineStr"/>
      <c r="W201" s="41" t="inlineStr"/>
      <c r="X201" s="44" t="inlineStr">
        <is>
          <t>useEffect([petitionId]) → re-fetch on mount</t>
        </is>
      </c>
    </row>
    <row r="202" ht="80" customHeight="1">
      <c r="A202" s="41" t="inlineStr">
        <is>
          <t>TC-199</t>
        </is>
      </c>
      <c r="B202" s="46" t="inlineStr">
        <is>
          <t>RED</t>
        </is>
      </c>
      <c r="C202" s="47" t="inlineStr">
        <is>
          <t>P2</t>
        </is>
      </c>
      <c r="D202" s="44" t="inlineStr">
        <is>
          <t>GET /assignments</t>
        </is>
      </c>
      <c r="E202" s="44" t="inlineStr">
        <is>
          <t>RED — GET response 200 với null body → UI handle, setAssignments([])</t>
        </is>
      </c>
      <c r="F202" s="41" t="inlineStr">
        <is>
          <t>REQ-PA-UX</t>
        </is>
      </c>
      <c r="G202" s="41" t="inlineStr">
        <is>
          <t>Defensive / Null response</t>
        </is>
      </c>
      <c r="H202" s="41" t="inlineStr">
        <is>
          <t>TB</t>
        </is>
      </c>
      <c r="I202" s="44" t="inlineStr">
        <is>
          <t>-</t>
        </is>
      </c>
      <c r="J202" s="44" t="inlineStr">
        <is>
          <t>Mock GET → return {data: null}</t>
        </is>
      </c>
      <c r="K202" s="44" t="inlineStr">
        <is>
          <t>petition.any.D7</t>
        </is>
      </c>
      <c r="L202" s="44" t="inlineStr">
        <is>
          <t>petition.any.D7</t>
        </is>
      </c>
      <c r="M202" s="44" t="inlineStr">
        <is>
          <t>Empty state 'Chưa có cán bộ' (không crash)</t>
        </is>
      </c>
      <c r="N202" s="44" t="inlineStr">
        <is>
          <t>-</t>
        </is>
      </c>
      <c r="O202" s="44" t="inlineStr">
        <is>
          <t>Array.isArray(null) = false → setAssignments([])</t>
        </is>
      </c>
      <c r="P202" s="41" t="inlineStr">
        <is>
          <t>High</t>
        </is>
      </c>
      <c r="Q202" s="44" t="inlineStr"/>
      <c r="R202" s="41" t="inlineStr"/>
      <c r="S202" s="41" t="inlineStr"/>
      <c r="T202" s="41" t="inlineStr"/>
      <c r="U202" s="41" t="inlineStr"/>
      <c r="V202" s="44" t="inlineStr"/>
      <c r="W202" s="41" t="inlineStr"/>
      <c r="X202" s="44" t="inlineStr">
        <is>
          <t>Array.isArray(res.data) ? res.data : []</t>
        </is>
      </c>
    </row>
    <row r="203" ht="80" customHeight="1">
      <c r="A203" s="41" t="inlineStr">
        <is>
          <t>TC-200</t>
        </is>
      </c>
      <c r="B203" s="46" t="inlineStr">
        <is>
          <t>RED</t>
        </is>
      </c>
      <c r="C203" s="47" t="inlineStr">
        <is>
          <t>P2</t>
        </is>
      </c>
      <c r="D203" s="44" t="inlineStr">
        <is>
          <t>GET /assignments</t>
        </is>
      </c>
      <c r="E203" s="44" t="inlineStr">
        <is>
          <t>RED — GET response 200 với non-array (object) → UI handle, setAssignments([])</t>
        </is>
      </c>
      <c r="F203" s="41" t="inlineStr">
        <is>
          <t>REQ-PA-UX</t>
        </is>
      </c>
      <c r="G203" s="41" t="inlineStr">
        <is>
          <t>Defensive / Type safety</t>
        </is>
      </c>
      <c r="H203" s="41" t="inlineStr">
        <is>
          <t>TB</t>
        </is>
      </c>
      <c r="I203" s="44" t="inlineStr">
        <is>
          <t>-</t>
        </is>
      </c>
      <c r="J203" s="44" t="inlineStr">
        <is>
          <t>Mock GET → return {data: {id:'x'}} (object, không phải array)</t>
        </is>
      </c>
      <c r="K203" s="44" t="inlineStr">
        <is>
          <t>petition.any.D7</t>
        </is>
      </c>
      <c r="L203" s="44" t="inlineStr">
        <is>
          <t>petition.any.D7</t>
        </is>
      </c>
      <c r="M203" s="44" t="inlineStr">
        <is>
          <t>Empty state, không crash</t>
        </is>
      </c>
      <c r="N203" s="44" t="inlineStr">
        <is>
          <t>-</t>
        </is>
      </c>
      <c r="O203" s="44" t="inlineStr">
        <is>
          <t>Array.isArray({}) = false → []</t>
        </is>
      </c>
      <c r="P203" s="41" t="inlineStr">
        <is>
          <t>High</t>
        </is>
      </c>
      <c r="Q203" s="44" t="inlineStr"/>
      <c r="R203" s="41" t="inlineStr"/>
      <c r="S203" s="41" t="inlineStr"/>
      <c r="T203" s="41" t="inlineStr"/>
      <c r="U203" s="41" t="inlineStr"/>
      <c r="V203" s="44" t="inlineStr"/>
      <c r="W203" s="41" t="inlineStr"/>
      <c r="X203" s="44" t="inlineStr">
        <is>
          <t>Defensive check trong useEffect</t>
        </is>
      </c>
    </row>
    <row r="204" ht="80" customHeight="1">
      <c r="A204" s="41" t="inlineStr">
        <is>
          <t>TC-201</t>
        </is>
      </c>
      <c r="B204" s="46" t="inlineStr">
        <is>
          <t>RED</t>
        </is>
      </c>
      <c r="C204" s="45" t="inlineStr">
        <is>
          <t>P1</t>
        </is>
      </c>
      <c r="D204" s="44" t="inlineStr">
        <is>
          <t>POST /assignments</t>
        </is>
      </c>
      <c r="E204" s="44" t="inlineStr">
        <is>
          <t>RED — POST với null body → 400</t>
        </is>
      </c>
      <c r="F204" s="41" t="inlineStr">
        <is>
          <t>REQ-PA-VALID</t>
        </is>
      </c>
      <c r="G204" s="41" t="inlineStr">
        <is>
          <t>Negative / Null body</t>
        </is>
      </c>
      <c r="H204" s="41" t="inlineStr">
        <is>
          <t>TB</t>
        </is>
      </c>
      <c r="I204" s="44" t="inlineStr">
        <is>
          <t>-</t>
        </is>
      </c>
      <c r="J204" s="44" t="inlineStr">
        <is>
          <t>POST /assignments body=null hoặc không có body</t>
        </is>
      </c>
      <c r="K204" s="44" t="inlineStr">
        <is>
          <t>petition.new.D0</t>
        </is>
      </c>
      <c r="L204" s="44" t="inlineStr">
        <is>
          <t>petition.new.D0</t>
        </is>
      </c>
      <c r="M204" s="44" t="inlineStr">
        <is>
          <t>-</t>
        </is>
      </c>
      <c r="N204" s="44" t="inlineStr">
        <is>
          <t>HTTP 400</t>
        </is>
      </c>
      <c r="O204" s="44" t="inlineStr">
        <is>
          <t>-</t>
        </is>
      </c>
      <c r="P204" s="41" t="inlineStr">
        <is>
          <t>Medium</t>
        </is>
      </c>
      <c r="Q204" s="44" t="inlineStr"/>
      <c r="R204" s="41" t="inlineStr"/>
      <c r="S204" s="41" t="inlineStr"/>
      <c r="T204" s="41" t="inlineStr"/>
      <c r="U204" s="41" t="inlineStr"/>
      <c r="V204" s="44" t="inlineStr"/>
      <c r="W204" s="41" t="inlineStr"/>
      <c r="X204" s="44" t="inlineStr">
        <is>
          <t>NestJS DTO validation → 400</t>
        </is>
      </c>
    </row>
    <row r="205" ht="80" customHeight="1">
      <c r="A205" s="41" t="inlineStr">
        <is>
          <t>TC-202</t>
        </is>
      </c>
      <c r="B205" s="46" t="inlineStr">
        <is>
          <t>RED</t>
        </is>
      </c>
      <c r="C205" s="47" t="inlineStr">
        <is>
          <t>P2</t>
        </is>
      </c>
      <c r="D205" s="44" t="inlineStr">
        <is>
          <t>DELETE /assignments</t>
        </is>
      </c>
      <c r="E205" s="44" t="inlineStr">
        <is>
          <t>RED — DELETE với body JSON → body ignored, delete vẫn hoạt động</t>
        </is>
      </c>
      <c r="F205" s="41" t="inlineStr">
        <is>
          <t>REQ-PA-VALID</t>
        </is>
      </c>
      <c r="G205" s="41" t="inlineStr">
        <is>
          <t>Negative / Extra data</t>
        </is>
      </c>
      <c r="H205" s="41" t="inlineStr">
        <is>
          <t>Thấp</t>
        </is>
      </c>
      <c r="I205" s="44" t="inlineStr">
        <is>
          <t>user-1 assigned</t>
        </is>
      </c>
      <c r="J205" s="44" t="inlineStr">
        <is>
          <t>DELETE /assignments/user-1 với body {reason:'test'}</t>
        </is>
      </c>
      <c r="K205" s="44" t="inlineStr">
        <is>
          <t>petition.with_1_assignment.D7</t>
        </is>
      </c>
      <c r="L205" s="44" t="inlineStr">
        <is>
          <t>petition.with_1_assignment.D7</t>
        </is>
      </c>
      <c r="M205" s="44" t="inlineStr">
        <is>
          <t>-</t>
        </is>
      </c>
      <c r="N205" s="44" t="inlineStr">
        <is>
          <t>HTTP 200</t>
        </is>
      </c>
      <c r="O205" s="44" t="inlineStr">
        <is>
          <t>Row bị xóa</t>
        </is>
      </c>
      <c r="P205" s="41" t="inlineStr">
        <is>
          <t>Low</t>
        </is>
      </c>
      <c r="Q205" s="44" t="inlineStr"/>
      <c r="R205" s="41" t="inlineStr"/>
      <c r="S205" s="41" t="inlineStr"/>
      <c r="T205" s="41" t="inlineStr"/>
      <c r="U205" s="41" t="inlineStr"/>
      <c r="V205" s="44" t="inlineStr"/>
      <c r="W205" s="41" t="inlineStr"/>
      <c r="X205" s="44" t="inlineStr">
        <is>
          <t>DELETE body irrelevant</t>
        </is>
      </c>
    </row>
    <row r="206" ht="80" customHeight="1">
      <c r="A206" s="41" t="inlineStr">
        <is>
          <t>TC-203</t>
        </is>
      </c>
      <c r="B206" s="46" t="inlineStr">
        <is>
          <t>RED</t>
        </is>
      </c>
      <c r="C206" s="45" t="inlineStr">
        <is>
          <t>P1</t>
        </is>
      </c>
      <c r="D206" s="44" t="inlineStr">
        <is>
          <t>PATCH /assign</t>
        </is>
      </c>
      <c r="E206" s="44" t="inlineStr">
        <is>
          <t>RED — PATCH /assign thiếu expectedUpdatedAt → 400 hoặc conflict</t>
        </is>
      </c>
      <c r="F206" s="41" t="inlineStr">
        <is>
          <t>REQ-PA-VALID</t>
        </is>
      </c>
      <c r="G206" s="41" t="inlineStr">
        <is>
          <t>Negative / Missing required</t>
        </is>
      </c>
      <c r="H206" s="41" t="inlineStr">
        <is>
          <t>TB</t>
        </is>
      </c>
      <c r="I206" s="44" t="inlineStr">
        <is>
          <t>-</t>
        </is>
      </c>
      <c r="J206" s="44" t="inlineStr">
        <is>
          <t>PATCH /assign body {assignedTeamId} không có expectedUpdatedAt</t>
        </is>
      </c>
      <c r="K206" s="44" t="inlineStr">
        <is>
          <t>petition.unassigned.D0</t>
        </is>
      </c>
      <c r="L206" s="44" t="inlineStr">
        <is>
          <t>petition.unassigned.D0</t>
        </is>
      </c>
      <c r="M206" s="44" t="inlineStr">
        <is>
          <t>-</t>
        </is>
      </c>
      <c r="N206" s="44" t="inlineStr">
        <is>
          <t>HTTP 400 (validation) hoặc 409 (optimistic lock failed)</t>
        </is>
      </c>
      <c r="O206" s="44" t="inlineStr">
        <is>
          <t>Petition không thay đổi</t>
        </is>
      </c>
      <c r="P206" s="41" t="inlineStr">
        <is>
          <t>Medium</t>
        </is>
      </c>
      <c r="Q206" s="44" t="inlineStr"/>
      <c r="R206" s="41" t="inlineStr"/>
      <c r="S206" s="41" t="inlineStr"/>
      <c r="T206" s="41" t="inlineStr"/>
      <c r="U206" s="41" t="inlineStr"/>
      <c r="V206" s="44" t="inlineStr"/>
      <c r="W206" s="41" t="inlineStr"/>
      <c r="X206" s="44" t="inlineStr">
        <is>
          <t>expectedUpdatedAt required trong DTO</t>
        </is>
      </c>
    </row>
    <row r="207" ht="80" customHeight="1">
      <c r="A207" s="41" t="inlineStr">
        <is>
          <t>TC-204</t>
        </is>
      </c>
      <c r="B207" s="46" t="inlineStr">
        <is>
          <t>RED</t>
        </is>
      </c>
      <c r="C207" s="45" t="inlineStr">
        <is>
          <t>P1</t>
        </is>
      </c>
      <c r="D207" s="44" t="inlineStr">
        <is>
          <t>POST /assignments</t>
        </is>
      </c>
      <c r="E207" s="44" t="inlineStr">
        <is>
          <t>RED — POST với Content-Type không phải application/json → 400 hoặc 415</t>
        </is>
      </c>
      <c r="F207" s="41" t="inlineStr">
        <is>
          <t>REQ-PA-VALID</t>
        </is>
      </c>
      <c r="G207" s="41" t="inlineStr">
        <is>
          <t>Negative / Content type</t>
        </is>
      </c>
      <c r="H207" s="41" t="inlineStr">
        <is>
          <t>TB</t>
        </is>
      </c>
      <c r="I207" s="44" t="inlineStr">
        <is>
          <t>-</t>
        </is>
      </c>
      <c r="J207" s="44" t="inlineStr">
        <is>
          <t>POST /assignments với Content-Type: multipart/form-data</t>
        </is>
      </c>
      <c r="K207" s="44" t="inlineStr">
        <is>
          <t>petition.new.D0</t>
        </is>
      </c>
      <c r="L207" s="44" t="inlineStr">
        <is>
          <t>petition.new.D0</t>
        </is>
      </c>
      <c r="M207" s="44" t="inlineStr">
        <is>
          <t>-</t>
        </is>
      </c>
      <c r="N207" s="44" t="inlineStr">
        <is>
          <t>HTTP 400 hoặc 415</t>
        </is>
      </c>
      <c r="O207" s="44" t="inlineStr">
        <is>
          <t>-</t>
        </is>
      </c>
      <c r="P207" s="41" t="inlineStr">
        <is>
          <t>Medium</t>
        </is>
      </c>
      <c r="Q207" s="44" t="inlineStr"/>
      <c r="R207" s="41" t="inlineStr"/>
      <c r="S207" s="41" t="inlineStr"/>
      <c r="T207" s="41" t="inlineStr"/>
      <c r="U207" s="41" t="inlineStr"/>
      <c r="V207" s="44" t="inlineStr"/>
      <c r="W207" s="41" t="inlineStr"/>
      <c r="X207" s="44" t="inlineStr">
        <is>
          <t>NestJS expects application/json</t>
        </is>
      </c>
    </row>
    <row r="208" ht="80" customHeight="1">
      <c r="A208" s="41" t="inlineStr">
        <is>
          <t>TC-205</t>
        </is>
      </c>
      <c r="B208" s="46" t="inlineStr">
        <is>
          <t>RED</t>
        </is>
      </c>
      <c r="C208" s="45" t="inlineStr">
        <is>
          <t>P1</t>
        </is>
      </c>
      <c r="D208" s="44" t="inlineStr">
        <is>
          <t>POST /assignments</t>
        </is>
      </c>
      <c r="E208" s="44" t="inlineStr">
        <is>
          <t>RED — POST sau khi DELETE cùng user → 201 (unique constraint được free)</t>
        </is>
      </c>
      <c r="F208" s="41" t="inlineStr">
        <is>
          <t>REQ-PA-BIZ</t>
        </is>
      </c>
      <c r="G208" s="41" t="inlineStr">
        <is>
          <t>State / Re-add</t>
        </is>
      </c>
      <c r="H208" s="41" t="inlineStr">
        <is>
          <t>TB</t>
        </is>
      </c>
      <c r="I208" s="44" t="inlineStr">
        <is>
          <t>user-1 đã assigned, sau đó bị xóa</t>
        </is>
      </c>
      <c r="J208" s="44" t="inlineStr">
        <is>
          <t>1. DELETE user-1 → 200
2. POST user-1 lại → 201</t>
        </is>
      </c>
      <c r="K208" s="44" t="inlineStr">
        <is>
          <t>petition.with_1_assignment.D7</t>
        </is>
      </c>
      <c r="L208" s="44" t="inlineStr">
        <is>
          <t>petition.with_1_assignment.D7</t>
        </is>
      </c>
      <c r="M208" s="44" t="inlineStr">
        <is>
          <t>user-1 xuất hiện lại trong list</t>
        </is>
      </c>
      <c r="N208" s="44" t="inlineStr">
        <is>
          <t>HTTP 201</t>
        </is>
      </c>
      <c r="O208" s="44" t="inlineStr">
        <is>
          <t>Row mới tạo lại</t>
        </is>
      </c>
      <c r="P208" s="41" t="inlineStr">
        <is>
          <t>High</t>
        </is>
      </c>
      <c r="Q208" s="44" t="inlineStr"/>
      <c r="R208" s="41" t="inlineStr"/>
      <c r="S208" s="41" t="inlineStr"/>
      <c r="T208" s="41" t="inlineStr"/>
      <c r="U208" s="41" t="inlineStr"/>
      <c r="V208" s="44" t="inlineStr"/>
      <c r="W208" s="41" t="inlineStr"/>
      <c r="X208" s="44" t="inlineStr">
        <is>
          <t>Unique constraint released sau delete</t>
        </is>
      </c>
    </row>
    <row r="209" ht="80" customHeight="1">
      <c r="A209" s="41" t="inlineStr">
        <is>
          <t>TC-206</t>
        </is>
      </c>
      <c r="B209" s="46" t="inlineStr">
        <is>
          <t>RED</t>
        </is>
      </c>
      <c r="C209" s="47" t="inlineStr">
        <is>
          <t>P2</t>
        </is>
      </c>
      <c r="D209" s="44" t="inlineStr">
        <is>
          <t>GET /assignments</t>
        </is>
      </c>
      <c r="E209" s="44" t="inlineStr">
        <is>
          <t>RED — GET với sort/filter query params → ignored (không support)</t>
        </is>
      </c>
      <c r="F209" s="41" t="inlineStr">
        <is>
          <t>REQ-PA-BIZ</t>
        </is>
      </c>
      <c r="G209" s="41" t="inlineStr">
        <is>
          <t>Negative / Unsupported params</t>
        </is>
      </c>
      <c r="H209" s="41" t="inlineStr">
        <is>
          <t>Thấp</t>
        </is>
      </c>
      <c r="I209" s="44" t="inlineStr">
        <is>
          <t>-</t>
        </is>
      </c>
      <c r="J209" s="44" t="inlineStr">
        <is>
          <t>GET /assignments?sort=role&amp;filter=LEAD</t>
        </is>
      </c>
      <c r="K209" s="44" t="inlineStr">
        <is>
          <t>petition.with_2_assignments.D7</t>
        </is>
      </c>
      <c r="L209" s="44" t="inlineStr">
        <is>
          <t>petition.with_2_assignments.D7</t>
        </is>
      </c>
      <c r="M209" s="44" t="inlineStr">
        <is>
          <t>-</t>
        </is>
      </c>
      <c r="N209" s="44" t="inlineStr">
        <is>
          <t>HTTP 200, trả về tất cả (params ignored)</t>
        </is>
      </c>
      <c r="O209" s="44" t="inlineStr">
        <is>
          <t>-</t>
        </is>
      </c>
      <c r="P209" s="41" t="inlineStr">
        <is>
          <t>Low</t>
        </is>
      </c>
      <c r="Q209" s="44" t="inlineStr"/>
      <c r="R209" s="41" t="inlineStr"/>
      <c r="S209" s="41" t="inlineStr"/>
      <c r="T209" s="41" t="inlineStr"/>
      <c r="U209" s="41" t="inlineStr"/>
      <c r="V209" s="44" t="inlineStr"/>
      <c r="W209" s="41" t="inlineStr"/>
      <c r="X209" s="44" t="inlineStr">
        <is>
          <t>No query param support</t>
        </is>
      </c>
    </row>
    <row r="210" ht="80" customHeight="1">
      <c r="A210" s="41" t="inlineStr">
        <is>
          <t>TC-207</t>
        </is>
      </c>
      <c r="B210" s="46" t="inlineStr">
        <is>
          <t>RED</t>
        </is>
      </c>
      <c r="C210" s="45" t="inlineStr">
        <is>
          <t>P1</t>
        </is>
      </c>
      <c r="D210" s="44" t="inlineStr">
        <is>
          <t>POST /assignments</t>
        </is>
      </c>
      <c r="E210" s="44" t="inlineStr">
        <is>
          <t>RED — POST self-assign (actorId === userId) → cho phép</t>
        </is>
      </c>
      <c r="F210" s="41" t="inlineStr">
        <is>
          <t>REQ-PA-BIZ</t>
        </is>
      </c>
      <c r="G210" s="41" t="inlineStr">
        <is>
          <t>State / Self-assign</t>
        </is>
      </c>
      <c r="H210" s="41" t="inlineStr">
        <is>
          <t>TB</t>
        </is>
      </c>
      <c r="I210" s="44" t="inlineStr">
        <is>
          <t>-</t>
        </is>
      </c>
      <c r="J210" s="44" t="inlineStr">
        <is>
          <t>POST /assignments {userId: &lt;JWT user's own ID&gt;, role:'LEAD'}</t>
        </is>
      </c>
      <c r="K210" s="44" t="inlineStr">
        <is>
          <t>petition.new.D0</t>
        </is>
      </c>
      <c r="L210" s="44" t="inlineStr">
        <is>
          <t>petition.new.D0</t>
        </is>
      </c>
      <c r="M210" s="44" t="inlineStr">
        <is>
          <t>Người dùng thấy chính mình trong danh sách</t>
        </is>
      </c>
      <c r="N210" s="44" t="inlineStr">
        <is>
          <t>HTTP 201</t>
        </is>
      </c>
      <c r="O210" s="44" t="inlineStr">
        <is>
          <t>assignedById = userId (cùng người)</t>
        </is>
      </c>
      <c r="P210" s="41" t="inlineStr">
        <is>
          <t>Medium</t>
        </is>
      </c>
      <c r="Q210" s="44" t="inlineStr"/>
      <c r="R210" s="41" t="inlineStr"/>
      <c r="S210" s="41" t="inlineStr"/>
      <c r="T210" s="41" t="inlineStr"/>
      <c r="U210" s="41" t="inlineStr"/>
      <c r="V210" s="44" t="inlineStr"/>
      <c r="W210" s="41" t="inlineStr"/>
      <c r="X210" s="44" t="inlineStr">
        <is>
          <t>Không có validation chống self-assign</t>
        </is>
      </c>
    </row>
    <row r="211" ht="80" customHeight="1">
      <c r="A211" s="41" t="inlineStr">
        <is>
          <t>TC-208</t>
        </is>
      </c>
      <c r="B211" s="46" t="inlineStr">
        <is>
          <t>RED</t>
        </is>
      </c>
      <c r="C211" s="47" t="inlineStr">
        <is>
          <t>P2</t>
        </is>
      </c>
      <c r="D211" s="44" t="inlineStr">
        <is>
          <t>GET /assignments</t>
        </is>
      </c>
      <c r="E211" s="44" t="inlineStr">
        <is>
          <t>RED — pagination: page/limit params → ignored, return all</t>
        </is>
      </c>
      <c r="F211" s="41" t="inlineStr">
        <is>
          <t>REQ-PA-BIZ</t>
        </is>
      </c>
      <c r="G211" s="41" t="inlineStr">
        <is>
          <t>Negative / Pagination</t>
        </is>
      </c>
      <c r="H211" s="41" t="inlineStr">
        <is>
          <t>Thấp</t>
        </is>
      </c>
      <c r="I211" s="44" t="inlineStr">
        <is>
          <t>50 assignments</t>
        </is>
      </c>
      <c r="J211" s="44" t="inlineStr">
        <is>
          <t>GET /assignments?page=1&amp;limit=5</t>
        </is>
      </c>
      <c r="K211" s="44" t="inlineStr">
        <is>
          <t>petition.with_50_assignments.D30</t>
        </is>
      </c>
      <c r="L211" s="44" t="inlineStr">
        <is>
          <t>petition.with_50_assignments.D30</t>
        </is>
      </c>
      <c r="M211" s="44" t="inlineStr">
        <is>
          <t>-</t>
        </is>
      </c>
      <c r="N211" s="44" t="inlineStr">
        <is>
          <t>HTTP 200, 50 items (không phân trang)</t>
        </is>
      </c>
      <c r="O211" s="44" t="inlineStr">
        <is>
          <t>-</t>
        </is>
      </c>
      <c r="P211" s="41" t="inlineStr">
        <is>
          <t>Low</t>
        </is>
      </c>
      <c r="Q211" s="44" t="inlineStr"/>
      <c r="R211" s="41" t="inlineStr"/>
      <c r="S211" s="41" t="inlineStr"/>
      <c r="T211" s="41" t="inlineStr"/>
      <c r="U211" s="41" t="inlineStr"/>
      <c r="V211" s="44" t="inlineStr"/>
      <c r="W211" s="41" t="inlineStr"/>
      <c r="X211" s="44" t="inlineStr">
        <is>
          <t>findMany không có take/skip</t>
        </is>
      </c>
    </row>
    <row r="212" ht="80" customHeight="1">
      <c r="A212" s="41" t="inlineStr">
        <is>
          <t>TC-209</t>
        </is>
      </c>
      <c r="B212" s="46" t="inlineStr">
        <is>
          <t>RED</t>
        </is>
      </c>
      <c r="C212" s="45" t="inlineStr">
        <is>
          <t>P1</t>
        </is>
      </c>
      <c r="D212" s="44" t="inlineStr">
        <is>
          <t>PATCH /assign</t>
        </is>
      </c>
      <c r="E212" s="44" t="inlineStr">
        <is>
          <t>RED — PATCH /assign với assignedToId không tồn tại trong DB → FK error</t>
        </is>
      </c>
      <c r="F212" s="41" t="inlineStr">
        <is>
          <t>REQ-PA-VALID</t>
        </is>
      </c>
      <c r="G212" s="41" t="inlineStr">
        <is>
          <t>Negative / FK violation</t>
        </is>
      </c>
      <c r="H212" s="41" t="inlineStr">
        <is>
          <t>TB</t>
        </is>
      </c>
      <c r="I212" s="44" t="inlineStr">
        <is>
          <t>-</t>
        </is>
      </c>
      <c r="J212" s="44" t="inlineStr">
        <is>
          <t>PATCH /assign {assignedTeamId:'team-A', assignedToId:'nonexistent-user'}</t>
        </is>
      </c>
      <c r="K212" s="44" t="inlineStr">
        <is>
          <t>petition.unassigned.D0</t>
        </is>
      </c>
      <c r="L212" s="44" t="inlineStr">
        <is>
          <t>petition.unassigned.D0</t>
        </is>
      </c>
      <c r="M212" s="44" t="inlineStr">
        <is>
          <t>-</t>
        </is>
      </c>
      <c r="N212" s="44" t="inlineStr">
        <is>
          <t>HTTP 400 hoặc 500 (FK violation) → cần proper handling</t>
        </is>
      </c>
      <c r="O212" s="44" t="inlineStr">
        <is>
          <t>Petition không thay đổi</t>
        </is>
      </c>
      <c r="P212" s="41" t="inlineStr">
        <is>
          <t>High</t>
        </is>
      </c>
      <c r="Q212" s="44" t="inlineStr"/>
      <c r="R212" s="41" t="inlineStr"/>
      <c r="S212" s="41" t="inlineStr"/>
      <c r="T212" s="41" t="inlineStr"/>
      <c r="U212" s="41" t="inlineStr"/>
      <c r="V212" s="44" t="inlineStr"/>
      <c r="W212" s="41" t="inlineStr"/>
      <c r="X212" s="44" t="inlineStr">
        <is>
          <t>FK userId → User table</t>
        </is>
      </c>
    </row>
    <row r="213" ht="80" customHeight="1">
      <c r="A213" s="41" t="inlineStr">
        <is>
          <t>TC-210</t>
        </is>
      </c>
      <c r="B213" s="46" t="inlineStr">
        <is>
          <t>RED</t>
        </is>
      </c>
      <c r="C213" s="45" t="inlineStr">
        <is>
          <t>P1</t>
        </is>
      </c>
      <c r="D213" s="44" t="inlineStr">
        <is>
          <t>PATCH /assign</t>
        </is>
      </c>
      <c r="E213" s="44" t="inlineStr">
        <is>
          <t>RED — PATCH /assign body không có assignedTeamId → giữ nguyên team hiện tại</t>
        </is>
      </c>
      <c r="F213" s="41" t="inlineStr">
        <is>
          <t>REQ-PA-BIZ</t>
        </is>
      </c>
      <c r="G213" s="41" t="inlineStr">
        <is>
          <t>Negative / Partial update</t>
        </is>
      </c>
      <c r="H213" s="41" t="inlineStr">
        <is>
          <t>TB</t>
        </is>
      </c>
      <c r="I213" s="44" t="inlineStr">
        <is>
          <t>Petition có assignedTeamId='team-A'</t>
        </is>
      </c>
      <c r="J213" s="44" t="inlineStr">
        <is>
          <t>PATCH /assign {assignedToId:'user-1', expectedUpdatedAt} không có assignedTeamId</t>
        </is>
      </c>
      <c r="K213" s="44" t="inlineStr">
        <is>
          <t>petition.assigned_team.D7</t>
        </is>
      </c>
      <c r="L213" s="44" t="inlineStr">
        <is>
          <t>petition.assigned_team.D7</t>
        </is>
      </c>
      <c r="M213" s="44" t="inlineStr">
        <is>
          <t>-</t>
        </is>
      </c>
      <c r="N213" s="44" t="inlineStr">
        <is>
          <t>HTTP 200, assignedTeamId vẫn = 'team-A'</t>
        </is>
      </c>
      <c r="O213" s="44" t="inlineStr">
        <is>
          <t>-</t>
        </is>
      </c>
      <c r="P213" s="41" t="inlineStr">
        <is>
          <t>Medium</t>
        </is>
      </c>
      <c r="Q213" s="44" t="inlineStr"/>
      <c r="R213" s="41" t="inlineStr"/>
      <c r="S213" s="41" t="inlineStr"/>
      <c r="T213" s="41" t="inlineStr"/>
      <c r="U213" s="41" t="inlineStr"/>
      <c r="V213" s="44" t="inlineStr"/>
      <c r="W213" s="41" t="inlineStr"/>
      <c r="X213" s="44" t="inlineStr">
        <is>
          <t>Partial PATCH — undefined không overwrite</t>
        </is>
      </c>
    </row>
    <row r="214" ht="80" customHeight="1">
      <c r="A214" s="41" t="inlineStr">
        <is>
          <t>TC-211</t>
        </is>
      </c>
      <c r="B214" s="46" t="inlineStr">
        <is>
          <t>RED</t>
        </is>
      </c>
      <c r="C214" s="45" t="inlineStr">
        <is>
          <t>P1</t>
        </is>
      </c>
      <c r="D214" s="44" t="inlineStr">
        <is>
          <t>POST /assignments</t>
        </is>
      </c>
      <c r="E214" s="44" t="inlineStr">
        <is>
          <t>RED — POST userId của user bị soft-delete → FK valid (user row exists)</t>
        </is>
      </c>
      <c r="F214" s="41" t="inlineStr">
        <is>
          <t>REQ-PA-BIZ</t>
        </is>
      </c>
      <c r="G214" s="41" t="inlineStr">
        <is>
          <t>State / Soft-deleted user</t>
        </is>
      </c>
      <c r="H214" s="41" t="inlineStr">
        <is>
          <t>TB</t>
        </is>
      </c>
      <c r="I214" s="44" t="inlineStr">
        <is>
          <t>user-1 bị soft-delete (deletedAt set)</t>
        </is>
      </c>
      <c r="J214" s="44" t="inlineStr">
        <is>
          <t>POST {userId:'user-1', role:'SUPPORT'}</t>
        </is>
      </c>
      <c r="K214" s="44" t="inlineStr">
        <is>
          <t>petition.new.D0, user.soft_deleted</t>
        </is>
      </c>
      <c r="L214" s="44" t="inlineStr">
        <is>
          <t>petition.new.D0</t>
        </is>
      </c>
      <c r="M214" s="44" t="inlineStr">
        <is>
          <t>-</t>
        </is>
      </c>
      <c r="N214" s="44" t="inlineStr">
        <is>
          <t>HTTP 201 (FK không fail vì row vẫn tồn tại)</t>
        </is>
      </c>
      <c r="O214" s="44" t="inlineStr">
        <is>
          <t>assignment row tạo thành công</t>
        </is>
      </c>
      <c r="P214" s="41" t="inlineStr">
        <is>
          <t>Medium</t>
        </is>
      </c>
      <c r="Q214" s="44" t="inlineStr"/>
      <c r="R214" s="41" t="inlineStr"/>
      <c r="S214" s="41" t="inlineStr"/>
      <c r="T214" s="41" t="inlineStr"/>
      <c r="U214" s="41" t="inlineStr"/>
      <c r="V214" s="44" t="inlineStr"/>
      <c r="W214" s="41" t="inlineStr"/>
      <c r="X214" s="44" t="inlineStr">
        <is>
          <t>Soft-delete ≠ hard-delete — FK still valid</t>
        </is>
      </c>
    </row>
    <row r="215" ht="80" customHeight="1">
      <c r="A215" s="41" t="inlineStr">
        <is>
          <t>TC-212</t>
        </is>
      </c>
      <c r="B215" s="46" t="inlineStr">
        <is>
          <t>RED</t>
        </is>
      </c>
      <c r="C215" s="47" t="inlineStr">
        <is>
          <t>P2</t>
        </is>
      </c>
      <c r="D215" s="44" t="inlineStr">
        <is>
          <t>GET /assignments</t>
        </is>
      </c>
      <c r="E215" s="44" t="inlineStr">
        <is>
          <t>RED — GET /assignments sau khi PATCH /assign thay đổi team → assignments vẫn giữ nguyên</t>
        </is>
      </c>
      <c r="F215" s="41" t="inlineStr">
        <is>
          <t>REQ-PA-REG</t>
        </is>
      </c>
      <c r="G215" s="41" t="inlineStr">
        <is>
          <t>Regression / Independence</t>
        </is>
      </c>
      <c r="H215" s="41" t="inlineStr">
        <is>
          <t>Cao</t>
        </is>
      </c>
      <c r="I215" s="44" t="inlineStr">
        <is>
          <t>Petition có 2 assignments + assignedTeamId=team-A</t>
        </is>
      </c>
      <c r="J215" s="44" t="inlineStr">
        <is>
          <t>1. PATCH /assign {team-B}
2. GET /assignments</t>
        </is>
      </c>
      <c r="K215" s="44" t="inlineStr">
        <is>
          <t>petition.with_2_assignments.D7</t>
        </is>
      </c>
      <c r="L215" s="44" t="inlineStr">
        <is>
          <t>petition.with_2_assignments.D7</t>
        </is>
      </c>
      <c r="M215" s="44" t="inlineStr">
        <is>
          <t>2 assignments vẫn còn</t>
        </is>
      </c>
      <c r="N215" s="44" t="inlineStr">
        <is>
          <t>GET → 2 items (PATCH /assign không xóa assignments)</t>
        </is>
      </c>
      <c r="O215" s="44" t="inlineStr">
        <is>
          <t>petition_assignments không thay đổi</t>
        </is>
      </c>
      <c r="P215" s="41" t="inlineStr">
        <is>
          <t>Critical</t>
        </is>
      </c>
      <c r="Q215" s="44" t="inlineStr"/>
      <c r="R215" s="41" t="inlineStr"/>
      <c r="S215" s="41" t="inlineStr"/>
      <c r="T215" s="41" t="inlineStr"/>
      <c r="U215" s="41" t="inlineStr"/>
      <c r="V215" s="44" t="inlineStr"/>
      <c r="W215" s="41" t="inlineStr"/>
      <c r="X215" s="44" t="inlineStr">
        <is>
          <t>PATCH /assign độc lập với petition_assignments</t>
        </is>
      </c>
    </row>
    <row r="216" ht="80" customHeight="1">
      <c r="A216" s="41" t="inlineStr">
        <is>
          <t>TC-213</t>
        </is>
      </c>
      <c r="B216" s="46" t="inlineStr">
        <is>
          <t>RED</t>
        </is>
      </c>
      <c r="C216" s="45" t="inlineStr">
        <is>
          <t>P1</t>
        </is>
      </c>
      <c r="D216" s="44" t="inlineStr">
        <is>
          <t>GET /assignments</t>
        </is>
      </c>
      <c r="E216" s="44" t="inlineStr">
        <is>
          <t>RED — GET sau DELETE → count giảm 1 chính xác</t>
        </is>
      </c>
      <c r="F216" s="41" t="inlineStr">
        <is>
          <t>REQ-PA-BIZ</t>
        </is>
      </c>
      <c r="G216" s="41" t="inlineStr">
        <is>
          <t>Negative / Count verification</t>
        </is>
      </c>
      <c r="H216" s="41" t="inlineStr">
        <is>
          <t>TB</t>
        </is>
      </c>
      <c r="I216" s="44" t="inlineStr">
        <is>
          <t>3 assignments</t>
        </is>
      </c>
      <c r="J216" s="44" t="inlineStr">
        <is>
          <t>1. GET → count=3
2. DELETE user-1
3. GET → count=2</t>
        </is>
      </c>
      <c r="K216" s="44" t="inlineStr">
        <is>
          <t>petition.with_3_assignments.D7</t>
        </is>
      </c>
      <c r="L216" s="44" t="inlineStr">
        <is>
          <t>petition.with_3_assignments.D7</t>
        </is>
      </c>
      <c r="M216" s="44" t="inlineStr">
        <is>
          <t>List giảm xuống 2</t>
        </is>
      </c>
      <c r="N216" s="44" t="inlineStr">
        <is>
          <t>GET trả về array 2 phần tử</t>
        </is>
      </c>
      <c r="O216" s="44" t="inlineStr">
        <is>
          <t>DB: 2 rows</t>
        </is>
      </c>
      <c r="P216" s="41" t="inlineStr">
        <is>
          <t>High</t>
        </is>
      </c>
      <c r="Q216" s="44" t="inlineStr"/>
      <c r="R216" s="41" t="inlineStr"/>
      <c r="S216" s="41" t="inlineStr"/>
      <c r="T216" s="41" t="inlineStr"/>
      <c r="U216" s="41" t="inlineStr"/>
      <c r="V216" s="44" t="inlineStr"/>
      <c r="W216" s="41" t="inlineStr"/>
      <c r="X216" s="44" t="inlineStr">
        <is>
          <t>Delete accuracy</t>
        </is>
      </c>
    </row>
    <row r="217" ht="80" customHeight="1">
      <c r="A217" s="41" t="inlineStr">
        <is>
          <t>TC-214</t>
        </is>
      </c>
      <c r="B217" s="46" t="inlineStr">
        <is>
          <t>RED</t>
        </is>
      </c>
      <c r="C217" s="45" t="inlineStr">
        <is>
          <t>P1</t>
        </is>
      </c>
      <c r="D217" s="44" t="inlineStr">
        <is>
          <t>POST /assignments</t>
        </is>
      </c>
      <c r="E217" s="44" t="inlineStr">
        <is>
          <t>RED — POST với assignedTeamId field trong body → ignored (không phải field hợp lệ của DTO)</t>
        </is>
      </c>
      <c r="F217" s="41" t="inlineStr">
        <is>
          <t>REQ-PA-VALID</t>
        </is>
      </c>
      <c r="G217" s="41" t="inlineStr">
        <is>
          <t>Mass assignment safety</t>
        </is>
      </c>
      <c r="H217" s="41" t="inlineStr">
        <is>
          <t>TB</t>
        </is>
      </c>
      <c r="I217" s="44" t="inlineStr">
        <is>
          <t>-</t>
        </is>
      </c>
      <c r="J217" s="44" t="inlineStr">
        <is>
          <t>POST {userId:'u1', role:'SUPPORT', assignedTeamId:'team-X'}</t>
        </is>
      </c>
      <c r="K217" s="44" t="inlineStr">
        <is>
          <t>petition.new.D0</t>
        </is>
      </c>
      <c r="L217" s="44" t="inlineStr">
        <is>
          <t>petition.new.D0</t>
        </is>
      </c>
      <c r="M217" s="44" t="inlineStr">
        <is>
          <t>-</t>
        </is>
      </c>
      <c r="N217" s="44" t="inlineStr">
        <is>
          <t>HTTP 201, petition.assignedTeamId không đổi</t>
        </is>
      </c>
      <c r="O217" s="44" t="inlineStr">
        <is>
          <t>assignedTeamId trong petition KHÔNG thay đổi</t>
        </is>
      </c>
      <c r="P217" s="41" t="inlineStr">
        <is>
          <t>High</t>
        </is>
      </c>
      <c r="Q217" s="44" t="inlineStr"/>
      <c r="R217" s="41" t="inlineStr"/>
      <c r="S217" s="41" t="inlineStr"/>
      <c r="T217" s="41" t="inlineStr"/>
      <c r="U217" s="41" t="inlineStr"/>
      <c r="V217" s="44" t="inlineStr"/>
      <c r="W217" s="41" t="inlineStr"/>
      <c r="X217" s="44" t="inlineStr">
        <is>
          <t>DTO không có assignedTeamId field</t>
        </is>
      </c>
    </row>
    <row r="218" ht="80" customHeight="1">
      <c r="A218" s="41" t="inlineStr">
        <is>
          <t>TC-215</t>
        </is>
      </c>
      <c r="B218" s="46" t="inlineStr">
        <is>
          <t>RED</t>
        </is>
      </c>
      <c r="C218" s="47" t="inlineStr">
        <is>
          <t>P2</t>
        </is>
      </c>
      <c r="D218" s="44" t="inlineStr">
        <is>
          <t>POST /assignments</t>
        </is>
      </c>
      <c r="E218" s="44" t="inlineStr">
        <is>
          <t>RED — POST cùng userId nhưng khác role → vẫn 409 (unique per userId, không phải role)</t>
        </is>
      </c>
      <c r="F218" s="41" t="inlineStr">
        <is>
          <t>REQ-PA-BIZ</t>
        </is>
      </c>
      <c r="G218" s="41" t="inlineStr">
        <is>
          <t>Negative / Unique constraint</t>
        </is>
      </c>
      <c r="H218" s="41" t="inlineStr">
        <is>
          <t>TB</t>
        </is>
      </c>
      <c r="I218" s="44" t="inlineStr">
        <is>
          <t>user-1 đã assigned với role LEAD</t>
        </is>
      </c>
      <c r="J218" s="44" t="inlineStr">
        <is>
          <t>POST {userId:'user-1', role:'SUPPORT'}</t>
        </is>
      </c>
      <c r="K218" s="44" t="inlineStr">
        <is>
          <t>petition.with_lead_assignment.D7</t>
        </is>
      </c>
      <c r="L218" s="44" t="inlineStr">
        <is>
          <t>petition.with_lead_assignment.D7</t>
        </is>
      </c>
      <c r="M218" s="44" t="inlineStr">
        <is>
          <t>-</t>
        </is>
      </c>
      <c r="N218" s="44" t="inlineStr">
        <is>
          <t>HTTP 409 (@@unique([petitionId, userId]) — không quan tâm role)</t>
        </is>
      </c>
      <c r="O218" s="44" t="inlineStr">
        <is>
          <t>Không tạo row mới</t>
        </is>
      </c>
      <c r="P218" s="41" t="inlineStr">
        <is>
          <t>Critical</t>
        </is>
      </c>
      <c r="Q218" s="44" t="inlineStr"/>
      <c r="R218" s="41" t="inlineStr"/>
      <c r="S218" s="41" t="inlineStr"/>
      <c r="T218" s="41" t="inlineStr"/>
      <c r="U218" s="41" t="inlineStr"/>
      <c r="V218" s="44" t="inlineStr"/>
      <c r="W218" s="41" t="inlineStr"/>
      <c r="X218" s="44" t="inlineStr">
        <is>
          <t>Role không phân biệt trong unique constraint</t>
        </is>
      </c>
    </row>
    <row r="219" ht="80" customHeight="1">
      <c r="A219" s="41" t="inlineStr">
        <is>
          <t>TC-216</t>
        </is>
      </c>
      <c r="B219" s="46" t="inlineStr">
        <is>
          <t>RED</t>
        </is>
      </c>
      <c r="C219" s="47" t="inlineStr">
        <is>
          <t>P2</t>
        </is>
      </c>
      <c r="D219" s="44" t="inlineStr">
        <is>
          <t>GET /assignments</t>
        </is>
      </c>
      <c r="E219" s="44" t="inlineStr">
        <is>
          <t>RED — GET /assignments khi network slow (2s) → loading state ổn định</t>
        </is>
      </c>
      <c r="F219" s="41" t="inlineStr">
        <is>
          <t>REQ-PA-UX</t>
        </is>
      </c>
      <c r="G219" s="41" t="inlineStr">
        <is>
          <t>Performance / Network delay</t>
        </is>
      </c>
      <c r="H219" s="41" t="inlineStr">
        <is>
          <t>Thấp</t>
        </is>
      </c>
      <c r="I219" s="44" t="inlineStr">
        <is>
          <t>Simulate slow network 2s delay</t>
        </is>
      </c>
      <c r="J219" s="44" t="inlineStr">
        <is>
          <t>Open edit page với throttled network</t>
        </is>
      </c>
      <c r="K219" s="44" t="inlineStr">
        <is>
          <t>petition.any.D7</t>
        </is>
      </c>
      <c r="L219" s="44" t="inlineStr">
        <is>
          <t>petition.any.D7</t>
        </is>
      </c>
      <c r="M219" s="44" t="inlineStr">
        <is>
          <t>Section render nhưng list empty → sau 2s → list update (không crash)</t>
        </is>
      </c>
      <c r="N219" s="44" t="inlineStr">
        <is>
          <t>-</t>
        </is>
      </c>
      <c r="O219" s="44" t="inlineStr">
        <is>
          <t>-</t>
        </is>
      </c>
      <c r="P219" s="41" t="inlineStr">
        <is>
          <t>Low</t>
        </is>
      </c>
      <c r="Q219" s="44" t="inlineStr"/>
      <c r="R219" s="41" t="inlineStr"/>
      <c r="S219" s="41" t="inlineStr"/>
      <c r="T219" s="41" t="inlineStr"/>
      <c r="U219" s="41" t="inlineStr"/>
      <c r="V219" s="44" t="inlineStr"/>
      <c r="W219" s="41" t="inlineStr"/>
      <c r="X219" s="44" t="inlineStr">
        <is>
          <t>useEffect async — no loading state for GET (design choice)</t>
        </is>
      </c>
    </row>
    <row r="220" ht="80" customHeight="1">
      <c r="A220" s="41" t="inlineStr">
        <is>
          <t>TC-217</t>
        </is>
      </c>
      <c r="B220" s="46" t="inlineStr">
        <is>
          <t>RED</t>
        </is>
      </c>
      <c r="C220" s="45" t="inlineStr">
        <is>
          <t>P1</t>
        </is>
      </c>
      <c r="D220" s="44" t="inlineStr">
        <is>
          <t>PATCH /assign</t>
        </is>
      </c>
      <c r="E220" s="44" t="inlineStr">
        <is>
          <t>RED — PATCH /assign khi petition bị archive → ...</t>
        </is>
      </c>
      <c r="F220" s="41" t="inlineStr">
        <is>
          <t>REQ-PA-BIZ</t>
        </is>
      </c>
      <c r="G220" s="41" t="inlineStr">
        <is>
          <t>State / Archived petition</t>
        </is>
      </c>
      <c r="H220" s="41" t="inlineStr">
        <is>
          <t>TB</t>
        </is>
      </c>
      <c r="I220" s="44" t="inlineStr">
        <is>
          <t>Petition status=DA_DONG</t>
        </is>
      </c>
      <c r="J220" s="44" t="inlineStr">
        <is>
          <t>PATCH /assign {assignedTeamId, expectedUpdatedAt}</t>
        </is>
      </c>
      <c r="K220" s="44" t="inlineStr">
        <is>
          <t>petition.closed.D30</t>
        </is>
      </c>
      <c r="L220" s="44" t="inlineStr">
        <is>
          <t>petition.closed.D30</t>
        </is>
      </c>
      <c r="M220" s="44" t="inlineStr">
        <is>
          <t>-</t>
        </is>
      </c>
      <c r="N220" s="44" t="inlineStr">
        <is>
          <t>HTTP 200 (không có status gate) hoặc HTTP 400 nếu có validation</t>
        </is>
      </c>
      <c r="O220" s="44" t="inlineStr">
        <is>
          <t>Tùy business rule</t>
        </is>
      </c>
      <c r="P220" s="41" t="inlineStr">
        <is>
          <t>Medium</t>
        </is>
      </c>
      <c r="Q220" s="44" t="inlineStr"/>
      <c r="R220" s="41" t="inlineStr"/>
      <c r="S220" s="41" t="inlineStr"/>
      <c r="T220" s="41" t="inlineStr"/>
      <c r="U220" s="41" t="inlineStr"/>
      <c r="V220" s="44" t="inlineStr"/>
      <c r="W220" s="41" t="inlineStr"/>
      <c r="X220" s="44" t="inlineStr">
        <is>
          <t>Kiểm tra xem có status validation không</t>
        </is>
      </c>
    </row>
    <row r="221" ht="80" customHeight="1">
      <c r="A221" s="41" t="inlineStr">
        <is>
          <t>TC-218</t>
        </is>
      </c>
      <c r="B221" s="46" t="inlineStr">
        <is>
          <t>RED</t>
        </is>
      </c>
      <c r="C221" s="47" t="inlineStr">
        <is>
          <t>P2</t>
        </is>
      </c>
      <c r="D221" s="44" t="inlineStr">
        <is>
          <t>POST /assignments</t>
        </is>
      </c>
      <c r="E221" s="44" t="inlineStr">
        <is>
          <t>RED — POST với userId có leading/trailing spaces → exact match hoặc trimmed</t>
        </is>
      </c>
      <c r="F221" s="41" t="inlineStr">
        <is>
          <t>REQ-PA-DATA</t>
        </is>
      </c>
      <c r="G221" s="41" t="inlineStr">
        <is>
          <t>Data / Whitespace</t>
        </is>
      </c>
      <c r="H221" s="41" t="inlineStr">
        <is>
          <t>TB</t>
        </is>
      </c>
      <c r="I221" s="44" t="inlineStr">
        <is>
          <t>-</t>
        </is>
      </c>
      <c r="J221" s="44" t="inlineStr">
        <is>
          <t>POST {userId:' user-1 ', role:'SUPPORT'}</t>
        </is>
      </c>
      <c r="K221" s="44" t="inlineStr">
        <is>
          <t>petition.new.D0</t>
        </is>
      </c>
      <c r="L221" s="44" t="inlineStr">
        <is>
          <t>petition.new.D0</t>
        </is>
      </c>
      <c r="M221" s="44" t="inlineStr">
        <is>
          <t>-</t>
        </is>
      </c>
      <c r="N221" s="44" t="inlineStr">
        <is>
          <t>HTTP 201 với trimmed userId hoặc HTTP 404 (exact match failed)</t>
        </is>
      </c>
      <c r="O221" s="44" t="inlineStr">
        <is>
          <t>Tùy BE trim behavior</t>
        </is>
      </c>
      <c r="P221" s="41" t="inlineStr">
        <is>
          <t>Low</t>
        </is>
      </c>
      <c r="Q221" s="44" t="inlineStr"/>
      <c r="R221" s="41" t="inlineStr"/>
      <c r="S221" s="41" t="inlineStr"/>
      <c r="T221" s="41" t="inlineStr"/>
      <c r="U221" s="41" t="inlineStr"/>
      <c r="V221" s="44" t="inlineStr"/>
      <c r="W221" s="41" t="inlineStr"/>
      <c r="X221" s="44" t="inlineStr">
        <is>
          <t>Whitespace handling</t>
        </is>
      </c>
    </row>
    <row r="222" ht="80" customHeight="1">
      <c r="A222" s="41" t="inlineStr">
        <is>
          <t>TC-219</t>
        </is>
      </c>
      <c r="B222" s="46" t="inlineStr">
        <is>
          <t>RED</t>
        </is>
      </c>
      <c r="C222" s="45" t="inlineStr">
        <is>
          <t>P1</t>
        </is>
      </c>
      <c r="D222" s="44" t="inlineStr">
        <is>
          <t>POST /assignments</t>
        </is>
      </c>
      <c r="E222" s="44" t="inlineStr">
        <is>
          <t>RED — POST không có Authorization header nhưng có cookie → vẫn 401</t>
        </is>
      </c>
      <c r="F222" s="41" t="inlineStr">
        <is>
          <t>REQ-PA-AUTH</t>
        </is>
      </c>
      <c r="G222" s="41" t="inlineStr">
        <is>
          <t>Security / Auth method</t>
        </is>
      </c>
      <c r="H222" s="41" t="inlineStr">
        <is>
          <t>Cao</t>
        </is>
      </c>
      <c r="I222" s="44" t="inlineStr">
        <is>
          <t>-</t>
        </is>
      </c>
      <c r="J222" s="44" t="inlineStr">
        <is>
          <t>POST với Cookie header nhưng không có Authorization: Bearer</t>
        </is>
      </c>
      <c r="K222" s="44" t="inlineStr">
        <is>
          <t>petition.any.D7</t>
        </is>
      </c>
      <c r="L222" s="44" t="inlineStr">
        <is>
          <t>petition.any.D7</t>
        </is>
      </c>
      <c r="M222" s="44" t="inlineStr">
        <is>
          <t>-</t>
        </is>
      </c>
      <c r="N222" s="44" t="inlineStr">
        <is>
          <t>HTTP 401 (JWT từ header, không phải cookie)</t>
        </is>
      </c>
      <c r="O222" s="44" t="inlineStr">
        <is>
          <t>-</t>
        </is>
      </c>
      <c r="P222" s="41" t="inlineStr">
        <is>
          <t>Critical</t>
        </is>
      </c>
      <c r="Q222" s="44" t="inlineStr"/>
      <c r="R222" s="41" t="inlineStr"/>
      <c r="S222" s="41" t="inlineStr"/>
      <c r="T222" s="41" t="inlineStr"/>
      <c r="U222" s="41" t="inlineStr"/>
      <c r="V222" s="44" t="inlineStr"/>
      <c r="W222" s="41" t="inlineStr"/>
      <c r="X222" s="44" t="inlineStr">
        <is>
          <t>JWT strategy sử dụng header, không phải cookie</t>
        </is>
      </c>
    </row>
    <row r="223" ht="80" customHeight="1">
      <c r="A223" s="41" t="inlineStr">
        <is>
          <t>TC-220</t>
        </is>
      </c>
      <c r="B223" s="46" t="inlineStr">
        <is>
          <t>RED</t>
        </is>
      </c>
      <c r="C223" s="47" t="inlineStr">
        <is>
          <t>P2</t>
        </is>
      </c>
      <c r="D223" s="44" t="inlineStr">
        <is>
          <t>DELETE /assignments</t>
        </is>
      </c>
      <c r="E223" s="44" t="inlineStr">
        <is>
          <t>RED — DELETE sau khi petition được restore (undelete) → assignment có thể xóa bình thường</t>
        </is>
      </c>
      <c r="F223" s="41" t="inlineStr">
        <is>
          <t>REQ-PA-BIZ</t>
        </is>
      </c>
      <c r="G223" s="41" t="inlineStr">
        <is>
          <t>State / Restore</t>
        </is>
      </c>
      <c r="H223" s="41" t="inlineStr">
        <is>
          <t>TB</t>
        </is>
      </c>
      <c r="I223" s="44" t="inlineStr">
        <is>
          <t>Petition restore từ soft-delete</t>
        </is>
      </c>
      <c r="J223" s="44" t="inlineStr">
        <is>
          <t>DELETE /assignments/user-1 sau khi petition restored</t>
        </is>
      </c>
      <c r="K223" s="44" t="inlineStr">
        <is>
          <t>petition.restored.D7</t>
        </is>
      </c>
      <c r="L223" s="44" t="inlineStr">
        <is>
          <t>petition.restored.D7</t>
        </is>
      </c>
      <c r="M223" s="44" t="inlineStr">
        <is>
          <t>-</t>
        </is>
      </c>
      <c r="N223" s="44" t="inlineStr">
        <is>
          <t>HTTP 200</t>
        </is>
      </c>
      <c r="O223" s="44" t="inlineStr">
        <is>
          <t>Row xóa</t>
        </is>
      </c>
      <c r="P223" s="41" t="inlineStr">
        <is>
          <t>Medium</t>
        </is>
      </c>
      <c r="Q223" s="44" t="inlineStr"/>
      <c r="R223" s="41" t="inlineStr"/>
      <c r="S223" s="41" t="inlineStr"/>
      <c r="T223" s="41" t="inlineStr"/>
      <c r="U223" s="41" t="inlineStr"/>
      <c r="V223" s="44" t="inlineStr"/>
      <c r="W223" s="41" t="inlineStr"/>
      <c r="X223" s="44" t="inlineStr">
        <is>
          <t>Restore flow</t>
        </is>
      </c>
    </row>
    <row r="224" ht="80" customHeight="1">
      <c r="A224" s="41" t="inlineStr">
        <is>
          <t>TC-221</t>
        </is>
      </c>
      <c r="B224" s="46" t="inlineStr">
        <is>
          <t>RED</t>
        </is>
      </c>
      <c r="C224" s="45" t="inlineStr">
        <is>
          <t>P1</t>
        </is>
      </c>
      <c r="D224" s="44" t="inlineStr">
        <is>
          <t>GET /assignments</t>
        </is>
      </c>
      <c r="E224" s="44" t="inlineStr">
        <is>
          <t>RED — GET /assignments trả về data sau khi có change từ tab khác (race)</t>
        </is>
      </c>
      <c r="F224" s="41" t="inlineStr">
        <is>
          <t>REQ-PA-UX</t>
        </is>
      </c>
      <c r="G224" s="41" t="inlineStr">
        <is>
          <t>Concurrency / Multi-tab</t>
        </is>
      </c>
      <c r="H224" s="41" t="inlineStr">
        <is>
          <t>TB</t>
        </is>
      </c>
      <c r="I224" s="44" t="inlineStr">
        <is>
          <t>2 tabs cùng mở edit page</t>
        </is>
      </c>
      <c r="J224" s="44" t="inlineStr">
        <is>
          <t>Tab A: add user-3. Tab B: GET /assignments</t>
        </is>
      </c>
      <c r="K224" s="44" t="inlineStr">
        <is>
          <t>petition.new.D0</t>
        </is>
      </c>
      <c r="L224" s="44" t="inlineStr">
        <is>
          <t>petition.new.D0</t>
        </is>
      </c>
      <c r="M224" s="44" t="inlineStr">
        <is>
          <t>Tab B thấy user-3 sau reload</t>
        </is>
      </c>
      <c r="N224" s="44" t="inlineStr">
        <is>
          <t>GET trong Tab B trả về fresh data</t>
        </is>
      </c>
      <c r="O224" s="44" t="inlineStr">
        <is>
          <t>-</t>
        </is>
      </c>
      <c r="P224" s="41" t="inlineStr">
        <is>
          <t>Medium</t>
        </is>
      </c>
      <c r="Q224" s="44" t="inlineStr"/>
      <c r="R224" s="41" t="inlineStr"/>
      <c r="S224" s="41" t="inlineStr"/>
      <c r="T224" s="41" t="inlineStr"/>
      <c r="U224" s="41" t="inlineStr"/>
      <c r="V224" s="44" t="inlineStr"/>
      <c r="W224" s="41" t="inlineStr"/>
      <c r="X224" s="44" t="inlineStr">
        <is>
          <t>No real-time sync — need page refresh</t>
        </is>
      </c>
    </row>
    <row r="225" ht="80" customHeight="1">
      <c r="A225" s="41" t="inlineStr">
        <is>
          <t>TC-222</t>
        </is>
      </c>
      <c r="B225" s="46" t="inlineStr">
        <is>
          <t>RED</t>
        </is>
      </c>
      <c r="C225" s="45" t="inlineStr">
        <is>
          <t>P1</t>
        </is>
      </c>
      <c r="D225" s="44" t="inlineStr">
        <is>
          <t>POST /assignments</t>
        </is>
      </c>
      <c r="E225" s="44" t="inlineStr">
        <is>
          <t>RED — POST với oversized payload (1MB body) → 413 Request Too Large</t>
        </is>
      </c>
      <c r="F225" s="41" t="inlineStr">
        <is>
          <t>REQ-PA-VALID</t>
        </is>
      </c>
      <c r="G225" s="41" t="inlineStr">
        <is>
          <t>Negative / Large payload</t>
        </is>
      </c>
      <c r="H225" s="41" t="inlineStr">
        <is>
          <t>TB</t>
        </is>
      </c>
      <c r="I225" s="44" t="inlineStr">
        <is>
          <t>-</t>
        </is>
      </c>
      <c r="J225" s="44" t="inlineStr">
        <is>
          <t>POST /assignments với body 1MB (padding extra fields)</t>
        </is>
      </c>
      <c r="K225" s="44" t="inlineStr">
        <is>
          <t>petition.new.D0</t>
        </is>
      </c>
      <c r="L225" s="44" t="inlineStr">
        <is>
          <t>petition.new.D0</t>
        </is>
      </c>
      <c r="M225" s="44" t="inlineStr">
        <is>
          <t>-</t>
        </is>
      </c>
      <c r="N225" s="44" t="inlineStr">
        <is>
          <t>HTTP 413 hoặc 400</t>
        </is>
      </c>
      <c r="O225" s="44" t="inlineStr">
        <is>
          <t>-</t>
        </is>
      </c>
      <c r="P225" s="41" t="inlineStr">
        <is>
          <t>Medium</t>
        </is>
      </c>
      <c r="Q225" s="44" t="inlineStr"/>
      <c r="R225" s="41" t="inlineStr"/>
      <c r="S225" s="41" t="inlineStr"/>
      <c r="T225" s="41" t="inlineStr"/>
      <c r="U225" s="41" t="inlineStr"/>
      <c r="V225" s="44" t="inlineStr"/>
      <c r="W225" s="41" t="inlineStr"/>
      <c r="X225" s="44" t="inlineStr">
        <is>
          <t>NestJS body size limit default 10MB</t>
        </is>
      </c>
    </row>
    <row r="226" ht="80" customHeight="1">
      <c r="A226" s="41" t="inlineStr">
        <is>
          <t>TC-223</t>
        </is>
      </c>
      <c r="B226" s="46" t="inlineStr">
        <is>
          <t>RED</t>
        </is>
      </c>
      <c r="C226" s="45" t="inlineStr">
        <is>
          <t>P1</t>
        </is>
      </c>
      <c r="D226" s="44" t="inlineStr">
        <is>
          <t>GET /assignments</t>
        </is>
      </c>
      <c r="E226" s="44" t="inlineStr">
        <is>
          <t>RED — Multiple GET requests đồng thời từ cùng component → abort tất cả trừ last</t>
        </is>
      </c>
      <c r="F226" s="41" t="inlineStr">
        <is>
          <t>REQ-PA-PERF</t>
        </is>
      </c>
      <c r="G226" s="41" t="inlineStr">
        <is>
          <t>Concurrency / AbortController</t>
        </is>
      </c>
      <c r="H226" s="41" t="inlineStr">
        <is>
          <t>TB</t>
        </is>
      </c>
      <c r="I226" s="44" t="inlineStr">
        <is>
          <t>-</t>
        </is>
      </c>
      <c r="J226" s="44" t="inlineStr">
        <is>
          <t>petitionId thay đổi nhanh 3 lần</t>
        </is>
      </c>
      <c r="K226" s="44" t="inlineStr">
        <is>
          <t>multiple petitions</t>
        </is>
      </c>
      <c r="L226" s="44" t="inlineStr">
        <is>
          <t>petition.any.D7</t>
        </is>
      </c>
      <c r="M226" s="44" t="inlineStr">
        <is>
          <t>Chỉ data của petition cuối cùng hiển thị</t>
        </is>
      </c>
      <c r="N226" s="44" t="inlineStr">
        <is>
          <t>Các request cũ bị abort</t>
        </is>
      </c>
      <c r="O226" s="44" t="inlineStr">
        <is>
          <t>AbortController cancel previous requests</t>
        </is>
      </c>
      <c r="P226" s="41" t="inlineStr">
        <is>
          <t>Medium</t>
        </is>
      </c>
      <c r="Q226" s="44" t="inlineStr"/>
      <c r="R226" s="41" t="inlineStr"/>
      <c r="S226" s="41" t="inlineStr"/>
      <c r="T226" s="41" t="inlineStr"/>
      <c r="U226" s="41" t="inlineStr"/>
      <c r="V226" s="44" t="inlineStr"/>
      <c r="W226" s="41" t="inlineStr"/>
      <c r="X226" s="44" t="inlineStr">
        <is>
          <t>useEffect cleanup = controller.abort()</t>
        </is>
      </c>
    </row>
    <row r="227" ht="80" customHeight="1">
      <c r="A227" s="41" t="inlineStr">
        <is>
          <t>TC-224</t>
        </is>
      </c>
      <c r="B227" s="46" t="inlineStr">
        <is>
          <t>RED</t>
        </is>
      </c>
      <c r="C227" s="47" t="inlineStr">
        <is>
          <t>P2</t>
        </is>
      </c>
      <c r="D227" s="44" t="inlineStr">
        <is>
          <t>PATCH /assign</t>
        </is>
      </c>
      <c r="E227" s="44" t="inlineStr">
        <is>
          <t>RED — PATCH /assign với expectedUpdatedAt = 9999-12-31 (far future) → conflict nếu petition.updatedAt &lt; 9999</t>
        </is>
      </c>
      <c r="F227" s="41" t="inlineStr">
        <is>
          <t>REQ-PA-BIZ</t>
        </is>
      </c>
      <c r="G227" s="41" t="inlineStr">
        <is>
          <t>Boundary / Timestamp</t>
        </is>
      </c>
      <c r="H227" s="41" t="inlineStr">
        <is>
          <t>TB</t>
        </is>
      </c>
      <c r="I227" s="44" t="inlineStr">
        <is>
          <t>-</t>
        </is>
      </c>
      <c r="J227" s="44" t="inlineStr">
        <is>
          <t>PATCH /assign với expectedUpdatedAt='9999-12-31T00:00:00Z'</t>
        </is>
      </c>
      <c r="K227" s="44" t="inlineStr">
        <is>
          <t>petition.any.D7</t>
        </is>
      </c>
      <c r="L227" s="44" t="inlineStr">
        <is>
          <t>petition.any.D7</t>
        </is>
      </c>
      <c r="M227" s="44" t="inlineStr">
        <is>
          <t>-</t>
        </is>
      </c>
      <c r="N227" s="44" t="inlineStr">
        <is>
          <t>HTTP 409 (petition.updatedAt &lt; 9999-12-31)</t>
        </is>
      </c>
      <c r="O227" s="44" t="inlineStr">
        <is>
          <t>-</t>
        </is>
      </c>
      <c r="P227" s="41" t="inlineStr">
        <is>
          <t>Low</t>
        </is>
      </c>
      <c r="Q227" s="44" t="inlineStr"/>
      <c r="R227" s="41" t="inlineStr"/>
      <c r="S227" s="41" t="inlineStr"/>
      <c r="T227" s="41" t="inlineStr"/>
      <c r="U227" s="41" t="inlineStr"/>
      <c r="V227" s="44" t="inlineStr"/>
      <c r="W227" s="41" t="inlineStr"/>
      <c r="X227" s="44" t="inlineStr">
        <is>
          <t>Optimistic lock future timestamp</t>
        </is>
      </c>
    </row>
    <row r="228" ht="80" customHeight="1">
      <c r="A228" s="41" t="inlineStr">
        <is>
          <t>TC-225</t>
        </is>
      </c>
      <c r="B228" s="46" t="inlineStr">
        <is>
          <t>RED</t>
        </is>
      </c>
      <c r="C228" s="47" t="inlineStr">
        <is>
          <t>P2</t>
        </is>
      </c>
      <c r="D228" s="44" t="inlineStr">
        <is>
          <t>POST /assignments</t>
        </is>
      </c>
      <c r="E228" s="44" t="inlineStr">
        <is>
          <t>RED — POST /assignments role='lead' (lowercase) → lưu như 'lead' hoặc 400</t>
        </is>
      </c>
      <c r="F228" s="41" t="inlineStr">
        <is>
          <t>REQ-PA-VALID</t>
        </is>
      </c>
      <c r="G228" s="41" t="inlineStr">
        <is>
          <t>Data / Case sensitivity</t>
        </is>
      </c>
      <c r="H228" s="41" t="inlineStr">
        <is>
          <t>TB</t>
        </is>
      </c>
      <c r="I228" s="44" t="inlineStr">
        <is>
          <t>-</t>
        </is>
      </c>
      <c r="J228" s="44" t="inlineStr">
        <is>
          <t>POST {userId:'u1', role:'lead'}</t>
        </is>
      </c>
      <c r="K228" s="44" t="inlineStr">
        <is>
          <t>petition.new.D0</t>
        </is>
      </c>
      <c r="L228" s="44" t="inlineStr">
        <is>
          <t>petition.new.D0</t>
        </is>
      </c>
      <c r="M228" s="44" t="inlineStr">
        <is>
          <t>Nếu 201: badge hiển thị gì? Nếu 400: error</t>
        </is>
      </c>
      <c r="N228" s="44" t="inlineStr">
        <is>
          <t>HTTP 201 (stored as 'lead') hoặc HTTP 400</t>
        </is>
      </c>
      <c r="O228" s="44" t="inlineStr">
        <is>
          <t>DB: role='lead' nếu không validate</t>
        </is>
      </c>
      <c r="P228" s="41" t="inlineStr">
        <is>
          <t>Medium</t>
        </is>
      </c>
      <c r="Q228" s="44" t="inlineStr"/>
      <c r="R228" s="41" t="inlineStr"/>
      <c r="S228" s="41" t="inlineStr"/>
      <c r="T228" s="41" t="inlineStr"/>
      <c r="U228" s="41" t="inlineStr"/>
      <c r="V228" s="44" t="inlineStr"/>
      <c r="W228" s="41" t="inlineStr"/>
      <c r="X228" s="44" t="inlineStr">
        <is>
          <t>String type không enforce uppercase</t>
        </is>
      </c>
    </row>
    <row r="229" ht="80" customHeight="1">
      <c r="A229" s="41" t="inlineStr">
        <is>
          <t>TC-226</t>
        </is>
      </c>
      <c r="B229" s="46" t="inlineStr">
        <is>
          <t>RED</t>
        </is>
      </c>
      <c r="C229" s="45" t="inlineStr">
        <is>
          <t>P1</t>
        </is>
      </c>
      <c r="D229" s="44" t="inlineStr">
        <is>
          <t>UI Phân công</t>
        </is>
      </c>
      <c r="E229" s="44" t="inlineStr">
        <is>
          <t>RED — Error message tự xóa sau lần thêm/xóa thành công tiếp theo</t>
        </is>
      </c>
      <c r="F229" s="41" t="inlineStr">
        <is>
          <t>REQ-PA-UX</t>
        </is>
      </c>
      <c r="G229" s="41" t="inlineStr">
        <is>
          <t>State / Error reset</t>
        </is>
      </c>
      <c r="H229" s="41" t="inlineStr">
        <is>
          <t>TB</t>
        </is>
      </c>
      <c r="I229" s="44" t="inlineStr">
        <is>
          <t>Có error message đang hiển thị</t>
        </is>
      </c>
      <c r="J229" s="44" t="inlineStr">
        <is>
          <t>1. Trigger error (add fail)
2. Thêm user khác thành công
3. Kiểm tra error message</t>
        </is>
      </c>
      <c r="K229" s="44" t="inlineStr">
        <is>
          <t>petition.new.D0</t>
        </is>
      </c>
      <c r="L229" s="44" t="inlineStr">
        <is>
          <t>petition.new.D0</t>
        </is>
      </c>
      <c r="M229" s="44" t="inlineStr">
        <is>
          <t>Error message biến mất sau success</t>
        </is>
      </c>
      <c r="N229" s="44" t="inlineStr">
        <is>
          <t>-</t>
        </is>
      </c>
      <c r="O229" s="44" t="inlineStr">
        <is>
          <t>setAddError(null) ở đầu handleAdd</t>
        </is>
      </c>
      <c r="P229" s="41" t="inlineStr">
        <is>
          <t>Medium</t>
        </is>
      </c>
      <c r="Q229" s="44" t="inlineStr"/>
      <c r="R229" s="41" t="inlineStr"/>
      <c r="S229" s="41" t="inlineStr"/>
      <c r="T229" s="41" t="inlineStr"/>
      <c r="U229" s="41" t="inlineStr"/>
      <c r="V229" s="44" t="inlineStr"/>
      <c r="W229" s="41" t="inlineStr"/>
      <c r="X229" s="44" t="inlineStr">
        <is>
          <t>handleAdd: setAddError(null) → then try</t>
        </is>
      </c>
    </row>
    <row r="230" ht="80" customHeight="1">
      <c r="A230" s="41" t="inlineStr">
        <is>
          <t>TC-227</t>
        </is>
      </c>
      <c r="B230" s="46" t="inlineStr">
        <is>
          <t>RED</t>
        </is>
      </c>
      <c r="C230" s="47" t="inlineStr">
        <is>
          <t>P2</t>
        </is>
      </c>
      <c r="D230" s="44" t="inlineStr">
        <is>
          <t>GET /assignments</t>
        </is>
      </c>
      <c r="E230" s="44" t="inlineStr">
        <is>
          <t>RED — GET sau PATCH /assign với new leader → GET không tự include leader (2 systems riêng)</t>
        </is>
      </c>
      <c r="F230" s="41" t="inlineStr">
        <is>
          <t>REQ-PA-BIZ</t>
        </is>
      </c>
      <c r="G230" s="41" t="inlineStr">
        <is>
          <t>Integration / System boundary</t>
        </is>
      </c>
      <c r="H230" s="41" t="inlineStr">
        <is>
          <t>Cao</t>
        </is>
      </c>
      <c r="I230" s="44" t="inlineStr">
        <is>
          <t>Petition vừa được PATCH /assign với leaderA</t>
        </is>
      </c>
      <c r="J230" s="44" t="inlineStr">
        <is>
          <t>GET /petitions/:id/assignments ngay sau PATCH</t>
        </is>
      </c>
      <c r="K230" s="44" t="inlineStr">
        <is>
          <t>petition.unassigned.D0, team.with_leader</t>
        </is>
      </c>
      <c r="L230" s="44" t="inlineStr">
        <is>
          <t>petition.unassigned.D0</t>
        </is>
      </c>
      <c r="M230" s="44" t="inlineStr">
        <is>
          <t>GET /assignments trả về [] (auto-assign là petition field, không phải PetitionAssignment record)</t>
        </is>
      </c>
      <c r="N230" s="44" t="inlineStr">
        <is>
          <t>HTTP 200, data=[] hoặc data chỉ có manual assignments</t>
        </is>
      </c>
      <c r="O230" s="44" t="inlineStr">
        <is>
          <t>Hai hệ thống độc lập</t>
        </is>
      </c>
      <c r="P230" s="41" t="inlineStr">
        <is>
          <t>Critical</t>
        </is>
      </c>
      <c r="Q230" s="44" t="inlineStr"/>
      <c r="R230" s="41" t="inlineStr"/>
      <c r="S230" s="41" t="inlineStr"/>
      <c r="T230" s="41" t="inlineStr"/>
      <c r="U230" s="41" t="inlineStr"/>
      <c r="V230" s="44" t="inlineStr"/>
      <c r="W230" s="41" t="inlineStr"/>
      <c r="X230" s="44" t="inlineStr">
        <is>
          <t>petition.assignedToId ≠ PetitionAssignment — phân biệt rõ</t>
        </is>
      </c>
    </row>
    <row r="231" ht="80" customHeight="1">
      <c r="A231" s="41" t="inlineStr">
        <is>
          <t>TC-228</t>
        </is>
      </c>
      <c r="B231" s="46" t="inlineStr">
        <is>
          <t>RED</t>
        </is>
      </c>
      <c r="C231" s="47" t="inlineStr">
        <is>
          <t>P2</t>
        </is>
      </c>
      <c r="D231" s="44" t="inlineStr">
        <is>
          <t>POST /assignments</t>
        </is>
      </c>
      <c r="E231" s="44" t="inlineStr">
        <is>
          <t>RED — POST thành công nhưng server mất response (network drop sau 201) → UI state</t>
        </is>
      </c>
      <c r="F231" s="41" t="inlineStr">
        <is>
          <t>REQ-PA-UX</t>
        </is>
      </c>
      <c r="G231" s="41" t="inlineStr">
        <is>
          <t>Recovery / Network drop</t>
        </is>
      </c>
      <c r="H231" s="41" t="inlineStr">
        <is>
          <t>TB</t>
        </is>
      </c>
      <c r="I231" s="44" t="inlineStr">
        <is>
          <t>Network drop sau POST thành công</t>
        </is>
      </c>
      <c r="J231" s="44" t="inlineStr">
        <is>
          <t>POST → server 201 → network drop trước khi client nhận response</t>
        </is>
      </c>
      <c r="K231" s="44" t="inlineStr">
        <is>
          <t>petition.new.D0</t>
        </is>
      </c>
      <c r="L231" s="44" t="inlineStr">
        <is>
          <t>petition.new.D0</t>
        </is>
      </c>
      <c r="M231" s="44" t="inlineStr">
        <is>
          <t>UI có thể hiện error (timeout) nhưng DB đã có row. User cần refresh để thấy</t>
        </is>
      </c>
      <c r="N231" s="44" t="inlineStr">
        <is>
          <t>POST ghi vào DB nhưng response không đến client</t>
        </is>
      </c>
      <c r="O231" s="44" t="inlineStr">
        <is>
          <t>Potential phantom row</t>
        </is>
      </c>
      <c r="P231" s="41" t="inlineStr">
        <is>
          <t>Medium</t>
        </is>
      </c>
      <c r="Q231" s="44" t="inlineStr"/>
      <c r="R231" s="41" t="inlineStr"/>
      <c r="S231" s="41" t="inlineStr"/>
      <c r="T231" s="41" t="inlineStr"/>
      <c r="U231" s="41" t="inlineStr"/>
      <c r="V231" s="44" t="inlineStr"/>
      <c r="W231" s="41" t="inlineStr"/>
      <c r="X231" s="44" t="inlineStr">
        <is>
          <t>At-least-once delivery issue</t>
        </is>
      </c>
    </row>
    <row r="232" ht="80" customHeight="1">
      <c r="A232" s="41" t="inlineStr">
        <is>
          <t>TC-229</t>
        </is>
      </c>
      <c r="B232" s="48" t="inlineStr">
        <is>
          <t>BOUNDARY</t>
        </is>
      </c>
      <c r="C232" s="45" t="inlineStr">
        <is>
          <t>P1</t>
        </is>
      </c>
      <c r="D232" s="44" t="inlineStr">
        <is>
          <t>POST /assignments</t>
        </is>
      </c>
      <c r="E232" s="44" t="inlineStr">
        <is>
          <t>BOUNDARY — role = null → default SUPPORT (controller: dto.role ?? 'SUPPORT')</t>
        </is>
      </c>
      <c r="F232" s="41" t="inlineStr">
        <is>
          <t>REQ-PA-BOUNDARY</t>
        </is>
      </c>
      <c r="G232" s="41" t="inlineStr">
        <is>
          <t>BVA / Null value</t>
        </is>
      </c>
      <c r="H232" s="41" t="inlineStr">
        <is>
          <t>TB</t>
        </is>
      </c>
      <c r="I232" s="44" t="inlineStr">
        <is>
          <t>-</t>
        </is>
      </c>
      <c r="J232" s="44" t="inlineStr">
        <is>
          <t>POST {userId:'u1', role:null}</t>
        </is>
      </c>
      <c r="K232" s="44" t="inlineStr">
        <is>
          <t>petition.new.D0</t>
        </is>
      </c>
      <c r="L232" s="44" t="inlineStr">
        <is>
          <t>petition.new.D0</t>
        </is>
      </c>
      <c r="M232" s="44" t="inlineStr">
        <is>
          <t>-</t>
        </is>
      </c>
      <c r="N232" s="44" t="inlineStr">
        <is>
          <t>HTTP 201, role='SUPPORT'</t>
        </is>
      </c>
      <c r="O232" s="44" t="inlineStr">
        <is>
          <t>role='SUPPORT' trong DB</t>
        </is>
      </c>
      <c r="P232" s="41" t="inlineStr">
        <is>
          <t>Medium</t>
        </is>
      </c>
      <c r="Q232" s="44" t="inlineStr"/>
      <c r="R232" s="41" t="inlineStr"/>
      <c r="S232" s="41" t="inlineStr"/>
      <c r="T232" s="41" t="inlineStr"/>
      <c r="U232" s="41" t="inlineStr"/>
      <c r="V232" s="44" t="inlineStr"/>
      <c r="W232" s="41" t="inlineStr"/>
      <c r="X232" s="44" t="inlineStr">
        <is>
          <t>null ?? 'SUPPORT' = 'SUPPORT'</t>
        </is>
      </c>
    </row>
    <row r="233" ht="80" customHeight="1">
      <c r="A233" s="41" t="inlineStr">
        <is>
          <t>TC-230</t>
        </is>
      </c>
      <c r="B233" s="48" t="inlineStr">
        <is>
          <t>BOUNDARY</t>
        </is>
      </c>
      <c r="C233" s="47" t="inlineStr">
        <is>
          <t>P2</t>
        </is>
      </c>
      <c r="D233" s="44" t="inlineStr">
        <is>
          <t>GET /assignments</t>
        </is>
      </c>
      <c r="E233" s="44" t="inlineStr">
        <is>
          <t>BOUNDARY — 100 assignments → GET return all 100 (không có default pagination)</t>
        </is>
      </c>
      <c r="F233" s="41" t="inlineStr">
        <is>
          <t>REQ-PA-BOUNDARY</t>
        </is>
      </c>
      <c r="G233" s="41" t="inlineStr">
        <is>
          <t>BVA / Collection max</t>
        </is>
      </c>
      <c r="H233" s="41" t="inlineStr">
        <is>
          <t>TB</t>
        </is>
      </c>
      <c r="I233" s="44" t="inlineStr">
        <is>
          <t>100 assignments</t>
        </is>
      </c>
      <c r="J233" s="44" t="inlineStr">
        <is>
          <t>GET /assignments</t>
        </is>
      </c>
      <c r="K233" s="44" t="inlineStr">
        <is>
          <t>petition.with_100_assignments.D90</t>
        </is>
      </c>
      <c r="L233" s="44" t="inlineStr">
        <is>
          <t>petition.with_100_assignments.D90</t>
        </is>
      </c>
      <c r="M233" s="44" t="inlineStr">
        <is>
          <t>-</t>
        </is>
      </c>
      <c r="N233" s="44" t="inlineStr">
        <is>
          <t>HTTP 200, data.length=100</t>
        </is>
      </c>
      <c r="O233" s="44" t="inlineStr">
        <is>
          <t>-</t>
        </is>
      </c>
      <c r="P233" s="41" t="inlineStr">
        <is>
          <t>Medium</t>
        </is>
      </c>
      <c r="Q233" s="44" t="inlineStr"/>
      <c r="R233" s="41" t="inlineStr"/>
      <c r="S233" s="41" t="inlineStr"/>
      <c r="T233" s="41" t="inlineStr"/>
      <c r="U233" s="41" t="inlineStr"/>
      <c r="V233" s="44" t="inlineStr"/>
      <c r="W233" s="41" t="inlineStr"/>
      <c r="X233" s="44" t="inlineStr">
        <is>
          <t>No pagination limit — verify</t>
        </is>
      </c>
    </row>
    <row r="234" ht="80" customHeight="1">
      <c r="A234" s="41" t="inlineStr">
        <is>
          <t>TC-231</t>
        </is>
      </c>
      <c r="B234" s="48" t="inlineStr">
        <is>
          <t>BOUNDARY</t>
        </is>
      </c>
      <c r="C234" s="45" t="inlineStr">
        <is>
          <t>P1</t>
        </is>
      </c>
      <c r="D234" s="44" t="inlineStr">
        <is>
          <t>POST /assignments</t>
        </is>
      </c>
      <c r="E234" s="44" t="inlineStr">
        <is>
          <t>BOUNDARY — petitionId là CUID 26 chars (valid Prisma ID) → PASS</t>
        </is>
      </c>
      <c r="F234" s="41" t="inlineStr">
        <is>
          <t>REQ-PA-BOUNDARY</t>
        </is>
      </c>
      <c r="G234" s="41" t="inlineStr">
        <is>
          <t>BVA / ID length</t>
        </is>
      </c>
      <c r="H234" s="41" t="inlineStr">
        <is>
          <t>TB</t>
        </is>
      </c>
      <c r="I234" s="44" t="inlineStr">
        <is>
          <t>Petition có CUID format ID</t>
        </is>
      </c>
      <c r="J234" s="44" t="inlineStr">
        <is>
          <t>POST /petitions/clxxxxxxxxxxxxxxxxxxxxxxxxx/assignments</t>
        </is>
      </c>
      <c r="K234" s="44" t="inlineStr">
        <is>
          <t>petition.with_cuid_id</t>
        </is>
      </c>
      <c r="L234" s="44" t="inlineStr">
        <is>
          <t>petition.with_cuid_id</t>
        </is>
      </c>
      <c r="M234" s="44" t="inlineStr">
        <is>
          <t>-</t>
        </is>
      </c>
      <c r="N234" s="44" t="inlineStr">
        <is>
          <t>HTTP 201 hoặc 404 nếu không tồn tại</t>
        </is>
      </c>
      <c r="O234" s="44" t="inlineStr">
        <is>
          <t>-</t>
        </is>
      </c>
      <c r="P234" s="41" t="inlineStr">
        <is>
          <t>Medium</t>
        </is>
      </c>
      <c r="Q234" s="44" t="inlineStr"/>
      <c r="R234" s="41" t="inlineStr"/>
      <c r="S234" s="41" t="inlineStr"/>
      <c r="T234" s="41" t="inlineStr"/>
      <c r="U234" s="41" t="inlineStr"/>
      <c r="V234" s="44" t="inlineStr"/>
      <c r="W234" s="41" t="inlineStr"/>
      <c r="X234" s="44" t="inlineStr">
        <is>
          <t>CUID = 26 chars</t>
        </is>
      </c>
    </row>
    <row r="235" ht="80" customHeight="1">
      <c r="A235" s="41" t="inlineStr">
        <is>
          <t>TC-232</t>
        </is>
      </c>
      <c r="B235" s="48" t="inlineStr">
        <is>
          <t>BOUNDARY</t>
        </is>
      </c>
      <c r="C235" s="47" t="inlineStr">
        <is>
          <t>P2</t>
        </is>
      </c>
      <c r="D235" s="44" t="inlineStr">
        <is>
          <t>POST /assignments</t>
        </is>
      </c>
      <c r="E235" s="44" t="inlineStr">
        <is>
          <t>BOUNDARY — role = 'SUPPORT' + thêm 1 ký tự = 'SUPPORTS' → 400 hoặc 201 (no enum validation)</t>
        </is>
      </c>
      <c r="F235" s="41" t="inlineStr">
        <is>
          <t>REQ-PA-BOUNDARY</t>
        </is>
      </c>
      <c r="G235" s="41" t="inlineStr">
        <is>
          <t>BVA / max+1</t>
        </is>
      </c>
      <c r="H235" s="41" t="inlineStr">
        <is>
          <t>TB</t>
        </is>
      </c>
      <c r="I235" s="44" t="inlineStr">
        <is>
          <t>-</t>
        </is>
      </c>
      <c r="J235" s="44" t="inlineStr">
        <is>
          <t>POST {userId:'u1', role:'SUPPORTS'}</t>
        </is>
      </c>
      <c r="K235" s="44" t="inlineStr">
        <is>
          <t>petition.new.D0</t>
        </is>
      </c>
      <c r="L235" s="44" t="inlineStr">
        <is>
          <t>petition.new.D0</t>
        </is>
      </c>
      <c r="M235" s="44" t="inlineStr">
        <is>
          <t>-</t>
        </is>
      </c>
      <c r="N235" s="44" t="inlineStr">
        <is>
          <t>HTTP 201 với role='SUPPORTS' (BE String type, no enum) hoặc HTTP 400 nếu có validation</t>
        </is>
      </c>
      <c r="O235" s="44" t="inlineStr">
        <is>
          <t>Nếu stored: badge hiển thị gì?</t>
        </is>
      </c>
      <c r="P235" s="41" t="inlineStr">
        <is>
          <t>Medium</t>
        </is>
      </c>
      <c r="Q235" s="44" t="inlineStr"/>
      <c r="R235" s="41" t="inlineStr"/>
      <c r="S235" s="41" t="inlineStr"/>
      <c r="T235" s="41" t="inlineStr"/>
      <c r="U235" s="41" t="inlineStr"/>
      <c r="V235" s="44" t="inlineStr"/>
      <c r="W235" s="41" t="inlineStr"/>
      <c r="X235" s="44" t="inlineStr">
        <is>
          <t>BE không validate enum — String type</t>
        </is>
      </c>
    </row>
    <row r="236" ht="80" customHeight="1">
      <c r="A236" s="41" t="inlineStr">
        <is>
          <t>TC-233</t>
        </is>
      </c>
      <c r="B236" s="48" t="inlineStr">
        <is>
          <t>BOUNDARY</t>
        </is>
      </c>
      <c r="C236" s="47" t="inlineStr">
        <is>
          <t>P2</t>
        </is>
      </c>
      <c r="D236" s="44" t="inlineStr">
        <is>
          <t>POST /assignments</t>
        </is>
      </c>
      <c r="E236" s="44" t="inlineStr">
        <is>
          <t>BOUNDARY — userId rất ngắn 1 char 'x' → FK fail, không tìm thấy user</t>
        </is>
      </c>
      <c r="F236" s="41" t="inlineStr">
        <is>
          <t>REQ-PA-BOUNDARY</t>
        </is>
      </c>
      <c r="G236" s="41" t="inlineStr">
        <is>
          <t>BVA / Min-1 length</t>
        </is>
      </c>
      <c r="H236" s="41" t="inlineStr">
        <is>
          <t>TB</t>
        </is>
      </c>
      <c r="I236" s="44" t="inlineStr">
        <is>
          <t>-</t>
        </is>
      </c>
      <c r="J236" s="44" t="inlineStr">
        <is>
          <t>POST {userId:'x', role:'SUPPORT'}</t>
        </is>
      </c>
      <c r="K236" s="44" t="inlineStr">
        <is>
          <t>petition.new.D0</t>
        </is>
      </c>
      <c r="L236" s="44" t="inlineStr">
        <is>
          <t>petition.new.D0</t>
        </is>
      </c>
      <c r="M236" s="44" t="inlineStr">
        <is>
          <t>-</t>
        </is>
      </c>
      <c r="N236" s="44" t="inlineStr">
        <is>
          <t>HTTP 404 hoặc 400 — FK violated</t>
        </is>
      </c>
      <c r="O236" s="44" t="inlineStr">
        <is>
          <t>-</t>
        </is>
      </c>
      <c r="P236" s="41" t="inlineStr">
        <is>
          <t>Medium</t>
        </is>
      </c>
      <c r="Q236" s="44" t="inlineStr"/>
      <c r="R236" s="41" t="inlineStr"/>
      <c r="S236" s="41" t="inlineStr"/>
      <c r="T236" s="41" t="inlineStr"/>
      <c r="U236" s="41" t="inlineStr"/>
      <c r="V236" s="44" t="inlineStr"/>
      <c r="W236" s="41" t="inlineStr"/>
      <c r="X236" s="44" t="inlineStr">
        <is>
          <t>min-1 userId length</t>
        </is>
      </c>
    </row>
    <row r="237" ht="80" customHeight="1">
      <c r="A237" s="41" t="inlineStr">
        <is>
          <t>TC-234</t>
        </is>
      </c>
      <c r="B237" s="48" t="inlineStr">
        <is>
          <t>BOUNDARY</t>
        </is>
      </c>
      <c r="C237" s="47" t="inlineStr">
        <is>
          <t>P2</t>
        </is>
      </c>
      <c r="D237" s="44" t="inlineStr">
        <is>
          <t>GET /assignments</t>
        </is>
      </c>
      <c r="E237" s="44" t="inlineStr">
        <is>
          <t>BOUNDARY — 0 items → response là [] (array), không phải null hay undefined</t>
        </is>
      </c>
      <c r="F237" s="41" t="inlineStr">
        <is>
          <t>REQ-PA-BOUNDARY</t>
        </is>
      </c>
      <c r="G237" s="41" t="inlineStr">
        <is>
          <t>BVA / Empty state API</t>
        </is>
      </c>
      <c r="H237" s="41" t="inlineStr">
        <is>
          <t>TB</t>
        </is>
      </c>
      <c r="I237" s="44" t="inlineStr">
        <is>
          <t>Petition không có assignment</t>
        </is>
      </c>
      <c r="J237" s="44" t="inlineStr">
        <is>
          <t>GET /assignments → inspect raw JSON response</t>
        </is>
      </c>
      <c r="K237" s="44" t="inlineStr">
        <is>
          <t>petition.new.D0</t>
        </is>
      </c>
      <c r="L237" s="44" t="inlineStr">
        <is>
          <t>petition.new.D0</t>
        </is>
      </c>
      <c r="M237" s="44" t="inlineStr">
        <is>
          <t>-</t>
        </is>
      </c>
      <c r="N237" s="44" t="inlineStr">
        <is>
          <t>HTTP 200, response body = [] (không phải null hay {})</t>
        </is>
      </c>
      <c r="O237" s="44" t="inlineStr">
        <is>
          <t>-</t>
        </is>
      </c>
      <c r="P237" s="41" t="inlineStr">
        <is>
          <t>High</t>
        </is>
      </c>
      <c r="Q237" s="44" t="inlineStr"/>
      <c r="R237" s="41" t="inlineStr"/>
      <c r="S237" s="41" t="inlineStr"/>
      <c r="T237" s="41" t="inlineStr"/>
      <c r="U237" s="41" t="inlineStr"/>
      <c r="V237" s="44" t="inlineStr"/>
      <c r="W237" s="41" t="inlineStr"/>
      <c r="X237" s="44" t="inlineStr">
        <is>
          <t>findMany luôn return [] không phải null</t>
        </is>
      </c>
    </row>
    <row r="238" ht="80" customHeight="1">
      <c r="A238" s="41" t="inlineStr">
        <is>
          <t>TC-235</t>
        </is>
      </c>
      <c r="B238" s="49" t="inlineStr">
        <is>
          <t>EP</t>
        </is>
      </c>
      <c r="C238" s="45" t="inlineStr">
        <is>
          <t>P1</t>
        </is>
      </c>
      <c r="D238" s="44" t="inlineStr">
        <is>
          <t>EP</t>
        </is>
      </c>
      <c r="E238" s="44" t="inlineStr">
        <is>
          <t>EP — petition status partition: KIEM_TRA → GET /assignments OK</t>
        </is>
      </c>
      <c r="F238" s="41" t="inlineStr">
        <is>
          <t>REQ-PA-EP</t>
        </is>
      </c>
      <c r="G238" s="41" t="inlineStr">
        <is>
          <t>EP / Status partition</t>
        </is>
      </c>
      <c r="H238" s="41" t="inlineStr">
        <is>
          <t>TB</t>
        </is>
      </c>
      <c r="I238" s="44" t="inlineStr">
        <is>
          <t>Petition status=KIEM_TRA</t>
        </is>
      </c>
      <c r="J238" s="44" t="inlineStr">
        <is>
          <t>GET /assignments</t>
        </is>
      </c>
      <c r="K238" s="44" t="inlineStr">
        <is>
          <t>petition.status_kiem_tra.D7</t>
        </is>
      </c>
      <c r="L238" s="44" t="inlineStr">
        <is>
          <t>petition.status_kiem_tra.D7</t>
        </is>
      </c>
      <c r="M238" s="44" t="inlineStr">
        <is>
          <t>-</t>
        </is>
      </c>
      <c r="N238" s="44" t="inlineStr">
        <is>
          <t>HTTP 200</t>
        </is>
      </c>
      <c r="O238" s="44" t="inlineStr">
        <is>
          <t>-</t>
        </is>
      </c>
      <c r="P238" s="41" t="inlineStr">
        <is>
          <t>Medium</t>
        </is>
      </c>
      <c r="Q238" s="44" t="inlineStr"/>
      <c r="R238" s="41" t="inlineStr"/>
      <c r="S238" s="41" t="inlineStr"/>
      <c r="T238" s="41" t="inlineStr"/>
      <c r="U238" s="41" t="inlineStr"/>
      <c r="V238" s="44" t="inlineStr"/>
      <c r="W238" s="41" t="inlineStr"/>
      <c r="X238" s="44" t="inlineStr">
        <is>
          <t>Status không ảnh hưởng GET</t>
        </is>
      </c>
    </row>
    <row r="239" ht="80" customHeight="1">
      <c r="A239" s="41" t="inlineStr">
        <is>
          <t>TC-236</t>
        </is>
      </c>
      <c r="B239" s="49" t="inlineStr">
        <is>
          <t>EP</t>
        </is>
      </c>
      <c r="C239" s="45" t="inlineStr">
        <is>
          <t>P1</t>
        </is>
      </c>
      <c r="D239" s="44" t="inlineStr">
        <is>
          <t>EP</t>
        </is>
      </c>
      <c r="E239" s="44" t="inlineStr">
        <is>
          <t>EP — user partition: admin (không cần thuộc team) → POST /assignments OK</t>
        </is>
      </c>
      <c r="F239" s="41" t="inlineStr">
        <is>
          <t>REQ-PA-EP</t>
        </is>
      </c>
      <c r="G239" s="41" t="inlineStr">
        <is>
          <t>EP / Role partition</t>
        </is>
      </c>
      <c r="H239" s="41" t="inlineStr">
        <is>
          <t>TB</t>
        </is>
      </c>
      <c r="I239" s="44" t="inlineStr">
        <is>
          <t>Admin user không thuộc bất kỳ team nào, có edit Petition permission</t>
        </is>
      </c>
      <c r="J239" s="44" t="inlineStr">
        <is>
          <t>POST /assignments với JWT admin</t>
        </is>
      </c>
      <c r="K239" s="44" t="inlineStr">
        <is>
          <t>petition.new.D0, account.admin.primary</t>
        </is>
      </c>
      <c r="L239" s="44" t="inlineStr">
        <is>
          <t>petition.new.D0</t>
        </is>
      </c>
      <c r="M239" s="44" t="inlineStr">
        <is>
          <t>-</t>
        </is>
      </c>
      <c r="N239" s="44" t="inlineStr">
        <is>
          <t>HTTP 201</t>
        </is>
      </c>
      <c r="O239" s="44" t="inlineStr">
        <is>
          <t>-</t>
        </is>
      </c>
      <c r="P239" s="41" t="inlineStr">
        <is>
          <t>High</t>
        </is>
      </c>
      <c r="Q239" s="44" t="inlineStr"/>
      <c r="R239" s="41" t="inlineStr"/>
      <c r="S239" s="41" t="inlineStr"/>
      <c r="T239" s="41" t="inlineStr"/>
      <c r="U239" s="41" t="inlineStr"/>
      <c r="V239" s="44" t="inlineStr"/>
      <c r="W239" s="41" t="inlineStr"/>
      <c r="X239" s="44" t="inlineStr">
        <is>
          <t>Admin có thể assign mà không cần team membership</t>
        </is>
      </c>
    </row>
    <row r="240" ht="80" customHeight="1">
      <c r="A240" s="41" t="inlineStr">
        <is>
          <t>TC-237</t>
        </is>
      </c>
      <c r="B240" s="52" t="inlineStr">
        <is>
          <t>SECURITY</t>
        </is>
      </c>
      <c r="C240" s="45" t="inlineStr">
        <is>
          <t>P1</t>
        </is>
      </c>
      <c r="D240" s="44" t="inlineStr">
        <is>
          <t>SECURITY</t>
        </is>
      </c>
      <c r="E240" s="44" t="inlineStr">
        <is>
          <t>SECURITY — Authorization: Bearer token với extra spaces → 401</t>
        </is>
      </c>
      <c r="F240" s="41" t="inlineStr">
        <is>
          <t>REQ-PA-SEC</t>
        </is>
      </c>
      <c r="G240" s="41" t="inlineStr">
        <is>
          <t>OWASP A07 / Token format</t>
        </is>
      </c>
      <c r="H240" s="41" t="inlineStr">
        <is>
          <t>TB</t>
        </is>
      </c>
      <c r="I240" s="44" t="inlineStr">
        <is>
          <t>-</t>
        </is>
      </c>
      <c r="J240" s="44" t="inlineStr">
        <is>
          <t>GET /assignments với Authorization: 'Bearer  &lt;token&gt;' (2 spaces)</t>
        </is>
      </c>
      <c r="K240" s="44" t="inlineStr">
        <is>
          <t>petition.any.D7</t>
        </is>
      </c>
      <c r="L240" s="44" t="inlineStr">
        <is>
          <t>petition.any.D7</t>
        </is>
      </c>
      <c r="M240" s="44" t="inlineStr">
        <is>
          <t>-</t>
        </is>
      </c>
      <c r="N240" s="44" t="inlineStr">
        <is>
          <t>HTTP 401 (malformed Authorization header)</t>
        </is>
      </c>
      <c r="O240" s="44" t="inlineStr">
        <is>
          <t>-</t>
        </is>
      </c>
      <c r="P240" s="41" t="inlineStr">
        <is>
          <t>High</t>
        </is>
      </c>
      <c r="Q240" s="44" t="inlineStr"/>
      <c r="R240" s="41" t="inlineStr"/>
      <c r="S240" s="41" t="inlineStr"/>
      <c r="T240" s="41" t="inlineStr"/>
      <c r="U240" s="41" t="inlineStr"/>
      <c r="V240" s="44" t="inlineStr"/>
      <c r="W240" s="41" t="inlineStr"/>
      <c r="X240" s="44" t="inlineStr">
        <is>
          <t>Strict parsing — extra spaces invalid</t>
        </is>
      </c>
    </row>
    <row r="241" ht="80" customHeight="1">
      <c r="A241" s="41" t="inlineStr">
        <is>
          <t>TC-238</t>
        </is>
      </c>
      <c r="B241" s="52" t="inlineStr">
        <is>
          <t>SECURITY</t>
        </is>
      </c>
      <c r="C241" s="47" t="inlineStr">
        <is>
          <t>P2</t>
        </is>
      </c>
      <c r="D241" s="44" t="inlineStr">
        <is>
          <t>SECURITY</t>
        </is>
      </c>
      <c r="E241" s="44" t="inlineStr">
        <is>
          <t>SECURITY — Host header injection: Host: evil.com → không redirect hay expose data</t>
        </is>
      </c>
      <c r="F241" s="41" t="inlineStr">
        <is>
          <t>REQ-PA-SEC</t>
        </is>
      </c>
      <c r="G241" s="41" t="inlineStr">
        <is>
          <t>OWASP A07 / Host injection</t>
        </is>
      </c>
      <c r="H241" s="41" t="inlineStr">
        <is>
          <t>TB</t>
        </is>
      </c>
      <c r="I241" s="44" t="inlineStr">
        <is>
          <t>-</t>
        </is>
      </c>
      <c r="J241" s="44" t="inlineStr">
        <is>
          <t>GET /assignments với Host: evil.com</t>
        </is>
      </c>
      <c r="K241" s="44" t="inlineStr">
        <is>
          <t>petition.any.D7</t>
        </is>
      </c>
      <c r="L241" s="44" t="inlineStr">
        <is>
          <t>petition.any.D7</t>
        </is>
      </c>
      <c r="M241" s="44" t="inlineStr">
        <is>
          <t>-</t>
        </is>
      </c>
      <c r="N241" s="44" t="inlineStr">
        <is>
          <t>HTTP 200 hoặc 400 — không redirect tới evil.com</t>
        </is>
      </c>
      <c r="O241" s="44" t="inlineStr">
        <is>
          <t>Không có Host header reflection trong response</t>
        </is>
      </c>
      <c r="P241" s="41" t="inlineStr">
        <is>
          <t>Medium</t>
        </is>
      </c>
      <c r="Q241" s="44" t="inlineStr"/>
      <c r="R241" s="41" t="inlineStr"/>
      <c r="S241" s="41" t="inlineStr"/>
      <c r="T241" s="41" t="inlineStr"/>
      <c r="U241" s="41" t="inlineStr"/>
      <c r="V241" s="44" t="inlineStr"/>
      <c r="W241" s="41" t="inlineStr"/>
      <c r="X241" s="44" t="inlineStr">
        <is>
          <t>NestJS không process Host header</t>
        </is>
      </c>
    </row>
    <row r="242" ht="80" customHeight="1">
      <c r="A242" s="41" t="inlineStr">
        <is>
          <t>TC-239</t>
        </is>
      </c>
      <c r="B242" s="57" t="inlineStr">
        <is>
          <t>A11Y</t>
        </is>
      </c>
      <c r="C242" s="47" t="inlineStr">
        <is>
          <t>P2</t>
        </is>
      </c>
      <c r="D242" s="44" t="inlineStr">
        <is>
          <t>UI A11Y</t>
        </is>
      </c>
      <c r="E242" s="44" t="inlineStr">
        <is>
          <t>A11Y — Role badges phân biệt bằng text (không chỉ màu sắc)</t>
        </is>
      </c>
      <c r="F242" s="41" t="inlineStr">
        <is>
          <t>REQ-PA-A11Y</t>
        </is>
      </c>
      <c r="G242" s="41" t="inlineStr">
        <is>
          <t>WCAG 2.1 / Color not only</t>
        </is>
      </c>
      <c r="H242" s="41" t="inlineStr">
        <is>
          <t>TB</t>
        </is>
      </c>
      <c r="I242" s="44" t="inlineStr">
        <is>
          <t>Petition có LEAD và SUPPORT assignment</t>
        </is>
      </c>
      <c r="J242" s="44" t="inlineStr">
        <is>
          <t>Kiểm tra text trong badges</t>
        </is>
      </c>
      <c r="K242" s="44" t="inlineStr">
        <is>
          <t>petition.with_2_assignments.D7</t>
        </is>
      </c>
      <c r="L242" s="44" t="inlineStr">
        <is>
          <t>petition.with_2_assignments.D7</t>
        </is>
      </c>
      <c r="M242" s="44" t="inlineStr">
        <is>
          <t>Badge LEAD: text 'Chủ trì'. Badge SUPPORT: text 'Hỗ trợ'. Không chỉ dùng màu để phân biệt</t>
        </is>
      </c>
      <c r="N242" s="44" t="inlineStr">
        <is>
          <t>-</t>
        </is>
      </c>
      <c r="O242" s="44" t="inlineStr">
        <is>
          <t>-</t>
        </is>
      </c>
      <c r="P242" s="41" t="inlineStr">
        <is>
          <t>Medium</t>
        </is>
      </c>
      <c r="Q242" s="44" t="inlineStr"/>
      <c r="R242" s="41" t="inlineStr"/>
      <c r="S242" s="41" t="inlineStr"/>
      <c r="T242" s="41" t="inlineStr"/>
      <c r="U242" s="41" t="inlineStr"/>
      <c r="V242" s="44" t="inlineStr"/>
      <c r="W242" s="41" t="inlineStr"/>
      <c r="X242" s="44" t="inlineStr">
        <is>
          <t>WCAG 1.4.1: Use of Color — không được chỉ dùng màu</t>
        </is>
      </c>
    </row>
    <row r="243" ht="80" customHeight="1">
      <c r="A243" s="41" t="inlineStr">
        <is>
          <t>TC-240</t>
        </is>
      </c>
      <c r="B243" s="58" t="inlineStr">
        <is>
          <t>COMPAT</t>
        </is>
      </c>
      <c r="C243" s="47" t="inlineStr">
        <is>
          <t>P2</t>
        </is>
      </c>
      <c r="D243" s="44" t="inlineStr">
        <is>
          <t>COMPAT</t>
        </is>
      </c>
      <c r="E243" s="44" t="inlineStr">
        <is>
          <t>COMPAT — PWA mode (standalone): section và interactions hoạt động như browser</t>
        </is>
      </c>
      <c r="F243" s="41" t="inlineStr">
        <is>
          <t>REQ-PA-COMPAT</t>
        </is>
      </c>
      <c r="G243" s="41" t="inlineStr">
        <is>
          <t>PWA / Standalone mode</t>
        </is>
      </c>
      <c r="H243" s="41" t="inlineStr">
        <is>
          <t>Thấp</t>
        </is>
      </c>
      <c r="I243" s="44" t="inlineStr">
        <is>
          <t>Cài PC02 PWA, mở từ home screen</t>
        </is>
      </c>
      <c r="J243" s="44" t="inlineStr">
        <is>
          <t>Mở PetitionFormPage edit trong PWA mode</t>
        </is>
      </c>
      <c r="K243" s="44" t="inlineStr">
        <is>
          <t>petition.with_2_assignments.D7</t>
        </is>
      </c>
      <c r="L243" s="44" t="inlineStr">
        <is>
          <t>petition.with_2_assignments.D7</t>
        </is>
      </c>
      <c r="M243" s="44" t="inlineStr">
        <is>
          <t>Section hiển thị đúng, add/remove hoạt động</t>
        </is>
      </c>
      <c r="N243" s="44" t="inlineStr">
        <is>
          <t>API calls qua PWA service worker</t>
        </is>
      </c>
      <c r="O243" s="44" t="inlineStr">
        <is>
          <t>-</t>
        </is>
      </c>
      <c r="P243" s="41" t="inlineStr">
        <is>
          <t>Low</t>
        </is>
      </c>
      <c r="Q243" s="44" t="inlineStr"/>
      <c r="R243" s="41" t="inlineStr"/>
      <c r="S243" s="41" t="inlineStr"/>
      <c r="T243" s="41" t="inlineStr"/>
      <c r="U243" s="41" t="inlineStr"/>
      <c r="V243" s="44" t="inlineStr"/>
      <c r="W243" s="41" t="inlineStr"/>
      <c r="X243" s="44" t="inlineStr">
        <is>
          <t>PWA standalone = Chrome trong fullscreen — behavior same</t>
        </is>
      </c>
    </row>
  </sheetData>
  <autoFilter ref="A3:X243"/>
  <mergeCells count="2">
    <mergeCell ref="A2:X2"/>
    <mergeCell ref="A1:X1"/>
  </mergeCells>
  <conditionalFormatting sqref="R4:R243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S4:S243">
    <cfRule type="cellIs" priority="5" operator="equal" dxfId="2">
      <formula>"Đạt"</formula>
    </cfRule>
    <cfRule type="cellIs" priority="6" operator="equal" dxfId="3">
      <formula>"Không đạt"</formula>
    </cfRule>
    <cfRule type="cellIs" priority="7" operator="equal" dxfId="4">
      <formula>"Bị chặn"</formula>
    </cfRule>
    <cfRule type="cellIs" priority="8" operator="equal" dxfId="5">
      <formula>"Bỏ qua"</formula>
    </cfRule>
  </conditionalFormatting>
  <conditionalFormatting sqref="W4:W243">
    <cfRule type="cellIs" priority="9" operator="equal" dxfId="6">
      <formula>"⚠️ REGRESSION"</formula>
    </cfRule>
    <cfRule type="cellIs" priority="10" operator="equal" dxfId="2">
      <formula>"✓ Đã fix"</formula>
    </cfRule>
  </conditionalFormatting>
  <dataValidations count="3">
    <dataValidation sqref="R4:R243" showDropDown="0" showInputMessage="0" showErrorMessage="0" allowBlank="1" error="Chọn một trạng thái hợp lệ" prompt="Layer 1 - API smoke gate" type="list">
      <formula1>"Chưa chạy,Đang chạy,Đạt,Không đạt,Bị chặn,Bỏ qua"</formula1>
    </dataValidation>
    <dataValidation sqref="S4:S243" showDropDown="0" showInputMessage="0" showErrorMessage="0" allowBlank="1" error="Chọn một trạng thái hợp lệ" prompt="Layer 2 - UI E2E (Chromium). 'Bỏ qua' nếu API smoke fail" type="list">
      <formula1>"Chưa chạy,Đang chạy,Đạt,Không đạt,Bị chặn,Bỏ qua"</formula1>
    </dataValidation>
    <dataValidation sqref="W4:W243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60" t="inlineStr">
        <is>
          <t>1. TÀI KHOẢN KIỂM THỬ</t>
        </is>
      </c>
    </row>
    <row r="2">
      <c r="A2" s="11" t="inlineStr">
        <is>
          <t>ID</t>
        </is>
      </c>
      <c r="B2" s="11" t="inlineStr">
        <is>
          <t>Email</t>
        </is>
      </c>
      <c r="C2" s="11" t="inlineStr">
        <is>
          <t>Mật khẩu</t>
        </is>
      </c>
      <c r="D2" s="11" t="inlineStr">
        <is>
          <t>Vai trò</t>
        </is>
      </c>
      <c r="E2" s="11" t="inlineStr">
        <is>
          <t>Trạng thái</t>
        </is>
      </c>
      <c r="F2" s="11" t="inlineStr">
        <is>
          <t>Mục đích</t>
        </is>
      </c>
      <c r="G2" s="11" t="inlineStr">
        <is>
          <t>Ghi chú</t>
        </is>
      </c>
    </row>
    <row r="5" ht="25" customHeight="1">
      <c r="A5" s="60" t="inlineStr">
        <is>
          <t>2. BOUNDARY VALUES (BVA)</t>
        </is>
      </c>
    </row>
    <row r="6">
      <c r="A6" s="11" t="inlineStr">
        <is>
          <t>Field</t>
        </is>
      </c>
      <c r="B6" s="11" t="inlineStr">
        <is>
          <t>Giá trị</t>
        </is>
      </c>
      <c r="C6" s="11" t="inlineStr">
        <is>
          <t>Loại</t>
        </is>
      </c>
      <c r="D6" s="11" t="inlineStr">
        <is>
          <t>Kỳ vọng</t>
        </is>
      </c>
      <c r="E6" s="11" t="inlineStr">
        <is>
          <t>Ghi chú</t>
        </is>
      </c>
    </row>
    <row r="9" ht="25" customHeight="1">
      <c r="A9" s="60" t="inlineStr">
        <is>
          <t>3. SECURITY PAYLOADS (OWASP)</t>
        </is>
      </c>
    </row>
    <row r="10">
      <c r="A10" s="11" t="inlineStr">
        <is>
          <t>Field/Endpoint</t>
        </is>
      </c>
      <c r="B10" s="11" t="inlineStr">
        <is>
          <t>Payload</t>
        </is>
      </c>
      <c r="C10" s="11" t="inlineStr">
        <is>
          <t>Loại tấn công</t>
        </is>
      </c>
      <c r="D10" s="11" t="inlineStr">
        <is>
          <t>Kỳ vọng</t>
        </is>
      </c>
      <c r="E10" s="11" t="inlineStr">
        <is>
          <t>OWASP Reference</t>
        </is>
      </c>
    </row>
  </sheetData>
  <mergeCells count="3">
    <mergeCell ref="A1:G1"/>
    <mergeCell ref="A5:G5"/>
    <mergeCell ref="A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6" customWidth="1" min="3" max="3"/>
    <col width="12" customWidth="1" min="4" max="4"/>
    <col width="14" customWidth="1" min="5" max="5"/>
    <col width="40" customWidth="1" min="6" max="6"/>
    <col width="12" customWidth="1" min="7" max="7"/>
    <col width="50" customWidth="1" min="8" max="8"/>
    <col width="30" customWidth="1" min="9" max="9"/>
    <col width="25" customWidth="1" min="10" max="10"/>
    <col width="25" customWidth="1" min="11" max="11"/>
  </cols>
  <sheetData>
    <row r="1" ht="30" customHeight="1">
      <c r="A1" s="38" t="inlineStr">
        <is>
          <t>🗂️ DATA MATURITY MATRIX — Fixtures runner seed tự động trước mỗi test</t>
        </is>
      </c>
    </row>
    <row r="2" ht="35" customHeight="1">
      <c r="A2" s="61" t="inlineStr">
        <is>
          <t>Mỗi fixture có ID format &lt;entity&gt;.&lt;state&gt;.&lt;lifecycle&gt;.&lt;shape&gt;. Runner đọc setup_recipe → tự seed data trước test, KHÔNG cần human chạy SQL. Cleanup tự động sau test.</t>
        </is>
      </c>
    </row>
    <row r="3" ht="35" customHeight="1">
      <c r="A3" s="40" t="inlineStr">
        <is>
          <t>Fixture ID</t>
        </is>
      </c>
      <c r="B3" s="40" t="inlineStr">
        <is>
          <t>Entity</t>
        </is>
      </c>
      <c r="C3" s="40" t="inlineStr">
        <is>
          <t>State</t>
        </is>
      </c>
      <c r="D3" s="40" t="inlineStr">
        <is>
          <t>Lifecycle</t>
        </is>
      </c>
      <c r="E3" s="40" t="inlineStr">
        <is>
          <t>Shape</t>
        </is>
      </c>
      <c r="F3" s="40" t="inlineStr">
        <is>
          <t>Mô tả</t>
        </is>
      </c>
      <c r="G3" s="40" t="inlineStr">
        <is>
          <t>Setup type</t>
        </is>
      </c>
      <c r="H3" s="40" t="inlineStr">
        <is>
          <t>Setup recipe</t>
        </is>
      </c>
      <c r="I3" s="40" t="inlineStr">
        <is>
          <t>Cleanup recipe</t>
        </is>
      </c>
      <c r="J3" s="40" t="inlineStr">
        <is>
          <t>Outputs</t>
        </is>
      </c>
      <c r="K3" s="40" t="inlineStr">
        <is>
          <t>TC sử dụng</t>
        </is>
      </c>
    </row>
    <row r="4">
      <c r="A4" s="62" t="inlineStr">
        <is>
          <t>⚠️ Chưa có fixture nào define</t>
        </is>
      </c>
      <c r="B4" t="inlineStr">
        <is>
          <t>Xem references/data-maturity-matrix.md để biết cách viết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8" t="inlineStr">
        <is>
          <t>🐛 BUG TRACKER</t>
        </is>
      </c>
    </row>
    <row r="2">
      <c r="A2" s="63" t="inlineStr">
        <is>
          <t>Workflow: Open → Fixing → Fixed → Verified → Closed. Mỗi lần TC fail tự động tạo bug record.</t>
        </is>
      </c>
    </row>
    <row r="3" ht="35" customHeight="1">
      <c r="A3" s="40" t="inlineStr">
        <is>
          <t>Bug ID</t>
        </is>
      </c>
      <c r="B3" s="40" t="inlineStr">
        <is>
          <t>TC ID liên kết</t>
        </is>
      </c>
      <c r="C3" s="40" t="inlineStr">
        <is>
          <t>Mô tả bug</t>
        </is>
      </c>
      <c r="D3" s="40" t="inlineStr">
        <is>
          <t>Severity</t>
        </is>
      </c>
      <c r="E3" s="40" t="inlineStr">
        <is>
          <t>Status</t>
        </is>
      </c>
      <c r="F3" s="40" t="inlineStr">
        <is>
          <t>Ngày phát hiện</t>
        </is>
      </c>
      <c r="G3" s="40" t="inlineStr">
        <is>
          <t>Lần fix gần nhất</t>
        </is>
      </c>
      <c r="H3" s="40" t="inlineStr">
        <is>
          <t>Re-test kết quả</t>
        </is>
      </c>
      <c r="I3" s="40" t="inlineStr">
        <is>
          <t>Ghi chú</t>
        </is>
      </c>
    </row>
    <row r="4" ht="30" customHeight="1">
      <c r="A4" s="41" t="inlineStr"/>
      <c r="B4" s="41" t="inlineStr"/>
      <c r="C4" s="44" t="inlineStr"/>
      <c r="D4" s="41" t="inlineStr"/>
      <c r="E4" s="41" t="inlineStr"/>
      <c r="F4" s="41" t="inlineStr"/>
      <c r="G4" s="41" t="inlineStr"/>
      <c r="H4" s="41" t="inlineStr"/>
      <c r="I4" s="44" t="inlineStr"/>
    </row>
    <row r="5" ht="30" customHeight="1">
      <c r="A5" s="41" t="inlineStr"/>
      <c r="B5" s="41" t="inlineStr"/>
      <c r="C5" s="44" t="inlineStr"/>
      <c r="D5" s="41" t="inlineStr"/>
      <c r="E5" s="41" t="inlineStr"/>
      <c r="F5" s="41" t="inlineStr"/>
      <c r="G5" s="41" t="inlineStr"/>
      <c r="H5" s="41" t="inlineStr"/>
      <c r="I5" s="44" t="inlineStr"/>
    </row>
    <row r="6" ht="30" customHeight="1">
      <c r="A6" s="41" t="inlineStr"/>
      <c r="B6" s="41" t="inlineStr"/>
      <c r="C6" s="44" t="inlineStr"/>
      <c r="D6" s="41" t="inlineStr"/>
      <c r="E6" s="41" t="inlineStr"/>
      <c r="F6" s="41" t="inlineStr"/>
      <c r="G6" s="41" t="inlineStr"/>
      <c r="H6" s="41" t="inlineStr"/>
      <c r="I6" s="44" t="inlineStr"/>
    </row>
    <row r="7" ht="30" customHeight="1">
      <c r="A7" s="41" t="inlineStr"/>
      <c r="B7" s="41" t="inlineStr"/>
      <c r="C7" s="44" t="inlineStr"/>
      <c r="D7" s="41" t="inlineStr"/>
      <c r="E7" s="41" t="inlineStr"/>
      <c r="F7" s="41" t="inlineStr"/>
      <c r="G7" s="41" t="inlineStr"/>
      <c r="H7" s="41" t="inlineStr"/>
      <c r="I7" s="44" t="inlineStr"/>
    </row>
    <row r="8" ht="30" customHeight="1">
      <c r="A8" s="41" t="inlineStr"/>
      <c r="B8" s="41" t="inlineStr"/>
      <c r="C8" s="44" t="inlineStr"/>
      <c r="D8" s="41" t="inlineStr"/>
      <c r="E8" s="41" t="inlineStr"/>
      <c r="F8" s="41" t="inlineStr"/>
      <c r="G8" s="41" t="inlineStr"/>
      <c r="H8" s="41" t="inlineStr"/>
      <c r="I8" s="44" t="inlineStr"/>
    </row>
    <row r="9" ht="30" customHeight="1">
      <c r="A9" s="41" t="inlineStr"/>
      <c r="B9" s="41" t="inlineStr"/>
      <c r="C9" s="44" t="inlineStr"/>
      <c r="D9" s="41" t="inlineStr"/>
      <c r="E9" s="41" t="inlineStr"/>
      <c r="F9" s="41" t="inlineStr"/>
      <c r="G9" s="41" t="inlineStr"/>
      <c r="H9" s="41" t="inlineStr"/>
      <c r="I9" s="44" t="inlineStr"/>
    </row>
    <row r="10" ht="30" customHeight="1">
      <c r="A10" s="41" t="inlineStr"/>
      <c r="B10" s="41" t="inlineStr"/>
      <c r="C10" s="44" t="inlineStr"/>
      <c r="D10" s="41" t="inlineStr"/>
      <c r="E10" s="41" t="inlineStr"/>
      <c r="F10" s="41" t="inlineStr"/>
      <c r="G10" s="41" t="inlineStr"/>
      <c r="H10" s="41" t="inlineStr"/>
      <c r="I10" s="44" t="inlineStr"/>
    </row>
    <row r="11" ht="30" customHeight="1">
      <c r="A11" s="41" t="inlineStr"/>
      <c r="B11" s="41" t="inlineStr"/>
      <c r="C11" s="44" t="inlineStr"/>
      <c r="D11" s="41" t="inlineStr"/>
      <c r="E11" s="41" t="inlineStr"/>
      <c r="F11" s="41" t="inlineStr"/>
      <c r="G11" s="41" t="inlineStr"/>
      <c r="H11" s="41" t="inlineStr"/>
      <c r="I11" s="44" t="inlineStr"/>
    </row>
    <row r="12" ht="30" customHeight="1">
      <c r="A12" s="41" t="inlineStr"/>
      <c r="B12" s="41" t="inlineStr"/>
      <c r="C12" s="44" t="inlineStr"/>
      <c r="D12" s="41" t="inlineStr"/>
      <c r="E12" s="41" t="inlineStr"/>
      <c r="F12" s="41" t="inlineStr"/>
      <c r="G12" s="41" t="inlineStr"/>
      <c r="H12" s="41" t="inlineStr"/>
      <c r="I12" s="44" t="inlineStr"/>
    </row>
    <row r="13" ht="30" customHeight="1">
      <c r="A13" s="41" t="inlineStr"/>
      <c r="B13" s="41" t="inlineStr"/>
      <c r="C13" s="44" t="inlineStr"/>
      <c r="D13" s="41" t="inlineStr"/>
      <c r="E13" s="41" t="inlineStr"/>
      <c r="F13" s="41" t="inlineStr"/>
      <c r="G13" s="41" t="inlineStr"/>
      <c r="H13" s="41" t="inlineStr"/>
      <c r="I13" s="44" t="inlineStr"/>
    </row>
    <row r="14" ht="30" customHeight="1">
      <c r="A14" s="41" t="inlineStr"/>
      <c r="B14" s="41" t="inlineStr"/>
      <c r="C14" s="44" t="inlineStr"/>
      <c r="D14" s="41" t="inlineStr"/>
      <c r="E14" s="41" t="inlineStr"/>
      <c r="F14" s="41" t="inlineStr"/>
      <c r="G14" s="41" t="inlineStr"/>
      <c r="H14" s="41" t="inlineStr"/>
      <c r="I14" s="44" t="inlineStr"/>
    </row>
    <row r="15" ht="30" customHeight="1">
      <c r="A15" s="41" t="inlineStr"/>
      <c r="B15" s="41" t="inlineStr"/>
      <c r="C15" s="44" t="inlineStr"/>
      <c r="D15" s="41" t="inlineStr"/>
      <c r="E15" s="41" t="inlineStr"/>
      <c r="F15" s="41" t="inlineStr"/>
      <c r="G15" s="41" t="inlineStr"/>
      <c r="H15" s="41" t="inlineStr"/>
      <c r="I15" s="44" t="inlineStr"/>
    </row>
    <row r="16" ht="30" customHeight="1">
      <c r="A16" s="41" t="inlineStr"/>
      <c r="B16" s="41" t="inlineStr"/>
      <c r="C16" s="44" t="inlineStr"/>
      <c r="D16" s="41" t="inlineStr"/>
      <c r="E16" s="41" t="inlineStr"/>
      <c r="F16" s="41" t="inlineStr"/>
      <c r="G16" s="41" t="inlineStr"/>
      <c r="H16" s="41" t="inlineStr"/>
      <c r="I16" s="44" t="inlineStr"/>
    </row>
    <row r="17" ht="30" customHeight="1">
      <c r="A17" s="41" t="inlineStr"/>
      <c r="B17" s="41" t="inlineStr"/>
      <c r="C17" s="44" t="inlineStr"/>
      <c r="D17" s="41" t="inlineStr"/>
      <c r="E17" s="41" t="inlineStr"/>
      <c r="F17" s="41" t="inlineStr"/>
      <c r="G17" s="41" t="inlineStr"/>
      <c r="H17" s="41" t="inlineStr"/>
      <c r="I17" s="44" t="inlineStr"/>
    </row>
    <row r="18" ht="30" customHeight="1">
      <c r="A18" s="41" t="inlineStr"/>
      <c r="B18" s="41" t="inlineStr"/>
      <c r="C18" s="44" t="inlineStr"/>
      <c r="D18" s="41" t="inlineStr"/>
      <c r="E18" s="41" t="inlineStr"/>
      <c r="F18" s="41" t="inlineStr"/>
      <c r="G18" s="41" t="inlineStr"/>
      <c r="H18" s="41" t="inlineStr"/>
      <c r="I18" s="44" t="inlineStr"/>
    </row>
    <row r="19" ht="30" customHeight="1">
      <c r="A19" s="41" t="inlineStr"/>
      <c r="B19" s="41" t="inlineStr"/>
      <c r="C19" s="44" t="inlineStr"/>
      <c r="D19" s="41" t="inlineStr"/>
      <c r="E19" s="41" t="inlineStr"/>
      <c r="F19" s="41" t="inlineStr"/>
      <c r="G19" s="41" t="inlineStr"/>
      <c r="H19" s="41" t="inlineStr"/>
      <c r="I19" s="44" t="inlineStr"/>
    </row>
    <row r="20" ht="30" customHeight="1">
      <c r="A20" s="41" t="inlineStr"/>
      <c r="B20" s="41" t="inlineStr"/>
      <c r="C20" s="44" t="inlineStr"/>
      <c r="D20" s="41" t="inlineStr"/>
      <c r="E20" s="41" t="inlineStr"/>
      <c r="F20" s="41" t="inlineStr"/>
      <c r="G20" s="41" t="inlineStr"/>
      <c r="H20" s="41" t="inlineStr"/>
      <c r="I20" s="44" t="inlineStr"/>
    </row>
    <row r="21" ht="30" customHeight="1">
      <c r="A21" s="41" t="inlineStr"/>
      <c r="B21" s="41" t="inlineStr"/>
      <c r="C21" s="44" t="inlineStr"/>
      <c r="D21" s="41" t="inlineStr"/>
      <c r="E21" s="41" t="inlineStr"/>
      <c r="F21" s="41" t="inlineStr"/>
      <c r="G21" s="41" t="inlineStr"/>
      <c r="H21" s="41" t="inlineStr"/>
      <c r="I21" s="44" t="inlineStr"/>
    </row>
    <row r="22" ht="30" customHeight="1">
      <c r="A22" s="41" t="inlineStr"/>
      <c r="B22" s="41" t="inlineStr"/>
      <c r="C22" s="44" t="inlineStr"/>
      <c r="D22" s="41" t="inlineStr"/>
      <c r="E22" s="41" t="inlineStr"/>
      <c r="F22" s="41" t="inlineStr"/>
      <c r="G22" s="41" t="inlineStr"/>
      <c r="H22" s="41" t="inlineStr"/>
      <c r="I22" s="44" t="inlineStr"/>
    </row>
    <row r="23" ht="30" customHeight="1">
      <c r="A23" s="41" t="inlineStr"/>
      <c r="B23" s="41" t="inlineStr"/>
      <c r="C23" s="44" t="inlineStr"/>
      <c r="D23" s="41" t="inlineStr"/>
      <c r="E23" s="41" t="inlineStr"/>
      <c r="F23" s="41" t="inlineStr"/>
      <c r="G23" s="41" t="inlineStr"/>
      <c r="H23" s="41" t="inlineStr"/>
      <c r="I23" s="44" t="inlineStr"/>
    </row>
    <row r="24" ht="30" customHeight="1">
      <c r="A24" s="41" t="inlineStr"/>
      <c r="B24" s="41" t="inlineStr"/>
      <c r="C24" s="44" t="inlineStr"/>
      <c r="D24" s="41" t="inlineStr"/>
      <c r="E24" s="41" t="inlineStr"/>
      <c r="F24" s="41" t="inlineStr"/>
      <c r="G24" s="41" t="inlineStr"/>
      <c r="H24" s="41" t="inlineStr"/>
      <c r="I24" s="44" t="inlineStr"/>
    </row>
    <row r="25" ht="30" customHeight="1">
      <c r="A25" s="41" t="inlineStr"/>
      <c r="B25" s="41" t="inlineStr"/>
      <c r="C25" s="44" t="inlineStr"/>
      <c r="D25" s="41" t="inlineStr"/>
      <c r="E25" s="41" t="inlineStr"/>
      <c r="F25" s="41" t="inlineStr"/>
      <c r="G25" s="41" t="inlineStr"/>
      <c r="H25" s="41" t="inlineStr"/>
      <c r="I25" s="44" t="inlineStr"/>
    </row>
    <row r="26" ht="30" customHeight="1">
      <c r="A26" s="41" t="inlineStr"/>
      <c r="B26" s="41" t="inlineStr"/>
      <c r="C26" s="44" t="inlineStr"/>
      <c r="D26" s="41" t="inlineStr"/>
      <c r="E26" s="41" t="inlineStr"/>
      <c r="F26" s="41" t="inlineStr"/>
      <c r="G26" s="41" t="inlineStr"/>
      <c r="H26" s="41" t="inlineStr"/>
      <c r="I26" s="44" t="inlineStr"/>
    </row>
    <row r="27" ht="30" customHeight="1">
      <c r="A27" s="41" t="inlineStr"/>
      <c r="B27" s="41" t="inlineStr"/>
      <c r="C27" s="44" t="inlineStr"/>
      <c r="D27" s="41" t="inlineStr"/>
      <c r="E27" s="41" t="inlineStr"/>
      <c r="F27" s="41" t="inlineStr"/>
      <c r="G27" s="41" t="inlineStr"/>
      <c r="H27" s="41" t="inlineStr"/>
      <c r="I27" s="44" t="inlineStr"/>
    </row>
    <row r="28" ht="30" customHeight="1">
      <c r="A28" s="41" t="inlineStr"/>
      <c r="B28" s="41" t="inlineStr"/>
      <c r="C28" s="44" t="inlineStr"/>
      <c r="D28" s="41" t="inlineStr"/>
      <c r="E28" s="41" t="inlineStr"/>
      <c r="F28" s="41" t="inlineStr"/>
      <c r="G28" s="41" t="inlineStr"/>
      <c r="H28" s="41" t="inlineStr"/>
      <c r="I28" s="44" t="inlineStr"/>
    </row>
    <row r="29" ht="30" customHeight="1">
      <c r="A29" s="41" t="inlineStr"/>
      <c r="B29" s="41" t="inlineStr"/>
      <c r="C29" s="44" t="inlineStr"/>
      <c r="D29" s="41" t="inlineStr"/>
      <c r="E29" s="41" t="inlineStr"/>
      <c r="F29" s="41" t="inlineStr"/>
      <c r="G29" s="41" t="inlineStr"/>
      <c r="H29" s="41" t="inlineStr"/>
      <c r="I29" s="44" t="inlineStr"/>
    </row>
    <row r="30" ht="30" customHeight="1">
      <c r="A30" s="41" t="inlineStr"/>
      <c r="B30" s="41" t="inlineStr"/>
      <c r="C30" s="44" t="inlineStr"/>
      <c r="D30" s="41" t="inlineStr"/>
      <c r="E30" s="41" t="inlineStr"/>
      <c r="F30" s="41" t="inlineStr"/>
      <c r="G30" s="41" t="inlineStr"/>
      <c r="H30" s="41" t="inlineStr"/>
      <c r="I30" s="44" t="inlineStr"/>
    </row>
    <row r="31" ht="30" customHeight="1">
      <c r="A31" s="41" t="inlineStr"/>
      <c r="B31" s="41" t="inlineStr"/>
      <c r="C31" s="44" t="inlineStr"/>
      <c r="D31" s="41" t="inlineStr"/>
      <c r="E31" s="41" t="inlineStr"/>
      <c r="F31" s="41" t="inlineStr"/>
      <c r="G31" s="41" t="inlineStr"/>
      <c r="H31" s="41" t="inlineStr"/>
      <c r="I31" s="44" t="inlineStr"/>
    </row>
    <row r="32" ht="30" customHeight="1">
      <c r="A32" s="41" t="inlineStr"/>
      <c r="B32" s="41" t="inlineStr"/>
      <c r="C32" s="44" t="inlineStr"/>
      <c r="D32" s="41" t="inlineStr"/>
      <c r="E32" s="41" t="inlineStr"/>
      <c r="F32" s="41" t="inlineStr"/>
      <c r="G32" s="41" t="inlineStr"/>
      <c r="H32" s="41" t="inlineStr"/>
      <c r="I32" s="44" t="inlineStr"/>
    </row>
    <row r="33" ht="30" customHeight="1">
      <c r="A33" s="41" t="inlineStr"/>
      <c r="B33" s="41" t="inlineStr"/>
      <c r="C33" s="44" t="inlineStr"/>
      <c r="D33" s="41" t="inlineStr"/>
      <c r="E33" s="41" t="inlineStr"/>
      <c r="F33" s="41" t="inlineStr"/>
      <c r="G33" s="41" t="inlineStr"/>
      <c r="H33" s="41" t="inlineStr"/>
      <c r="I33" s="44" t="inlineStr"/>
    </row>
    <row r="34" ht="30" customHeight="1">
      <c r="A34" s="41" t="inlineStr"/>
      <c r="B34" s="41" t="inlineStr"/>
      <c r="C34" s="44" t="inlineStr"/>
      <c r="D34" s="41" t="inlineStr"/>
      <c r="E34" s="41" t="inlineStr"/>
      <c r="F34" s="41" t="inlineStr"/>
      <c r="G34" s="41" t="inlineStr"/>
      <c r="H34" s="41" t="inlineStr"/>
      <c r="I34" s="44" t="inlineStr"/>
    </row>
    <row r="35" ht="30" customHeight="1">
      <c r="A35" s="41" t="inlineStr"/>
      <c r="B35" s="41" t="inlineStr"/>
      <c r="C35" s="44" t="inlineStr"/>
      <c r="D35" s="41" t="inlineStr"/>
      <c r="E35" s="41" t="inlineStr"/>
      <c r="F35" s="41" t="inlineStr"/>
      <c r="G35" s="41" t="inlineStr"/>
      <c r="H35" s="41" t="inlineStr"/>
      <c r="I35" s="44" t="inlineStr"/>
    </row>
    <row r="36" ht="30" customHeight="1">
      <c r="A36" s="41" t="inlineStr"/>
      <c r="B36" s="41" t="inlineStr"/>
      <c r="C36" s="44" t="inlineStr"/>
      <c r="D36" s="41" t="inlineStr"/>
      <c r="E36" s="41" t="inlineStr"/>
      <c r="F36" s="41" t="inlineStr"/>
      <c r="G36" s="41" t="inlineStr"/>
      <c r="H36" s="41" t="inlineStr"/>
      <c r="I36" s="44" t="inlineStr"/>
    </row>
    <row r="37" ht="30" customHeight="1">
      <c r="A37" s="41" t="inlineStr"/>
      <c r="B37" s="41" t="inlineStr"/>
      <c r="C37" s="44" t="inlineStr"/>
      <c r="D37" s="41" t="inlineStr"/>
      <c r="E37" s="41" t="inlineStr"/>
      <c r="F37" s="41" t="inlineStr"/>
      <c r="G37" s="41" t="inlineStr"/>
      <c r="H37" s="41" t="inlineStr"/>
      <c r="I37" s="44" t="inlineStr"/>
    </row>
    <row r="38" ht="30" customHeight="1">
      <c r="A38" s="41" t="inlineStr"/>
      <c r="B38" s="41" t="inlineStr"/>
      <c r="C38" s="44" t="inlineStr"/>
      <c r="D38" s="41" t="inlineStr"/>
      <c r="E38" s="41" t="inlineStr"/>
      <c r="F38" s="41" t="inlineStr"/>
      <c r="G38" s="41" t="inlineStr"/>
      <c r="H38" s="41" t="inlineStr"/>
      <c r="I38" s="44" t="inlineStr"/>
    </row>
    <row r="39" ht="30" customHeight="1">
      <c r="A39" s="41" t="inlineStr"/>
      <c r="B39" s="41" t="inlineStr"/>
      <c r="C39" s="44" t="inlineStr"/>
      <c r="D39" s="41" t="inlineStr"/>
      <c r="E39" s="41" t="inlineStr"/>
      <c r="F39" s="41" t="inlineStr"/>
      <c r="G39" s="41" t="inlineStr"/>
      <c r="H39" s="41" t="inlineStr"/>
      <c r="I39" s="44" t="inlineStr"/>
    </row>
    <row r="40" ht="30" customHeight="1">
      <c r="A40" s="41" t="inlineStr"/>
      <c r="B40" s="41" t="inlineStr"/>
      <c r="C40" s="44" t="inlineStr"/>
      <c r="D40" s="41" t="inlineStr"/>
      <c r="E40" s="41" t="inlineStr"/>
      <c r="F40" s="41" t="inlineStr"/>
      <c r="G40" s="41" t="inlineStr"/>
      <c r="H40" s="41" t="inlineStr"/>
      <c r="I40" s="44" t="inlineStr"/>
    </row>
    <row r="41" ht="30" customHeight="1">
      <c r="A41" s="41" t="inlineStr"/>
      <c r="B41" s="41" t="inlineStr"/>
      <c r="C41" s="44" t="inlineStr"/>
      <c r="D41" s="41" t="inlineStr"/>
      <c r="E41" s="41" t="inlineStr"/>
      <c r="F41" s="41" t="inlineStr"/>
      <c r="G41" s="41" t="inlineStr"/>
      <c r="H41" s="41" t="inlineStr"/>
      <c r="I41" s="44" t="inlineStr"/>
    </row>
    <row r="42" ht="30" customHeight="1">
      <c r="A42" s="41" t="inlineStr"/>
      <c r="B42" s="41" t="inlineStr"/>
      <c r="C42" s="44" t="inlineStr"/>
      <c r="D42" s="41" t="inlineStr"/>
      <c r="E42" s="41" t="inlineStr"/>
      <c r="F42" s="41" t="inlineStr"/>
      <c r="G42" s="41" t="inlineStr"/>
      <c r="H42" s="41" t="inlineStr"/>
      <c r="I42" s="44" t="inlineStr"/>
    </row>
    <row r="43" ht="30" customHeight="1">
      <c r="A43" s="41" t="inlineStr"/>
      <c r="B43" s="41" t="inlineStr"/>
      <c r="C43" s="44" t="inlineStr"/>
      <c r="D43" s="41" t="inlineStr"/>
      <c r="E43" s="41" t="inlineStr"/>
      <c r="F43" s="41" t="inlineStr"/>
      <c r="G43" s="41" t="inlineStr"/>
      <c r="H43" s="41" t="inlineStr"/>
      <c r="I43" s="44" t="inlineStr"/>
    </row>
    <row r="44" ht="30" customHeight="1">
      <c r="A44" s="41" t="inlineStr"/>
      <c r="B44" s="41" t="inlineStr"/>
      <c r="C44" s="44" t="inlineStr"/>
      <c r="D44" s="41" t="inlineStr"/>
      <c r="E44" s="41" t="inlineStr"/>
      <c r="F44" s="41" t="inlineStr"/>
      <c r="G44" s="41" t="inlineStr"/>
      <c r="H44" s="41" t="inlineStr"/>
      <c r="I44" s="44" t="inlineStr"/>
    </row>
    <row r="45" ht="30" customHeight="1">
      <c r="A45" s="41" t="inlineStr"/>
      <c r="B45" s="41" t="inlineStr"/>
      <c r="C45" s="44" t="inlineStr"/>
      <c r="D45" s="41" t="inlineStr"/>
      <c r="E45" s="41" t="inlineStr"/>
      <c r="F45" s="41" t="inlineStr"/>
      <c r="G45" s="41" t="inlineStr"/>
      <c r="H45" s="41" t="inlineStr"/>
      <c r="I45" s="44" t="inlineStr"/>
    </row>
    <row r="46" ht="30" customHeight="1">
      <c r="A46" s="41" t="inlineStr"/>
      <c r="B46" s="41" t="inlineStr"/>
      <c r="C46" s="44" t="inlineStr"/>
      <c r="D46" s="41" t="inlineStr"/>
      <c r="E46" s="41" t="inlineStr"/>
      <c r="F46" s="41" t="inlineStr"/>
      <c r="G46" s="41" t="inlineStr"/>
      <c r="H46" s="41" t="inlineStr"/>
      <c r="I46" s="44" t="inlineStr"/>
    </row>
    <row r="47" ht="30" customHeight="1">
      <c r="A47" s="41" t="inlineStr"/>
      <c r="B47" s="41" t="inlineStr"/>
      <c r="C47" s="44" t="inlineStr"/>
      <c r="D47" s="41" t="inlineStr"/>
      <c r="E47" s="41" t="inlineStr"/>
      <c r="F47" s="41" t="inlineStr"/>
      <c r="G47" s="41" t="inlineStr"/>
      <c r="H47" s="41" t="inlineStr"/>
      <c r="I47" s="44" t="inlineStr"/>
    </row>
    <row r="48" ht="30" customHeight="1">
      <c r="A48" s="41" t="inlineStr"/>
      <c r="B48" s="41" t="inlineStr"/>
      <c r="C48" s="44" t="inlineStr"/>
      <c r="D48" s="41" t="inlineStr"/>
      <c r="E48" s="41" t="inlineStr"/>
      <c r="F48" s="41" t="inlineStr"/>
      <c r="G48" s="41" t="inlineStr"/>
      <c r="H48" s="41" t="inlineStr"/>
      <c r="I48" s="44" t="inlineStr"/>
    </row>
    <row r="49" ht="30" customHeight="1">
      <c r="A49" s="41" t="inlineStr"/>
      <c r="B49" s="41" t="inlineStr"/>
      <c r="C49" s="44" t="inlineStr"/>
      <c r="D49" s="41" t="inlineStr"/>
      <c r="E49" s="41" t="inlineStr"/>
      <c r="F49" s="41" t="inlineStr"/>
      <c r="G49" s="41" t="inlineStr"/>
      <c r="H49" s="41" t="inlineStr"/>
      <c r="I49" s="44" t="inlineStr"/>
    </row>
    <row r="50" ht="30" customHeight="1">
      <c r="A50" s="41" t="inlineStr"/>
      <c r="B50" s="41" t="inlineStr"/>
      <c r="C50" s="44" t="inlineStr"/>
      <c r="D50" s="41" t="inlineStr"/>
      <c r="E50" s="41" t="inlineStr"/>
      <c r="F50" s="41" t="inlineStr"/>
      <c r="G50" s="41" t="inlineStr"/>
      <c r="H50" s="41" t="inlineStr"/>
      <c r="I50" s="44" t="inlineStr"/>
    </row>
    <row r="51" ht="30" customHeight="1">
      <c r="A51" s="41" t="inlineStr"/>
      <c r="B51" s="41" t="inlineStr"/>
      <c r="C51" s="44" t="inlineStr"/>
      <c r="D51" s="41" t="inlineStr"/>
      <c r="E51" s="41" t="inlineStr"/>
      <c r="F51" s="41" t="inlineStr"/>
      <c r="G51" s="41" t="inlineStr"/>
      <c r="H51" s="41" t="inlineStr"/>
      <c r="I51" s="44" t="inlineStr"/>
    </row>
    <row r="52" ht="30" customHeight="1">
      <c r="A52" s="41" t="inlineStr"/>
      <c r="B52" s="41" t="inlineStr"/>
      <c r="C52" s="44" t="inlineStr"/>
      <c r="D52" s="41" t="inlineStr"/>
      <c r="E52" s="41" t="inlineStr"/>
      <c r="F52" s="41" t="inlineStr"/>
      <c r="G52" s="41" t="inlineStr"/>
      <c r="H52" s="41" t="inlineStr"/>
      <c r="I52" s="44" t="inlineStr"/>
    </row>
    <row r="53" ht="30" customHeight="1">
      <c r="A53" s="41" t="inlineStr"/>
      <c r="B53" s="41" t="inlineStr"/>
      <c r="C53" s="44" t="inlineStr"/>
      <c r="D53" s="41" t="inlineStr"/>
      <c r="E53" s="41" t="inlineStr"/>
      <c r="F53" s="41" t="inlineStr"/>
      <c r="G53" s="41" t="inlineStr"/>
      <c r="H53" s="41" t="inlineStr"/>
      <c r="I53" s="44" t="inlineStr"/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4" t="inlineStr">
        <is>
          <t>⚠️ REGRESSION LOG — Theo dõi lỗi level down (TC từng Đạt nay Không đạt)</t>
        </is>
      </c>
    </row>
    <row r="2" ht="35" customHeight="1">
      <c r="A2" s="61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5" t="inlineStr">
        <is>
          <t>Reg ID</t>
        </is>
      </c>
      <c r="B3" s="65" t="inlineStr">
        <is>
          <t>TC ID</t>
        </is>
      </c>
      <c r="C3" s="65" t="inlineStr">
        <is>
          <t>Module</t>
        </is>
      </c>
      <c r="D3" s="65" t="inlineStr">
        <is>
          <t>Lần phát hiện</t>
        </is>
      </c>
      <c r="E3" s="65" t="inlineStr">
        <is>
          <t>Bug gốc gây regression</t>
        </is>
      </c>
      <c r="F3" s="65" t="inlineStr">
        <is>
          <t>Status trước retest</t>
        </is>
      </c>
      <c r="G3" s="65" t="inlineStr">
        <is>
          <t>Status sau retest</t>
        </is>
      </c>
      <c r="H3" s="65" t="inlineStr">
        <is>
          <t>Severity gốc</t>
        </is>
      </c>
      <c r="I3" s="65" t="inlineStr">
        <is>
          <t>Severity regression</t>
        </is>
      </c>
      <c r="J3" s="65" t="inlineStr">
        <is>
          <t>Mô tả regression</t>
        </is>
      </c>
      <c r="K3" s="65" t="inlineStr">
        <is>
          <t>Đã fix?</t>
        </is>
      </c>
      <c r="L3" s="65" t="inlineStr">
        <is>
          <t>Ngày verify lại</t>
        </is>
      </c>
      <c r="M3" s="65" t="inlineStr">
        <is>
          <t>Ghi chú</t>
        </is>
      </c>
    </row>
    <row r="4" ht="35" customHeight="1">
      <c r="A4" s="41" t="inlineStr"/>
      <c r="B4" s="41" t="inlineStr"/>
      <c r="C4" s="44" t="inlineStr"/>
      <c r="D4" s="41" t="inlineStr"/>
      <c r="E4" s="44" t="inlineStr"/>
      <c r="F4" s="41" t="inlineStr"/>
      <c r="G4" s="41" t="inlineStr"/>
      <c r="H4" s="41" t="inlineStr"/>
      <c r="I4" s="41" t="inlineStr"/>
      <c r="J4" s="44" t="inlineStr"/>
      <c r="K4" s="41" t="inlineStr"/>
      <c r="L4" s="41" t="inlineStr"/>
      <c r="M4" s="44" t="inlineStr"/>
    </row>
    <row r="5" ht="35" customHeight="1">
      <c r="A5" s="41" t="inlineStr"/>
      <c r="B5" s="41" t="inlineStr"/>
      <c r="C5" s="44" t="inlineStr"/>
      <c r="D5" s="41" t="inlineStr"/>
      <c r="E5" s="44" t="inlineStr"/>
      <c r="F5" s="41" t="inlineStr"/>
      <c r="G5" s="41" t="inlineStr"/>
      <c r="H5" s="41" t="inlineStr"/>
      <c r="I5" s="41" t="inlineStr"/>
      <c r="J5" s="44" t="inlineStr"/>
      <c r="K5" s="41" t="inlineStr"/>
      <c r="L5" s="41" t="inlineStr"/>
      <c r="M5" s="44" t="inlineStr"/>
    </row>
    <row r="6" ht="35" customHeight="1">
      <c r="A6" s="41" t="inlineStr"/>
      <c r="B6" s="41" t="inlineStr"/>
      <c r="C6" s="44" t="inlineStr"/>
      <c r="D6" s="41" t="inlineStr"/>
      <c r="E6" s="44" t="inlineStr"/>
      <c r="F6" s="41" t="inlineStr"/>
      <c r="G6" s="41" t="inlineStr"/>
      <c r="H6" s="41" t="inlineStr"/>
      <c r="I6" s="41" t="inlineStr"/>
      <c r="J6" s="44" t="inlineStr"/>
      <c r="K6" s="41" t="inlineStr"/>
      <c r="L6" s="41" t="inlineStr"/>
      <c r="M6" s="44" t="inlineStr"/>
    </row>
    <row r="7" ht="35" customHeight="1">
      <c r="A7" s="41" t="inlineStr"/>
      <c r="B7" s="41" t="inlineStr"/>
      <c r="C7" s="44" t="inlineStr"/>
      <c r="D7" s="41" t="inlineStr"/>
      <c r="E7" s="44" t="inlineStr"/>
      <c r="F7" s="41" t="inlineStr"/>
      <c r="G7" s="41" t="inlineStr"/>
      <c r="H7" s="41" t="inlineStr"/>
      <c r="I7" s="41" t="inlineStr"/>
      <c r="J7" s="44" t="inlineStr"/>
      <c r="K7" s="41" t="inlineStr"/>
      <c r="L7" s="41" t="inlineStr"/>
      <c r="M7" s="44" t="inlineStr"/>
    </row>
    <row r="8" ht="35" customHeight="1">
      <c r="A8" s="41" t="inlineStr"/>
      <c r="B8" s="41" t="inlineStr"/>
      <c r="C8" s="44" t="inlineStr"/>
      <c r="D8" s="41" t="inlineStr"/>
      <c r="E8" s="44" t="inlineStr"/>
      <c r="F8" s="41" t="inlineStr"/>
      <c r="G8" s="41" t="inlineStr"/>
      <c r="H8" s="41" t="inlineStr"/>
      <c r="I8" s="41" t="inlineStr"/>
      <c r="J8" s="44" t="inlineStr"/>
      <c r="K8" s="41" t="inlineStr"/>
      <c r="L8" s="41" t="inlineStr"/>
      <c r="M8" s="44" t="inlineStr"/>
    </row>
    <row r="9" ht="35" customHeight="1">
      <c r="A9" s="41" t="inlineStr"/>
      <c r="B9" s="41" t="inlineStr"/>
      <c r="C9" s="44" t="inlineStr"/>
      <c r="D9" s="41" t="inlineStr"/>
      <c r="E9" s="44" t="inlineStr"/>
      <c r="F9" s="41" t="inlineStr"/>
      <c r="G9" s="41" t="inlineStr"/>
      <c r="H9" s="41" t="inlineStr"/>
      <c r="I9" s="41" t="inlineStr"/>
      <c r="J9" s="44" t="inlineStr"/>
      <c r="K9" s="41" t="inlineStr"/>
      <c r="L9" s="41" t="inlineStr"/>
      <c r="M9" s="44" t="inlineStr"/>
    </row>
    <row r="10" ht="35" customHeight="1">
      <c r="A10" s="41" t="inlineStr"/>
      <c r="B10" s="41" t="inlineStr"/>
      <c r="C10" s="44" t="inlineStr"/>
      <c r="D10" s="41" t="inlineStr"/>
      <c r="E10" s="44" t="inlineStr"/>
      <c r="F10" s="41" t="inlineStr"/>
      <c r="G10" s="41" t="inlineStr"/>
      <c r="H10" s="41" t="inlineStr"/>
      <c r="I10" s="41" t="inlineStr"/>
      <c r="J10" s="44" t="inlineStr"/>
      <c r="K10" s="41" t="inlineStr"/>
      <c r="L10" s="41" t="inlineStr"/>
      <c r="M10" s="44" t="inlineStr"/>
    </row>
    <row r="11" ht="35" customHeight="1">
      <c r="A11" s="41" t="inlineStr"/>
      <c r="B11" s="41" t="inlineStr"/>
      <c r="C11" s="44" t="inlineStr"/>
      <c r="D11" s="41" t="inlineStr"/>
      <c r="E11" s="44" t="inlineStr"/>
      <c r="F11" s="41" t="inlineStr"/>
      <c r="G11" s="41" t="inlineStr"/>
      <c r="H11" s="41" t="inlineStr"/>
      <c r="I11" s="41" t="inlineStr"/>
      <c r="J11" s="44" t="inlineStr"/>
      <c r="K11" s="41" t="inlineStr"/>
      <c r="L11" s="41" t="inlineStr"/>
      <c r="M11" s="44" t="inlineStr"/>
    </row>
    <row r="12" ht="35" customHeight="1">
      <c r="A12" s="41" t="inlineStr"/>
      <c r="B12" s="41" t="inlineStr"/>
      <c r="C12" s="44" t="inlineStr"/>
      <c r="D12" s="41" t="inlineStr"/>
      <c r="E12" s="44" t="inlineStr"/>
      <c r="F12" s="41" t="inlineStr"/>
      <c r="G12" s="41" t="inlineStr"/>
      <c r="H12" s="41" t="inlineStr"/>
      <c r="I12" s="41" t="inlineStr"/>
      <c r="J12" s="44" t="inlineStr"/>
      <c r="K12" s="41" t="inlineStr"/>
      <c r="L12" s="41" t="inlineStr"/>
      <c r="M12" s="44" t="inlineStr"/>
    </row>
    <row r="13" ht="35" customHeight="1">
      <c r="A13" s="41" t="inlineStr"/>
      <c r="B13" s="41" t="inlineStr"/>
      <c r="C13" s="44" t="inlineStr"/>
      <c r="D13" s="41" t="inlineStr"/>
      <c r="E13" s="44" t="inlineStr"/>
      <c r="F13" s="41" t="inlineStr"/>
      <c r="G13" s="41" t="inlineStr"/>
      <c r="H13" s="41" t="inlineStr"/>
      <c r="I13" s="41" t="inlineStr"/>
      <c r="J13" s="44" t="inlineStr"/>
      <c r="K13" s="41" t="inlineStr"/>
      <c r="L13" s="41" t="inlineStr"/>
      <c r="M13" s="44" t="inlineStr"/>
    </row>
    <row r="14" ht="35" customHeight="1">
      <c r="A14" s="41" t="inlineStr"/>
      <c r="B14" s="41" t="inlineStr"/>
      <c r="C14" s="44" t="inlineStr"/>
      <c r="D14" s="41" t="inlineStr"/>
      <c r="E14" s="44" t="inlineStr"/>
      <c r="F14" s="41" t="inlineStr"/>
      <c r="G14" s="41" t="inlineStr"/>
      <c r="H14" s="41" t="inlineStr"/>
      <c r="I14" s="41" t="inlineStr"/>
      <c r="J14" s="44" t="inlineStr"/>
      <c r="K14" s="41" t="inlineStr"/>
      <c r="L14" s="41" t="inlineStr"/>
      <c r="M14" s="44" t="inlineStr"/>
    </row>
    <row r="15" ht="35" customHeight="1">
      <c r="A15" s="41" t="inlineStr"/>
      <c r="B15" s="41" t="inlineStr"/>
      <c r="C15" s="44" t="inlineStr"/>
      <c r="D15" s="41" t="inlineStr"/>
      <c r="E15" s="44" t="inlineStr"/>
      <c r="F15" s="41" t="inlineStr"/>
      <c r="G15" s="41" t="inlineStr"/>
      <c r="H15" s="41" t="inlineStr"/>
      <c r="I15" s="41" t="inlineStr"/>
      <c r="J15" s="44" t="inlineStr"/>
      <c r="K15" s="41" t="inlineStr"/>
      <c r="L15" s="41" t="inlineStr"/>
      <c r="M15" s="44" t="inlineStr"/>
    </row>
    <row r="16" ht="35" customHeight="1">
      <c r="A16" s="41" t="inlineStr"/>
      <c r="B16" s="41" t="inlineStr"/>
      <c r="C16" s="44" t="inlineStr"/>
      <c r="D16" s="41" t="inlineStr"/>
      <c r="E16" s="44" t="inlineStr"/>
      <c r="F16" s="41" t="inlineStr"/>
      <c r="G16" s="41" t="inlineStr"/>
      <c r="H16" s="41" t="inlineStr"/>
      <c r="I16" s="41" t="inlineStr"/>
      <c r="J16" s="44" t="inlineStr"/>
      <c r="K16" s="41" t="inlineStr"/>
      <c r="L16" s="41" t="inlineStr"/>
      <c r="M16" s="44" t="inlineStr"/>
    </row>
    <row r="17" ht="35" customHeight="1">
      <c r="A17" s="41" t="inlineStr"/>
      <c r="B17" s="41" t="inlineStr"/>
      <c r="C17" s="44" t="inlineStr"/>
      <c r="D17" s="41" t="inlineStr"/>
      <c r="E17" s="44" t="inlineStr"/>
      <c r="F17" s="41" t="inlineStr"/>
      <c r="G17" s="41" t="inlineStr"/>
      <c r="H17" s="41" t="inlineStr"/>
      <c r="I17" s="41" t="inlineStr"/>
      <c r="J17" s="44" t="inlineStr"/>
      <c r="K17" s="41" t="inlineStr"/>
      <c r="L17" s="41" t="inlineStr"/>
      <c r="M17" s="44" t="inlineStr"/>
    </row>
    <row r="18" ht="35" customHeight="1">
      <c r="A18" s="41" t="inlineStr"/>
      <c r="B18" s="41" t="inlineStr"/>
      <c r="C18" s="44" t="inlineStr"/>
      <c r="D18" s="41" t="inlineStr"/>
      <c r="E18" s="44" t="inlineStr"/>
      <c r="F18" s="41" t="inlineStr"/>
      <c r="G18" s="41" t="inlineStr"/>
      <c r="H18" s="41" t="inlineStr"/>
      <c r="I18" s="41" t="inlineStr"/>
      <c r="J18" s="44" t="inlineStr"/>
      <c r="K18" s="41" t="inlineStr"/>
      <c r="L18" s="41" t="inlineStr"/>
      <c r="M18" s="44" t="inlineStr"/>
    </row>
    <row r="19" ht="35" customHeight="1">
      <c r="A19" s="41" t="inlineStr"/>
      <c r="B19" s="41" t="inlineStr"/>
      <c r="C19" s="44" t="inlineStr"/>
      <c r="D19" s="41" t="inlineStr"/>
      <c r="E19" s="44" t="inlineStr"/>
      <c r="F19" s="41" t="inlineStr"/>
      <c r="G19" s="41" t="inlineStr"/>
      <c r="H19" s="41" t="inlineStr"/>
      <c r="I19" s="41" t="inlineStr"/>
      <c r="J19" s="44" t="inlineStr"/>
      <c r="K19" s="41" t="inlineStr"/>
      <c r="L19" s="41" t="inlineStr"/>
      <c r="M19" s="44" t="inlineStr"/>
    </row>
    <row r="20" ht="35" customHeight="1">
      <c r="A20" s="41" t="inlineStr"/>
      <c r="B20" s="41" t="inlineStr"/>
      <c r="C20" s="44" t="inlineStr"/>
      <c r="D20" s="41" t="inlineStr"/>
      <c r="E20" s="44" t="inlineStr"/>
      <c r="F20" s="41" t="inlineStr"/>
      <c r="G20" s="41" t="inlineStr"/>
      <c r="H20" s="41" t="inlineStr"/>
      <c r="I20" s="41" t="inlineStr"/>
      <c r="J20" s="44" t="inlineStr"/>
      <c r="K20" s="41" t="inlineStr"/>
      <c r="L20" s="41" t="inlineStr"/>
      <c r="M20" s="44" t="inlineStr"/>
    </row>
    <row r="21" ht="35" customHeight="1">
      <c r="A21" s="41" t="inlineStr"/>
      <c r="B21" s="41" t="inlineStr"/>
      <c r="C21" s="44" t="inlineStr"/>
      <c r="D21" s="41" t="inlineStr"/>
      <c r="E21" s="44" t="inlineStr"/>
      <c r="F21" s="41" t="inlineStr"/>
      <c r="G21" s="41" t="inlineStr"/>
      <c r="H21" s="41" t="inlineStr"/>
      <c r="I21" s="41" t="inlineStr"/>
      <c r="J21" s="44" t="inlineStr"/>
      <c r="K21" s="41" t="inlineStr"/>
      <c r="L21" s="41" t="inlineStr"/>
      <c r="M21" s="44" t="inlineStr"/>
    </row>
    <row r="22" ht="35" customHeight="1">
      <c r="A22" s="41" t="inlineStr"/>
      <c r="B22" s="41" t="inlineStr"/>
      <c r="C22" s="44" t="inlineStr"/>
      <c r="D22" s="41" t="inlineStr"/>
      <c r="E22" s="44" t="inlineStr"/>
      <c r="F22" s="41" t="inlineStr"/>
      <c r="G22" s="41" t="inlineStr"/>
      <c r="H22" s="41" t="inlineStr"/>
      <c r="I22" s="41" t="inlineStr"/>
      <c r="J22" s="44" t="inlineStr"/>
      <c r="K22" s="41" t="inlineStr"/>
      <c r="L22" s="41" t="inlineStr"/>
      <c r="M22" s="44" t="inlineStr"/>
    </row>
    <row r="23" ht="35" customHeight="1">
      <c r="A23" s="41" t="inlineStr"/>
      <c r="B23" s="41" t="inlineStr"/>
      <c r="C23" s="44" t="inlineStr"/>
      <c r="D23" s="41" t="inlineStr"/>
      <c r="E23" s="44" t="inlineStr"/>
      <c r="F23" s="41" t="inlineStr"/>
      <c r="G23" s="41" t="inlineStr"/>
      <c r="H23" s="41" t="inlineStr"/>
      <c r="I23" s="41" t="inlineStr"/>
      <c r="J23" s="44" t="inlineStr"/>
      <c r="K23" s="41" t="inlineStr"/>
      <c r="L23" s="41" t="inlineStr"/>
      <c r="M23" s="44" t="inlineStr"/>
    </row>
    <row r="24" ht="35" customHeight="1">
      <c r="A24" s="41" t="inlineStr"/>
      <c r="B24" s="41" t="inlineStr"/>
      <c r="C24" s="44" t="inlineStr"/>
      <c r="D24" s="41" t="inlineStr"/>
      <c r="E24" s="44" t="inlineStr"/>
      <c r="F24" s="41" t="inlineStr"/>
      <c r="G24" s="41" t="inlineStr"/>
      <c r="H24" s="41" t="inlineStr"/>
      <c r="I24" s="41" t="inlineStr"/>
      <c r="J24" s="44" t="inlineStr"/>
      <c r="K24" s="41" t="inlineStr"/>
      <c r="L24" s="41" t="inlineStr"/>
      <c r="M24" s="44" t="inlineStr"/>
    </row>
    <row r="25" ht="35" customHeight="1">
      <c r="A25" s="41" t="inlineStr"/>
      <c r="B25" s="41" t="inlineStr"/>
      <c r="C25" s="44" t="inlineStr"/>
      <c r="D25" s="41" t="inlineStr"/>
      <c r="E25" s="44" t="inlineStr"/>
      <c r="F25" s="41" t="inlineStr"/>
      <c r="G25" s="41" t="inlineStr"/>
      <c r="H25" s="41" t="inlineStr"/>
      <c r="I25" s="41" t="inlineStr"/>
      <c r="J25" s="44" t="inlineStr"/>
      <c r="K25" s="41" t="inlineStr"/>
      <c r="L25" s="41" t="inlineStr"/>
      <c r="M25" s="44" t="inlineStr"/>
    </row>
    <row r="26" ht="35" customHeight="1">
      <c r="A26" s="41" t="inlineStr"/>
      <c r="B26" s="41" t="inlineStr"/>
      <c r="C26" s="44" t="inlineStr"/>
      <c r="D26" s="41" t="inlineStr"/>
      <c r="E26" s="44" t="inlineStr"/>
      <c r="F26" s="41" t="inlineStr"/>
      <c r="G26" s="41" t="inlineStr"/>
      <c r="H26" s="41" t="inlineStr"/>
      <c r="I26" s="41" t="inlineStr"/>
      <c r="J26" s="44" t="inlineStr"/>
      <c r="K26" s="41" t="inlineStr"/>
      <c r="L26" s="41" t="inlineStr"/>
      <c r="M26" s="44" t="inlineStr"/>
    </row>
    <row r="27" ht="35" customHeight="1">
      <c r="A27" s="41" t="inlineStr"/>
      <c r="B27" s="41" t="inlineStr"/>
      <c r="C27" s="44" t="inlineStr"/>
      <c r="D27" s="41" t="inlineStr"/>
      <c r="E27" s="44" t="inlineStr"/>
      <c r="F27" s="41" t="inlineStr"/>
      <c r="G27" s="41" t="inlineStr"/>
      <c r="H27" s="41" t="inlineStr"/>
      <c r="I27" s="41" t="inlineStr"/>
      <c r="J27" s="44" t="inlineStr"/>
      <c r="K27" s="41" t="inlineStr"/>
      <c r="L27" s="41" t="inlineStr"/>
      <c r="M27" s="44" t="inlineStr"/>
    </row>
    <row r="28" ht="35" customHeight="1">
      <c r="A28" s="41" t="inlineStr"/>
      <c r="B28" s="41" t="inlineStr"/>
      <c r="C28" s="44" t="inlineStr"/>
      <c r="D28" s="41" t="inlineStr"/>
      <c r="E28" s="44" t="inlineStr"/>
      <c r="F28" s="41" t="inlineStr"/>
      <c r="G28" s="41" t="inlineStr"/>
      <c r="H28" s="41" t="inlineStr"/>
      <c r="I28" s="41" t="inlineStr"/>
      <c r="J28" s="44" t="inlineStr"/>
      <c r="K28" s="41" t="inlineStr"/>
      <c r="L28" s="41" t="inlineStr"/>
      <c r="M28" s="44" t="inlineStr"/>
    </row>
    <row r="29" ht="35" customHeight="1">
      <c r="A29" s="41" t="inlineStr"/>
      <c r="B29" s="41" t="inlineStr"/>
      <c r="C29" s="44" t="inlineStr"/>
      <c r="D29" s="41" t="inlineStr"/>
      <c r="E29" s="44" t="inlineStr"/>
      <c r="F29" s="41" t="inlineStr"/>
      <c r="G29" s="41" t="inlineStr"/>
      <c r="H29" s="41" t="inlineStr"/>
      <c r="I29" s="41" t="inlineStr"/>
      <c r="J29" s="44" t="inlineStr"/>
      <c r="K29" s="41" t="inlineStr"/>
      <c r="L29" s="41" t="inlineStr"/>
      <c r="M29" s="44" t="inlineStr"/>
    </row>
    <row r="30" ht="35" customHeight="1">
      <c r="A30" s="41" t="inlineStr"/>
      <c r="B30" s="41" t="inlineStr"/>
      <c r="C30" s="44" t="inlineStr"/>
      <c r="D30" s="41" t="inlineStr"/>
      <c r="E30" s="44" t="inlineStr"/>
      <c r="F30" s="41" t="inlineStr"/>
      <c r="G30" s="41" t="inlineStr"/>
      <c r="H30" s="41" t="inlineStr"/>
      <c r="I30" s="41" t="inlineStr"/>
      <c r="J30" s="44" t="inlineStr"/>
      <c r="K30" s="41" t="inlineStr"/>
      <c r="L30" s="41" t="inlineStr"/>
      <c r="M30" s="44" t="inlineStr"/>
    </row>
    <row r="31" ht="35" customHeight="1">
      <c r="A31" s="41" t="inlineStr"/>
      <c r="B31" s="41" t="inlineStr"/>
      <c r="C31" s="44" t="inlineStr"/>
      <c r="D31" s="41" t="inlineStr"/>
      <c r="E31" s="44" t="inlineStr"/>
      <c r="F31" s="41" t="inlineStr"/>
      <c r="G31" s="41" t="inlineStr"/>
      <c r="H31" s="41" t="inlineStr"/>
      <c r="I31" s="41" t="inlineStr"/>
      <c r="J31" s="44" t="inlineStr"/>
      <c r="K31" s="41" t="inlineStr"/>
      <c r="L31" s="41" t="inlineStr"/>
      <c r="M31" s="44" t="inlineStr"/>
    </row>
    <row r="32" ht="35" customHeight="1">
      <c r="A32" s="41" t="inlineStr"/>
      <c r="B32" s="41" t="inlineStr"/>
      <c r="C32" s="44" t="inlineStr"/>
      <c r="D32" s="41" t="inlineStr"/>
      <c r="E32" s="44" t="inlineStr"/>
      <c r="F32" s="41" t="inlineStr"/>
      <c r="G32" s="41" t="inlineStr"/>
      <c r="H32" s="41" t="inlineStr"/>
      <c r="I32" s="41" t="inlineStr"/>
      <c r="J32" s="44" t="inlineStr"/>
      <c r="K32" s="41" t="inlineStr"/>
      <c r="L32" s="41" t="inlineStr"/>
      <c r="M32" s="44" t="inlineStr"/>
    </row>
    <row r="33" ht="35" customHeight="1">
      <c r="A33" s="41" t="inlineStr"/>
      <c r="B33" s="41" t="inlineStr"/>
      <c r="C33" s="44" t="inlineStr"/>
      <c r="D33" s="41" t="inlineStr"/>
      <c r="E33" s="44" t="inlineStr"/>
      <c r="F33" s="41" t="inlineStr"/>
      <c r="G33" s="41" t="inlineStr"/>
      <c r="H33" s="41" t="inlineStr"/>
      <c r="I33" s="41" t="inlineStr"/>
      <c r="J33" s="44" t="inlineStr"/>
      <c r="K33" s="41" t="inlineStr"/>
      <c r="L33" s="41" t="inlineStr"/>
      <c r="M33" s="44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2026-06-07T20:44:19Z</dcterms:created>
  <dcterms:modified xmlns:dcterms="http://purl.org/dc/terms/" xmlns:xsi="http://www.w3.org/2001/XMLSchema-instance" xsi:type="dcterms:W3CDTF">2026-06-07T20:44:19Z</dcterms:modified>
</cp:coreProperties>
</file>