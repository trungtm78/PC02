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Cases'!$A$3:$X$132</definedName>
    <definedName name="_xlnm._FilterDatabase" localSheetId="3" hidden="1">'Data Matrix'!$A$3:$K$14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70AD47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C00000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B6C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9BC2E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9" fillId="15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7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18" fillId="21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9" fillId="2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4" fillId="16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/>
    </xf>
    <xf numFmtId="0" fontId="1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129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Cases'!R4:R132="Đạt")*('Test Cases'!S4:S132="Đạt"))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Cases'!R4:R132="Không đạt")+('Test Cases'!S4:S132="Không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Cases'!R4:R132,"Đạt")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Cases'!R4:R132,"Không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Cases'!S4:S132,"Đạt")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Cases'!S4:S132,"Không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Cases'!S4:S132,"Bỏ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Cases'!R4:R132)+COUNTIF('Test Cases'!R4:R132,"Chưa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Cases'!R4:R132="Đạt")*('Test Cases'!S4:S132="Đạt"))/(SUMPRODUCT(('Test Cases'!R4:R132="Đạt")*('Test Cases'!S4:S132="Đạt"))+SUMPRODUCT((('Test Cases'!R4:R132="Không đạt")+('Test Cases'!S4:S132="Không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Cases'!R4:R132,"Đạt")/(COUNTIF('Test Cases'!R4:R132,"Đạt")+COUNTIF('Test Cases'!R4:R132,"Không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Cases'!S4:S132,"Đạt")/(COUNTIF('Test Cases'!S4:S132,"Đạt")+COUNTIF('Test Cases'!S4:S132,"Không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Cases'!R4:R132,"Đạt")+COUNTIF('Test Cases'!R4:R132,"Không đạt")+COUNTIF('Test Cases'!R4:R132,"Bị chặn"))/129,0)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Cases'!B4:B132,"GREEN")</f>
        <v/>
      </c>
      <c r="C21" s="14">
        <f>IFERROR(B21/129,0)</f>
        <v/>
      </c>
      <c r="D21" s="13">
        <f>COUNTIFS('Test Cases'!B4:B132,"GREEN",'Test Cases'!S4:S132,"Đạt")</f>
        <v/>
      </c>
      <c r="E21" s="13">
        <f>COUNTIFS('Test Cases'!B4:B132,"GREEN",'Test Cases'!S4:S132,"Không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Cases'!B4:B132,"RED")</f>
        <v/>
      </c>
      <c r="C22" s="14">
        <f>IFERROR(B22/129,0)</f>
        <v/>
      </c>
      <c r="D22" s="13">
        <f>COUNTIFS('Test Cases'!B4:B132,"RED",'Test Cases'!S4:S132,"Đạt")</f>
        <v/>
      </c>
      <c r="E22" s="13">
        <f>COUNTIFS('Test Cases'!B4:B132,"RED",'Test Cases'!S4:S132,"Không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Cases'!B4:B132,"EDGE")</f>
        <v/>
      </c>
      <c r="C23" s="14">
        <f>IFERROR(B23/129,0)</f>
        <v/>
      </c>
      <c r="D23" s="13">
        <f>COUNTIFS('Test Cases'!B4:B132,"EDGE",'Test Cases'!S4:S132,"Đạt")</f>
        <v/>
      </c>
      <c r="E23" s="13">
        <f>COUNTIFS('Test Cases'!B4:B132,"EDGE",'Test Cases'!S4:S132,"Không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Cases'!B4:B132,"BOUNDARY")</f>
        <v/>
      </c>
      <c r="C24" s="14">
        <f>IFERROR(B24/129,0)</f>
        <v/>
      </c>
      <c r="D24" s="13">
        <f>COUNTIFS('Test Cases'!B4:B132,"BOUNDARY",'Test Cases'!S4:S132,"Đạt")</f>
        <v/>
      </c>
      <c r="E24" s="13">
        <f>COUNTIFS('Test Cases'!B4:B132,"BOUNDARY",'Test Cases'!S4:S132,"Không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Cases'!B4:B132,"EP")</f>
        <v/>
      </c>
      <c r="C25" s="14">
        <f>IFERROR(B25/129,0)</f>
        <v/>
      </c>
      <c r="D25" s="13">
        <f>COUNTIFS('Test Cases'!B4:B132,"EP",'Test Cases'!S4:S132,"Đạt")</f>
        <v/>
      </c>
      <c r="E25" s="13">
        <f>COUNTIFS('Test Cases'!B4:B132,"EP",'Test Cases'!S4:S132,"Không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Cases'!B4:B132,"STATE")</f>
        <v/>
      </c>
      <c r="C26" s="14">
        <f>IFERROR(B26/129,0)</f>
        <v/>
      </c>
      <c r="D26" s="13">
        <f>COUNTIFS('Test Cases'!B4:B132,"STATE",'Test Cases'!S4:S132,"Đạt")</f>
        <v/>
      </c>
      <c r="E26" s="13">
        <f>COUNTIFS('Test Cases'!B4:B132,"STATE",'Test Cases'!S4:S132,"Không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Cases'!B4:B132,"DECISION")</f>
        <v/>
      </c>
      <c r="C27" s="14">
        <f>IFERROR(B27/129,0)</f>
        <v/>
      </c>
      <c r="D27" s="13">
        <f>COUNTIFS('Test Cases'!B4:B132,"DECISION",'Test Cases'!S4:S132,"Đạt")</f>
        <v/>
      </c>
      <c r="E27" s="13">
        <f>COUNTIFS('Test Cases'!B4:B132,"DECISION",'Test Cases'!S4:S132,"Không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Cases'!B4:B132,"SECURITY")</f>
        <v/>
      </c>
      <c r="C28" s="14">
        <f>IFERROR(B28/129,0)</f>
        <v/>
      </c>
      <c r="D28" s="13">
        <f>COUNTIFS('Test Cases'!B4:B132,"SECURITY",'Test Cases'!S4:S132,"Đạt")</f>
        <v/>
      </c>
      <c r="E28" s="13">
        <f>COUNTIFS('Test Cases'!B4:B132,"SECURITY",'Test Cases'!S4:S132,"Không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Cases'!B4:B132,"DATA")</f>
        <v/>
      </c>
      <c r="C29" s="14">
        <f>IFERROR(B29/129,0)</f>
        <v/>
      </c>
      <c r="D29" s="13">
        <f>COUNTIFS('Test Cases'!B4:B132,"DATA",'Test Cases'!S4:S132,"Đạt")</f>
        <v/>
      </c>
      <c r="E29" s="13">
        <f>COUNTIFS('Test Cases'!B4:B132,"DATA",'Test Cases'!S4:S132,"Không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Cases'!B4:B132,"PERFORMANCE")</f>
        <v/>
      </c>
      <c r="C30" s="14">
        <f>IFERROR(B30/129,0)</f>
        <v/>
      </c>
      <c r="D30" s="13">
        <f>COUNTIFS('Test Cases'!B4:B132,"PERFORMANCE",'Test Cases'!S4:S132,"Đạt")</f>
        <v/>
      </c>
      <c r="E30" s="13">
        <f>COUNTIFS('Test Cases'!B4:B132,"PERFORMANCE",'Test Cases'!S4:S132,"Không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Cases'!B4:B132,"A11Y")</f>
        <v/>
      </c>
      <c r="C31" s="14">
        <f>IFERROR(B31/129,0)</f>
        <v/>
      </c>
      <c r="D31" s="13">
        <f>COUNTIFS('Test Cases'!B4:B132,"A11Y",'Test Cases'!S4:S132,"Đạt")</f>
        <v/>
      </c>
      <c r="E31" s="13">
        <f>COUNTIFS('Test Cases'!B4:B132,"A11Y",'Test Cases'!S4:S132,"Không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Cases'!B4:B132,"COMPAT")</f>
        <v/>
      </c>
      <c r="C32" s="14">
        <f>IFERROR(B32/129,0)</f>
        <v/>
      </c>
      <c r="D32" s="13">
        <f>COUNTIFS('Test Cases'!B4:B132,"COMPAT",'Test Cases'!S4:S132,"Đạt")</f>
        <v/>
      </c>
      <c r="E32" s="13">
        <f>COUNTIFS('Test Cases'!B4:B132,"COMPAT",'Test Cases'!S4:S132,"Không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Cases'!B4:B132,"INTEGRATION")</f>
        <v/>
      </c>
      <c r="C33" s="14">
        <f>IFERROR(B33/129,0)</f>
        <v/>
      </c>
      <c r="D33" s="13">
        <f>COUNTIFS('Test Cases'!B4:B132,"INTEGRATION",'Test Cases'!S4:S132,"Đạt")</f>
        <v/>
      </c>
      <c r="E33" s="13">
        <f>COUNTIFS('Test Cases'!B4:B132,"INTEGRATION",'Test Cases'!S4:S132,"Không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Cases'!B4:B132,"REGRESSION")</f>
        <v/>
      </c>
      <c r="C34" s="14">
        <f>IFERROR(B34/129,0)</f>
        <v/>
      </c>
      <c r="D34" s="13">
        <f>COUNTIFS('Test Cases'!B4:B132,"REGRESSION",'Test Cases'!S4:S132,"Đạt")</f>
        <v/>
      </c>
      <c r="E34" s="13">
        <f>COUNTIFS('Test Cases'!B4:B132,"REGRESSION",'Test Cases'!S4:S132,"Không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Cases'!B4:B132,"RECOVERY")</f>
        <v/>
      </c>
      <c r="C35" s="14">
        <f>IFERROR(B35/129,0)</f>
        <v/>
      </c>
      <c r="D35" s="13">
        <f>COUNTIFS('Test Cases'!B4:B132,"RECOVERY",'Test Cases'!S4:S132,"Đạt")</f>
        <v/>
      </c>
      <c r="E35" s="13">
        <f>COUNTIFS('Test Cases'!B4:B132,"RECOVERY",'Test Cases'!S4:S132,"Không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Cases'!B4:B132,"AUDIT")</f>
        <v/>
      </c>
      <c r="C36" s="14">
        <f>IFERROR(B36/129,0)</f>
        <v/>
      </c>
      <c r="D36" s="13">
        <f>COUNTIFS('Test Cases'!B4:B132,"AUDIT",'Test Cases'!S4:S132,"Đạt")</f>
        <v/>
      </c>
      <c r="E36" s="13">
        <f>COUNTIFS('Test Cases'!B4:B132,"AUDIT",'Test Cases'!S4:S132,"Không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Cases'!B4:B132,"USABILITY")</f>
        <v/>
      </c>
      <c r="C37" s="14">
        <f>IFERROR(B37/129,0)</f>
        <v/>
      </c>
      <c r="D37" s="13">
        <f>COUNTIFS('Test Cases'!B4:B132,"USABILITY",'Test Cases'!S4:S132,"Đạt")</f>
        <v/>
      </c>
      <c r="E37" s="13">
        <f>COUNTIFS('Test Cases'!B4:B132,"USABILITY",'Test Cases'!S4:S132,"Không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Cases'!C4:C132,"P0")</f>
        <v/>
      </c>
      <c r="C41" s="14">
        <f>IFERROR(B41/129,0)</f>
        <v/>
      </c>
      <c r="D41" s="13">
        <f>COUNTIFS('Test Cases'!C4:C132,"P0",'Test Cases'!S4:S132,"Đạt")</f>
        <v/>
      </c>
      <c r="E41" s="13">
        <f>COUNTIFS('Test Cases'!C4:C132,"P0",'Test Cases'!S4:S132,"Không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Cases'!C4:C132,"P1")</f>
        <v/>
      </c>
      <c r="C42" s="14">
        <f>IFERROR(B42/129,0)</f>
        <v/>
      </c>
      <c r="D42" s="13">
        <f>COUNTIFS('Test Cases'!C4:C132,"P1",'Test Cases'!S4:S132,"Đạt")</f>
        <v/>
      </c>
      <c r="E42" s="13">
        <f>COUNTIFS('Test Cases'!C4:C132,"P1",'Test Cases'!S4:S132,"Không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Cases'!C4:C132,"P2")</f>
        <v/>
      </c>
      <c r="C43" s="14">
        <f>IFERROR(B43/129,0)</f>
        <v/>
      </c>
      <c r="D43" s="13">
        <f>COUNTIFS('Test Cases'!C4:C132,"P2",'Test Cases'!S4:S132,"Đạt")</f>
        <v/>
      </c>
      <c r="E43" s="13">
        <f>COUNTIFS('Test Cases'!C4:C132,"P2",'Test Cases'!S4:S132,"Không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Cases'!C4:C132,"P3")</f>
        <v/>
      </c>
      <c r="C44" s="14">
        <f>IFERROR(B44/129,0)</f>
        <v/>
      </c>
      <c r="D44" s="13">
        <f>COUNTIFS('Test Cases'!C4:C132,"P3",'Test Cases'!S4:S132,"Đạt")</f>
        <v/>
      </c>
      <c r="E44" s="13">
        <f>COUNTIFS('Test Cases'!C4:C132,"P3",'Test Cases'!S4:S132,"Không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Cases'!C4:C132,"P0",'Test Cases'!S4:S132,"Đạt")/COUNTIF('Test Cases'!C4:C132,"P0"),0)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Cases'!C4:C132,"P1",'Test Cases'!S4:S132,"Đạt")/COUNTIF('Test Cases'!C4:C132,"P1"),0)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Cases'!C4:C132,"P2",'Test Cases'!S4:S132,"Đạt")/MAX(COUNTIF('Test Cases'!C4:C132,"P2"),1),1)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Xuất chứng từ động Vụ việc/Vụ án + Đơn thư (epic PR1-PR4)</t>
        </is>
      </c>
    </row>
    <row r="2">
      <c r="A2" s="39" t="inlineStr">
        <is>
          <t>Tổng số TC: 129 | Ngày tạo: 28/06/2026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Admin-Templates</t>
        </is>
      </c>
      <c r="E4" s="44" t="inlineStr">
        <is>
          <t>Admin upload mẫu VU_AN không cấp số thành công</t>
        </is>
      </c>
      <c r="F4" s="41" t="inlineStr">
        <is>
          <t>POST /document-templates</t>
        </is>
      </c>
      <c r="G4" s="41" t="inlineStr">
        <is>
          <t>Happy path</t>
        </is>
      </c>
      <c r="H4" s="41" t="inlineStr">
        <is>
          <t>High</t>
        </is>
      </c>
      <c r="I4" s="44" t="inlineStr">
        <is>
          <t>Đăng nhập ADMIN, có file qd.docx hợp lệ</t>
        </is>
      </c>
      <c r="J4" s="44" t="inlineStr">
        <is>
          <t>1. Vào /settings/document-templates
2. Nhấn Thêm mẫu
3. Nhập code=QD-KT-01, name=QĐ khởi tố
4. entityType=Vụ án, category=Quyết định
5. Chọn file qd.docx
6. Nhấn Lưu</t>
        </is>
      </c>
      <c r="K4" s="44" t="inlineStr">
        <is>
          <t>code=QD-KT-01</t>
        </is>
      </c>
      <c r="L4" s="44" t="inlineStr">
        <is>
          <t>series.case.active</t>
        </is>
      </c>
      <c r="M4" s="44" t="inlineStr">
        <is>
          <t>Modal đóng, mẫu mới xuất hiện trong danh sách</t>
        </is>
      </c>
      <c r="N4" s="44" t="inlineStr">
        <is>
          <t>201 trả DocumentTemplate {id, code, entityType:'VU_AN', variables[]}</t>
        </is>
      </c>
      <c r="O4" s="44" t="inlineStr">
        <is>
          <t>DB có row DocumentTemplate, fileBytes lưu, variables phân loại auto/manual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>
        <is>
          <t>Core admin flow</t>
        </is>
      </c>
    </row>
    <row r="5" ht="80" customHeight="1">
      <c r="A5" s="41" t="inlineStr">
        <is>
          <t>TC-002</t>
        </is>
      </c>
      <c r="B5" s="42" t="inlineStr">
        <is>
          <t>GREEN</t>
        </is>
      </c>
      <c r="C5" s="45" t="inlineStr">
        <is>
          <t>P1</t>
        </is>
      </c>
      <c r="D5" s="44" t="inlineStr">
        <is>
          <t>Admin-Templates</t>
        </is>
      </c>
      <c r="E5" s="44" t="inlineStr">
        <is>
          <t>Admin upload mẫu VU_VIEC category Biên bản</t>
        </is>
      </c>
      <c r="F5" s="41" t="inlineStr">
        <is>
          <t>POST /document-templates</t>
        </is>
      </c>
      <c r="G5" s="41" t="inlineStr">
        <is>
          <t>Happy path</t>
        </is>
      </c>
      <c r="H5" s="41" t="inlineStr">
        <is>
          <t>Medium</t>
        </is>
      </c>
      <c r="I5" s="44" t="inlineStr">
        <is>
          <t>ADMIN</t>
        </is>
      </c>
      <c r="J5" s="44" t="inlineStr">
        <is>
          <t>1. Thêm mẫu entityType=Vụ việc, category=Biên bản
2. Upload bb.docx
3. Lưu</t>
        </is>
      </c>
      <c r="K5" s="44" t="inlineStr">
        <is>
          <t>code=BB-01</t>
        </is>
      </c>
      <c r="L5" s="44" t="inlineStr"/>
      <c r="M5" s="44" t="inlineStr">
        <is>
          <t>201, mẫu VU_VIEC active hiển thị trong list lọc Vụ việc</t>
        </is>
      </c>
      <c r="N5" s="44" t="inlineStr"/>
      <c r="O5" s="44" t="inlineStr"/>
      <c r="P5" s="41" t="inlineStr">
        <is>
          <t>High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/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Admin-Templates</t>
        </is>
      </c>
      <c r="E6" s="44" t="inlineStr">
        <is>
          <t>Admin bật Cấp số + chọn chuỗi số → lưu thành công</t>
        </is>
      </c>
      <c r="F6" s="41" t="inlineStr">
        <is>
          <t>numberSeriesId</t>
        </is>
      </c>
      <c r="G6" s="41" t="inlineStr">
        <is>
          <t>Happy path</t>
        </is>
      </c>
      <c r="H6" s="41" t="inlineStr">
        <is>
          <t>High</t>
        </is>
      </c>
      <c r="I6" s="44" t="inlineStr">
        <is>
          <t>ADMIN, có chuỗi số CASE</t>
        </is>
      </c>
      <c r="J6" s="44" t="inlineStr">
        <is>
          <t>1. Thêm mẫu VU_AN
2. Tick 'Cấp số văn bản'
3. Select chuỗi số hiện ra → chọn 'Số vụ án (CASE)'
4. Upload file + Lưu</t>
        </is>
      </c>
      <c r="K6" s="44" t="inlineStr">
        <is>
          <t>numberSeriesId=CASE</t>
        </is>
      </c>
      <c r="L6" s="44" t="inlineStr">
        <is>
          <t>series.case.active</t>
        </is>
      </c>
      <c r="M6" s="44" t="inlineStr">
        <is>
          <t>Select chuỗi số hiện khi tick; nút Lưu enabled sau khi chọn</t>
        </is>
      </c>
      <c r="N6" s="44" t="inlineStr">
        <is>
          <t>201 với needsNumber=true, numberSeriesId='CASE'</t>
        </is>
      </c>
      <c r="O6" s="44" t="inlineStr">
        <is>
          <t>Mẫu lưu đúng numberSeriesId</t>
        </is>
      </c>
      <c r="P6" s="41" t="inlineStr">
        <is>
          <t>Critical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>
        <is>
          <t>P1-A fix /review</t>
        </is>
      </c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Export-VuAn</t>
        </is>
      </c>
      <c r="E7" s="44" t="inlineStr">
        <is>
          <t>Officer mở modal xuất chứng từ ở form Vụ án (edit) qua nút In chứng từ</t>
        </is>
      </c>
      <c r="F7" s="41" t="inlineStr">
        <is>
          <t>GET /cases/export-templates</t>
        </is>
      </c>
      <c r="G7" s="41" t="inlineStr">
        <is>
          <t>Happy path</t>
        </is>
      </c>
      <c r="H7" s="41" t="inlineStr">
        <is>
          <t>High</t>
        </is>
      </c>
      <c r="I7" s="44" t="inlineStr">
        <is>
          <t>OFF1 đăng nhập, có case Tổ A, có mẫu VU_AN active</t>
        </is>
      </c>
      <c r="J7" s="44" t="inlineStr">
        <is>
          <t>1. Mở /cases/{case_A_id}/edit
2. Nhấn nút 'In chứng từ'</t>
        </is>
      </c>
      <c r="K7" s="44" t="inlineStr"/>
      <c r="L7" s="44" t="inlineStr">
        <is>
          <t>case.toA.active.D0, template.vuan.active.D0</t>
        </is>
      </c>
      <c r="M7" s="44" t="inlineStr">
        <is>
          <t>DynamicExportDocumentsModal mở, hiện mẫu VU_AN nhóm theo category, tick sẵn tất cả</t>
        </is>
      </c>
      <c r="N7" s="44" t="inlineStr">
        <is>
          <t>GET /cases/export-templates 200 trả mảng mẫu active</t>
        </is>
      </c>
      <c r="O7" s="44" t="inlineStr">
        <is>
          <t>Không cần lưu lại record</t>
        </is>
      </c>
      <c r="P7" s="41" t="inlineStr">
        <is>
          <t>Critical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>
        <is>
          <t>Officer KHÔNG có quyền Setting vẫn list được</t>
        </is>
      </c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Export-VuAn</t>
        </is>
      </c>
      <c r="E8" s="44" t="inlineStr">
        <is>
          <t>Xuất 1 mẫu Vụ án dạng gộp (merged) tải file .docx</t>
        </is>
      </c>
      <c r="F8" s="41" t="inlineStr">
        <is>
          <t>POST /cases/:id/export-documents</t>
        </is>
      </c>
      <c r="G8" s="41" t="inlineStr">
        <is>
          <t>Happy path</t>
        </is>
      </c>
      <c r="H8" s="41" t="inlineStr">
        <is>
          <t>High</t>
        </is>
      </c>
      <c r="I8" s="44" t="inlineStr">
        <is>
          <t>Modal đang mở, 1 mẫu tick</t>
        </is>
      </c>
      <c r="J8" s="44" t="inlineStr">
        <is>
          <t>1. Chọn 1 mẫu
2. Chọn định dạng Gộp 1 file Word
3. Nhấn Xuất file</t>
        </is>
      </c>
      <c r="K8" s="44" t="inlineStr">
        <is>
          <t>mode=merged</t>
        </is>
      </c>
      <c r="L8" s="44" t="inlineStr">
        <is>
          <t>case.toA.active.D0, template.vuan.active.D0</t>
        </is>
      </c>
      <c r="M8" s="44" t="inlineStr">
        <is>
          <t>File ChungTu_YYYYMMDD.docx tải về, modal đóng</t>
        </is>
      </c>
      <c r="N8" s="44" t="inlineStr">
        <is>
          <t>POST 200, Content-Type docx, Content-Disposition filename=ChungTu_*.docx</t>
        </is>
      </c>
      <c r="O8" s="44" t="inlineStr">
        <is>
          <t>DocumentRenderLog tạo, placeholder điền từ record</t>
        </is>
      </c>
      <c r="P8" s="41" t="inlineStr">
        <is>
          <t>Critical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2" t="inlineStr">
        <is>
          <t>GREEN</t>
        </is>
      </c>
      <c r="C9" s="45" t="inlineStr">
        <is>
          <t>P1</t>
        </is>
      </c>
      <c r="D9" s="44" t="inlineStr">
        <is>
          <t>Export-VuAn</t>
        </is>
      </c>
      <c r="E9" s="44" t="inlineStr">
        <is>
          <t>Xuất nhiều mẫu Vụ án dạng ZIP</t>
        </is>
      </c>
      <c r="F9" s="41" t="inlineStr">
        <is>
          <t>POST export mode=zip</t>
        </is>
      </c>
      <c r="G9" s="41" t="inlineStr">
        <is>
          <t>Happy path</t>
        </is>
      </c>
      <c r="H9" s="41" t="inlineStr">
        <is>
          <t>Medium</t>
        </is>
      </c>
      <c r="I9" s="44" t="inlineStr">
        <is>
          <t>≥2 mẫu VU_AN active</t>
        </is>
      </c>
      <c r="J9" s="44" t="inlineStr">
        <is>
          <t>1. Tick 2 mẫu
2. Chọn Tách - file ZIP
3. Xuất file</t>
        </is>
      </c>
      <c r="K9" s="44" t="inlineStr">
        <is>
          <t>mode=zip</t>
        </is>
      </c>
      <c r="L9" s="44" t="inlineStr">
        <is>
          <t>case.toA.active.D0, template.vuan.active.D0</t>
        </is>
      </c>
      <c r="M9" s="44" t="inlineStr">
        <is>
          <t>200 application/zip, filename ChungTu_*.zip chứa 2 file .docx, mỗi file đúng nội dung</t>
        </is>
      </c>
      <c r="N9" s="44" t="inlineStr"/>
      <c r="O9" s="44" t="inlineStr"/>
      <c r="P9" s="41" t="inlineStr">
        <is>
          <t>High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2" t="inlineStr">
        <is>
          <t>GREEN</t>
        </is>
      </c>
      <c r="C10" s="43" t="inlineStr">
        <is>
          <t>P0</t>
        </is>
      </c>
      <c r="D10" s="44" t="inlineStr">
        <is>
          <t>Export-VuAn</t>
        </is>
      </c>
      <c r="E10" s="44" t="inlineStr">
        <is>
          <t>Lưu và xuất file (split-button) ở form Vụ án tạo mới</t>
        </is>
      </c>
      <c r="F10" s="41" t="inlineStr">
        <is>
          <t>SaveSplitButton onSaveAndExport</t>
        </is>
      </c>
      <c r="G10" s="41" t="inlineStr">
        <is>
          <t>Happy path</t>
        </is>
      </c>
      <c r="H10" s="41" t="inlineStr">
        <is>
          <t>High</t>
        </is>
      </c>
      <c r="I10" s="44" t="inlineStr">
        <is>
          <t>OFF1, form tạo vụ án hợp lệ</t>
        </is>
      </c>
      <c r="J10" s="44" t="inlineStr">
        <is>
          <t>1. Điền form vụ án hợp lệ
2. Mở menu ▼ split-button
3. Chọn 'Lưu và xuất file'
4. Qua gate PreSaveSummary → Xác nhận</t>
        </is>
      </c>
      <c r="K10" s="44" t="inlineStr"/>
      <c r="L10" s="44" t="inlineStr">
        <is>
          <t>template.vuan.active.D0</t>
        </is>
      </c>
      <c r="M10" s="44" t="inlineStr">
        <is>
          <t>Lưu xong → mở modal xuất chứng từ (KHÔNG về danh sách)</t>
        </is>
      </c>
      <c r="N10" s="44" t="inlineStr">
        <is>
          <t>POST /cases 201 trả id; sau đó modal fetch export-templates</t>
        </is>
      </c>
      <c r="O10" s="44" t="inlineStr">
        <is>
          <t>Record lưu, exportForId = id mới</t>
        </is>
      </c>
      <c r="P10" s="41" t="inlineStr">
        <is>
          <t>Critical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>
        <is>
          <t>intent giữ qua exportAfterSaveRef</t>
        </is>
      </c>
    </row>
    <row r="11" ht="80" customHeight="1">
      <c r="A11" s="41" t="inlineStr">
        <is>
          <t>TC-008</t>
        </is>
      </c>
      <c r="B11" s="42" t="inlineStr">
        <is>
          <t>GREEN</t>
        </is>
      </c>
      <c r="C11" s="46" t="inlineStr">
        <is>
          <t>P2</t>
        </is>
      </c>
      <c r="D11" s="44" t="inlineStr">
        <is>
          <t>Export-VuAn</t>
        </is>
      </c>
      <c r="E11" s="44" t="inlineStr">
        <is>
          <t>Đóng modal sau Lưu-và-xuất → điều hướng về danh sách</t>
        </is>
      </c>
      <c r="F11" s="41" t="inlineStr">
        <is>
          <t>exportNavigateOnClose=true</t>
        </is>
      </c>
      <c r="G11" s="41" t="inlineStr">
        <is>
          <t>Happy path</t>
        </is>
      </c>
      <c r="H11" s="41" t="inlineStr">
        <is>
          <t>Low</t>
        </is>
      </c>
      <c r="I11" s="44" t="inlineStr">
        <is>
          <t>Vừa Lưu và xuất, modal mở</t>
        </is>
      </c>
      <c r="J11" s="44" t="inlineStr">
        <is>
          <t>1. Nhấn Đóng trên modal</t>
        </is>
      </c>
      <c r="K11" s="44" t="inlineStr"/>
      <c r="L11" s="44" t="inlineStr"/>
      <c r="M11" s="44" t="inlineStr">
        <is>
          <t>Điều hướng về /cases (danh sách)</t>
        </is>
      </c>
      <c r="N11" s="44" t="inlineStr"/>
      <c r="O11" s="44" t="inlineStr"/>
      <c r="P11" s="41" t="inlineStr">
        <is>
          <t>Medium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6" t="inlineStr">
        <is>
          <t>P2</t>
        </is>
      </c>
      <c r="D12" s="44" t="inlineStr">
        <is>
          <t>Export-VuAn</t>
        </is>
      </c>
      <c r="E12" s="44" t="inlineStr">
        <is>
          <t>Đóng modal sau nút In chứng từ → ở lại form (không điều hướng)</t>
        </is>
      </c>
      <c r="F12" s="41" t="inlineStr">
        <is>
          <t>exportNavigateOnClose=false</t>
        </is>
      </c>
      <c r="G12" s="41" t="inlineStr">
        <is>
          <t>Happy path</t>
        </is>
      </c>
      <c r="H12" s="41" t="inlineStr">
        <is>
          <t>Low</t>
        </is>
      </c>
      <c r="I12" s="44" t="inlineStr">
        <is>
          <t>Mở modal qua nút In chứng từ (edit)</t>
        </is>
      </c>
      <c r="J12" s="44" t="inlineStr">
        <is>
          <t>1. Nhấn Đóng</t>
        </is>
      </c>
      <c r="K12" s="44" t="inlineStr"/>
      <c r="L12" s="44" t="inlineStr">
        <is>
          <t>case.toA.active.D0</t>
        </is>
      </c>
      <c r="M12" s="44" t="inlineStr">
        <is>
          <t>Modal đóng, vẫn ở /cases/{id}/edit</t>
        </is>
      </c>
      <c r="N12" s="44" t="inlineStr"/>
      <c r="O12" s="44" t="inlineStr"/>
      <c r="P12" s="41" t="inlineStr">
        <is>
          <t>Medium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3" t="inlineStr">
        <is>
          <t>P0</t>
        </is>
      </c>
      <c r="D13" s="44" t="inlineStr">
        <is>
          <t>Export-VuViec</t>
        </is>
      </c>
      <c r="E13" s="44" t="inlineStr">
        <is>
          <t>Xuất chứng từ Vụ việc qua nút In chứng từ (IncidentFormPage)</t>
        </is>
      </c>
      <c r="F13" s="41" t="inlineStr">
        <is>
          <t>POST /incidents/:id/export-documents</t>
        </is>
      </c>
      <c r="G13" s="41" t="inlineStr">
        <is>
          <t>Happy path</t>
        </is>
      </c>
      <c r="H13" s="41" t="inlineStr">
        <is>
          <t>High</t>
        </is>
      </c>
      <c r="I13" s="44" t="inlineStr">
        <is>
          <t>OFF1, incident Tổ A, mẫu VU_VIEC active</t>
        </is>
      </c>
      <c r="J13" s="44" t="inlineStr">
        <is>
          <t>1. Mở /vu-viec/{incident_A_id}/edit
2. Nhấn In chứng từ
3. Tick mẫu → Xuất file</t>
        </is>
      </c>
      <c r="K13" s="44" t="inlineStr"/>
      <c r="L13" s="44" t="inlineStr">
        <is>
          <t>incident.toA.active.D0, template.vuviec.active.D0</t>
        </is>
      </c>
      <c r="M13" s="44" t="inlineStr">
        <is>
          <t>200, file .docx tải về, entityType=VU_VIEC đúng</t>
        </is>
      </c>
      <c r="N13" s="44" t="inlineStr"/>
      <c r="O13" s="44" t="inlineStr"/>
      <c r="P13" s="41" t="inlineStr">
        <is>
          <t>Critical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Export-VuViec</t>
        </is>
      </c>
      <c r="E14" s="44" t="inlineStr">
        <is>
          <t>Lưu và xuất file ở form Vụ việc (split-button)</t>
        </is>
      </c>
      <c r="F14" s="41" t="inlineStr">
        <is>
          <t>doSave {ok,id} + onSaveAndExport</t>
        </is>
      </c>
      <c r="G14" s="41" t="inlineStr">
        <is>
          <t>Happy path</t>
        </is>
      </c>
      <c r="H14" s="41" t="inlineStr">
        <is>
          <t>Medium</t>
        </is>
      </c>
      <c r="I14" s="44" t="inlineStr">
        <is>
          <t>OFF1, form vụ việc hợp lệ (tên ≥5 ký tự)</t>
        </is>
      </c>
      <c r="J14" s="44" t="inlineStr">
        <is>
          <t>1. Điền tên vụ việc hợp lệ
2. ▼ → Lưu và xuất file</t>
        </is>
      </c>
      <c r="K14" s="44" t="inlineStr"/>
      <c r="L14" s="44" t="inlineStr">
        <is>
          <t>template.vuviec.active.D0</t>
        </is>
      </c>
      <c r="M14" s="44" t="inlineStr">
        <is>
          <t>POST /incidents 201 → modal mở với id mới</t>
        </is>
      </c>
      <c r="N14" s="44" t="inlineStr"/>
      <c r="O14" s="44" t="inlineStr"/>
      <c r="P14" s="41" t="inlineStr">
        <is>
          <t>High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/>
    </row>
    <row r="15" ht="80" customHeight="1">
      <c r="A15" s="41" t="inlineStr">
        <is>
          <t>TC-012</t>
        </is>
      </c>
      <c r="B15" s="42" t="inlineStr">
        <is>
          <t>GREEN</t>
        </is>
      </c>
      <c r="C15" s="45" t="inlineStr">
        <is>
          <t>P1</t>
        </is>
      </c>
      <c r="D15" s="44" t="inlineStr">
        <is>
          <t>Export-DonThu</t>
        </is>
      </c>
      <c r="E15" s="44" t="inlineStr">
        <is>
          <t>Nút In chứng từ độc lập trên Đơn thư mở popup 7 mẫu</t>
        </is>
      </c>
      <c r="F15" s="41" t="inlineStr">
        <is>
          <t>ExportDocumentsModal petition</t>
        </is>
      </c>
      <c r="G15" s="41" t="inlineStr">
        <is>
          <t>Happy path</t>
        </is>
      </c>
      <c r="H15" s="41" t="inlineStr">
        <is>
          <t>Medium</t>
        </is>
      </c>
      <c r="I15" s="44" t="inlineStr">
        <is>
          <t>OFF1, đơn thư đã lưu</t>
        </is>
      </c>
      <c r="J15" s="44" t="inlineStr">
        <is>
          <t>1. Mở /petitions/{petition_A_id}/edit
2. Nhấn In chứng từ</t>
        </is>
      </c>
      <c r="K15" s="44" t="inlineStr"/>
      <c r="L15" s="44" t="inlineStr">
        <is>
          <t>petition.toA.active.D0</t>
        </is>
      </c>
      <c r="M15" s="44" t="inlineStr">
        <is>
          <t>Popup 7 mẫu hardcode hiện, tick sẵn, KHÔNG cần lưu lại</t>
        </is>
      </c>
      <c r="N15" s="44" t="inlineStr">
        <is>
          <t>Không gọi POST /petitions</t>
        </is>
      </c>
      <c r="O15" s="44" t="inlineStr"/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>
        <is>
          <t>PR4</t>
        </is>
      </c>
    </row>
    <row r="16" ht="80" customHeight="1">
      <c r="A16" s="41" t="inlineStr">
        <is>
          <t>TC-013</t>
        </is>
      </c>
      <c r="B16" s="42" t="inlineStr">
        <is>
          <t>GREEN</t>
        </is>
      </c>
      <c r="C16" s="46" t="inlineStr">
        <is>
          <t>P2</t>
        </is>
      </c>
      <c r="D16" s="44" t="inlineStr">
        <is>
          <t>Export-DonThu</t>
        </is>
      </c>
      <c r="E16" s="44" t="inlineStr">
        <is>
          <t>Đóng popup In chứng từ đơn thư → ở lại form</t>
        </is>
      </c>
      <c r="F16" s="41" t="inlineStr">
        <is>
          <t>exportNavigateOnClose=false petition</t>
        </is>
      </c>
      <c r="G16" s="41" t="inlineStr">
        <is>
          <t>Happy path</t>
        </is>
      </c>
      <c r="H16" s="41" t="inlineStr">
        <is>
          <t>Low</t>
        </is>
      </c>
      <c r="I16" s="44" t="inlineStr">
        <is>
          <t>Popup mở qua In chứng từ</t>
        </is>
      </c>
      <c r="J16" s="44" t="inlineStr">
        <is>
          <t>1. Nhấn Đóng</t>
        </is>
      </c>
      <c r="K16" s="44" t="inlineStr"/>
      <c r="L16" s="44" t="inlineStr">
        <is>
          <t>petition.toA.active.D0</t>
        </is>
      </c>
      <c r="M16" s="44" t="inlineStr">
        <is>
          <t>Ở lại /petitions/{id}/edit, không về danh sách</t>
        </is>
      </c>
      <c r="N16" s="44" t="inlineStr"/>
      <c r="O16" s="44" t="inlineStr"/>
      <c r="P16" s="41" t="inlineStr">
        <is>
          <t>Medium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/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Export-VuAn</t>
        </is>
      </c>
      <c r="E17" s="44" t="inlineStr">
        <is>
          <t>Form biến nhập tay hiển thị khi mẫu có biến source=manual được chọn</t>
        </is>
      </c>
      <c r="F17" s="41" t="inlineStr">
        <is>
          <t>manualVars union</t>
        </is>
      </c>
      <c r="G17" s="41" t="inlineStr">
        <is>
          <t>Happy path</t>
        </is>
      </c>
      <c r="H17" s="41" t="inlineStr">
        <is>
          <t>High</t>
        </is>
      </c>
      <c r="I17" s="44" t="inlineStr">
        <is>
          <t>Mẫu VU_AN có {hoTenBiCan} (manual)</t>
        </is>
      </c>
      <c r="J17" s="44" t="inlineStr">
        <is>
          <t>1. Mở modal, tick mẫu có biến manual
2. Quan sát section 'Thông tin nhập tay'
3. Nhập giá trị hoTenBiCan
4. Xuất file</t>
        </is>
      </c>
      <c r="K17" s="44" t="inlineStr">
        <is>
          <t>hoTenBiCan=Nguyễn Văn X</t>
        </is>
      </c>
      <c r="L17" s="44" t="inlineStr">
        <is>
          <t>case.toA.active.D0, template.vuan.manualvar.D0</t>
        </is>
      </c>
      <c r="M17" s="44" t="inlineStr">
        <is>
          <t>Input dyn-manual-hoTenBiCan hiện; ẩn khi bỏ chọn mẫu</t>
        </is>
      </c>
      <c r="N17" s="44" t="inlineStr">
        <is>
          <t>POST gửi manualValues={hoTenBiCan:'...'}</t>
        </is>
      </c>
      <c r="O17" s="44" t="inlineStr">
        <is>
          <t>File .docx điền đúng giá trị nhập tay (không rỗng câm)</t>
        </is>
      </c>
      <c r="P17" s="41" t="inlineStr">
        <is>
          <t>Critical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>
        <is>
          <t>P1-B fix /review</t>
        </is>
      </c>
    </row>
    <row r="18" ht="80" customHeight="1">
      <c r="A18" s="41" t="inlineStr">
        <is>
          <t>TC-015</t>
        </is>
      </c>
      <c r="B18" s="42" t="inlineStr">
        <is>
          <t>GREEN</t>
        </is>
      </c>
      <c r="C18" s="43" t="inlineStr">
        <is>
          <t>P0</t>
        </is>
      </c>
      <c r="D18" s="44" t="inlineStr">
        <is>
          <t>Export-VuAn</t>
        </is>
      </c>
      <c r="E18" s="44" t="inlineStr">
        <is>
          <t>Xuất mẫu bật cấp số → cấp 1 số văn bản vào file</t>
        </is>
      </c>
      <c r="F18" s="41" t="inlineStr">
        <is>
          <t>atomic cấp số</t>
        </is>
      </c>
      <c r="G18" s="41" t="inlineStr">
        <is>
          <t>Happy path</t>
        </is>
      </c>
      <c r="H18" s="41" t="inlineStr">
        <is>
          <t>High</t>
        </is>
      </c>
      <c r="I18" s="44" t="inlineStr">
        <is>
          <t>Mẫu VU_AN needsNumber=true series=CASE</t>
        </is>
      </c>
      <c r="J18" s="44" t="inlineStr">
        <is>
          <t>1. Mở modal, tick mẫu cấp số
2. Xuất file</t>
        </is>
      </c>
      <c r="K18" s="44" t="inlineStr"/>
      <c r="L18" s="44" t="inlineStr">
        <is>
          <t>case.toA.active.D0, template.vuan.needsnumber.D0</t>
        </is>
      </c>
      <c r="M18" s="44" t="inlineStr">
        <is>
          <t>200, file chứa số văn bản theo định dạng chuỗi CASE; DocumentRenderLog.generatedNumber set</t>
        </is>
      </c>
      <c r="N18" s="44" t="inlineStr"/>
      <c r="O18" s="44" t="inlineStr"/>
      <c r="P18" s="41" t="inlineStr">
        <is>
          <t>Critical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6" t="inlineStr">
        <is>
          <t>P2</t>
        </is>
      </c>
      <c r="D19" s="44" t="inlineStr">
        <is>
          <t>Admin-Templates</t>
        </is>
      </c>
      <c r="E19" s="44" t="inlineStr">
        <is>
          <t>Admin sửa sortOrder mẫu → thứ tự hiển thị thay đổi</t>
        </is>
      </c>
      <c r="F19" s="41" t="inlineStr">
        <is>
          <t>PATCH /document-templates/:id</t>
        </is>
      </c>
      <c r="G19" s="41" t="inlineStr">
        <is>
          <t>Happy path</t>
        </is>
      </c>
      <c r="H19" s="41" t="inlineStr">
        <is>
          <t>Low</t>
        </is>
      </c>
      <c r="I19" s="44" t="inlineStr">
        <is>
          <t>ADMIN, có ≥2 mẫu</t>
        </is>
      </c>
      <c r="J19" s="44" t="inlineStr">
        <is>
          <t>1. PATCH mẫu set sortOrder=5</t>
        </is>
      </c>
      <c r="K19" s="44" t="inlineStr">
        <is>
          <t>sortOrder=5</t>
        </is>
      </c>
      <c r="L19" s="44" t="inlineStr">
        <is>
          <t>template.vuan.active.D0</t>
        </is>
      </c>
      <c r="M19" s="44" t="inlineStr">
        <is>
          <t>200; list sắp xếp lại theo sortOrder asc</t>
        </is>
      </c>
      <c r="N19" s="44" t="inlineStr"/>
      <c r="O19" s="44" t="inlineStr"/>
      <c r="P19" s="41" t="inlineStr">
        <is>
          <t>Low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7" t="inlineStr">
        <is>
          <t>RED</t>
        </is>
      </c>
      <c r="C20" s="43" t="inlineStr">
        <is>
          <t>P0</t>
        </is>
      </c>
      <c r="D20" s="44" t="inlineStr">
        <is>
          <t>Admin-Templates</t>
        </is>
      </c>
      <c r="E20" s="44" t="inlineStr">
        <is>
          <t>Upload mẫu bật Cấp số nhưng KHÔNG chọn chuỗi số → chặn</t>
        </is>
      </c>
      <c r="F20" s="41" t="inlineStr">
        <is>
          <t>needsNumber thiếu series</t>
        </is>
      </c>
      <c r="G20" s="41" t="inlineStr">
        <is>
          <t>Negative</t>
        </is>
      </c>
      <c r="H20" s="41" t="inlineStr">
        <is>
          <t>High</t>
        </is>
      </c>
      <c r="I20" s="44" t="inlineStr">
        <is>
          <t>ADMIN</t>
        </is>
      </c>
      <c r="J20" s="44" t="inlineStr">
        <is>
          <t>1. Thêm mẫu, tick Cấp số
2. KHÔNG chọn chuỗi số
3. Thử Lưu</t>
        </is>
      </c>
      <c r="K20" s="44" t="inlineStr">
        <is>
          <t>needsNumber=true,numberSeriesId=''</t>
        </is>
      </c>
      <c r="L20" s="44" t="inlineStr"/>
      <c r="M20" s="44" t="inlineStr">
        <is>
          <t>Nút Lưu disabled (canSave=false)</t>
        </is>
      </c>
      <c r="N20" s="44" t="inlineStr">
        <is>
          <t>Nếu bypass UI: 400 'Bật cấp số... phải chọn chuỗi số'</t>
        </is>
      </c>
      <c r="O20" s="44" t="inlineStr">
        <is>
          <t>Không tạo mẫu lỗi cấu hình</t>
        </is>
      </c>
      <c r="P20" s="41" t="inlineStr">
        <is>
          <t>Critical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>
        <is>
          <t>P1-A — tránh dead-on-arrival 400 lúc in</t>
        </is>
      </c>
    </row>
    <row r="21" ht="80" customHeight="1">
      <c r="A21" s="41" t="inlineStr">
        <is>
          <t>TC-018</t>
        </is>
      </c>
      <c r="B21" s="47" t="inlineStr">
        <is>
          <t>RED</t>
        </is>
      </c>
      <c r="C21" s="43" t="inlineStr">
        <is>
          <t>P0</t>
        </is>
      </c>
      <c r="D21" s="44" t="inlineStr">
        <is>
          <t>Admin-Templates</t>
        </is>
      </c>
      <c r="E21" s="44" t="inlineStr">
        <is>
          <t>Upload file không phải .docx (txt) → reject</t>
        </is>
      </c>
      <c r="F21" s="41" t="inlineStr">
        <is>
          <t>fileFilter</t>
        </is>
      </c>
      <c r="G21" s="41" t="inlineStr">
        <is>
          <t>Negative</t>
        </is>
      </c>
      <c r="H21" s="41" t="inlineStr">
        <is>
          <t>High</t>
        </is>
      </c>
      <c r="I21" s="44" t="inlineStr">
        <is>
          <t>ADMIN</t>
        </is>
      </c>
      <c r="J21" s="44" t="inlineStr">
        <is>
          <t>1. Thêm mẫu, chọn file a.txt</t>
        </is>
      </c>
      <c r="K21" s="44" t="inlineStr">
        <is>
          <t>file=a.txt</t>
        </is>
      </c>
      <c r="L21" s="44" t="inlineStr"/>
      <c r="M21" s="44" t="inlineStr">
        <is>
          <t>400 'Chỉ chấp nhận file .docx' (fileFilter chặn)</t>
        </is>
      </c>
      <c r="N21" s="44" t="inlineStr"/>
      <c r="O21" s="44" t="inlineStr"/>
      <c r="P21" s="41" t="inlineStr">
        <is>
          <t>Critical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/>
    </row>
    <row r="22" ht="80" customHeight="1">
      <c r="A22" s="41" t="inlineStr">
        <is>
          <t>TC-019</t>
        </is>
      </c>
      <c r="B22" s="47" t="inlineStr">
        <is>
          <t>RED</t>
        </is>
      </c>
      <c r="C22" s="43" t="inlineStr">
        <is>
          <t>P0</t>
        </is>
      </c>
      <c r="D22" s="44" t="inlineStr">
        <is>
          <t>Admin-Templates</t>
        </is>
      </c>
      <c r="E22" s="44" t="inlineStr">
        <is>
          <t>Upload .docx giả (đổi đuôi từ .exe) → assertValidDocx reject</t>
        </is>
      </c>
      <c r="F22" s="41" t="inlineStr">
        <is>
          <t>assertValidDocx</t>
        </is>
      </c>
      <c r="G22" s="41" t="inlineStr">
        <is>
          <t>Negative</t>
        </is>
      </c>
      <c r="H22" s="41" t="inlineStr">
        <is>
          <t>High</t>
        </is>
      </c>
      <c r="I22" s="44" t="inlineStr">
        <is>
          <t>ADMIN</t>
        </is>
      </c>
      <c r="J22" s="44" t="inlineStr">
        <is>
          <t>1. Đổi tên payload.exe → a.docx, set Content-Type docx
2. Upload</t>
        </is>
      </c>
      <c r="K22" s="44" t="inlineStr">
        <is>
          <t>file=fake.docx</t>
        </is>
      </c>
      <c r="L22" s="44" t="inlineStr"/>
      <c r="M22" s="44" t="inlineStr">
        <is>
          <t>400 'File không phải .docx hợp lệ' (thiếu word/document.xml)</t>
        </is>
      </c>
      <c r="N22" s="44" t="inlineStr"/>
      <c r="O22" s="44" t="inlineStr"/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>
        <is>
          <t>MIME spoof</t>
        </is>
      </c>
    </row>
    <row r="23" ht="80" customHeight="1">
      <c r="A23" s="41" t="inlineStr">
        <is>
          <t>TC-020</t>
        </is>
      </c>
      <c r="B23" s="47" t="inlineStr">
        <is>
          <t>RED</t>
        </is>
      </c>
      <c r="C23" s="45" t="inlineStr">
        <is>
          <t>P1</t>
        </is>
      </c>
      <c r="D23" s="44" t="inlineStr">
        <is>
          <t>Admin-Templates</t>
        </is>
      </c>
      <c r="E23" s="44" t="inlineStr">
        <is>
          <t>Tạo mẫu code trùng (cùng entityType, chưa xoá) → 409</t>
        </is>
      </c>
      <c r="F23" s="41" t="inlineStr">
        <is>
          <t>partial unique P2002</t>
        </is>
      </c>
      <c r="G23" s="41" t="inlineStr">
        <is>
          <t>Negative</t>
        </is>
      </c>
      <c r="H23" s="41" t="inlineStr">
        <is>
          <t>Medium</t>
        </is>
      </c>
      <c r="I23" s="44" t="inlineStr">
        <is>
          <t>Đã có mẫu code=QD-KT-01 VU_AN</t>
        </is>
      </c>
      <c r="J23" s="44" t="inlineStr">
        <is>
          <t>1. Tạo mẫu mới cùng code=QD-KT-01, entityType=VU_AN</t>
        </is>
      </c>
      <c r="K23" s="44" t="inlineStr">
        <is>
          <t>code=QD-KT-01</t>
        </is>
      </c>
      <c r="L23" s="44" t="inlineStr">
        <is>
          <t>template.vuan.active.D0</t>
        </is>
      </c>
      <c r="M23" s="44" t="inlineStr">
        <is>
          <t>409 Conflict 'Mã mẫu đã tồn tại cho loại hồ sơ này' (không 500)</t>
        </is>
      </c>
      <c r="N23" s="44" t="inlineStr"/>
      <c r="O23" s="44" t="inlineStr"/>
      <c r="P23" s="41" t="inlineStr">
        <is>
          <t>High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>
        <is>
          <t>P2002 catch /review</t>
        </is>
      </c>
    </row>
    <row r="24" ht="80" customHeight="1">
      <c r="A24" s="41" t="inlineStr">
        <is>
          <t>TC-021</t>
        </is>
      </c>
      <c r="B24" s="47" t="inlineStr">
        <is>
          <t>RED</t>
        </is>
      </c>
      <c r="C24" s="45" t="inlineStr">
        <is>
          <t>P1</t>
        </is>
      </c>
      <c r="D24" s="44" t="inlineStr">
        <is>
          <t>Export-VuAn</t>
        </is>
      </c>
      <c r="E24" s="44" t="inlineStr">
        <is>
          <t>Export với templateIds rỗng → 400 ArrayNotEmpty</t>
        </is>
      </c>
      <c r="F24" s="41" t="inlineStr">
        <is>
          <t>ExportEntityDocumentsDto</t>
        </is>
      </c>
      <c r="G24" s="41" t="inlineStr">
        <is>
          <t>Negative</t>
        </is>
      </c>
      <c r="H24" s="41" t="inlineStr">
        <is>
          <t>Medium</t>
        </is>
      </c>
      <c r="I24" s="44" t="inlineStr">
        <is>
          <t>OFF1, case Tổ A</t>
        </is>
      </c>
      <c r="J24" s="44" t="inlineStr">
        <is>
          <t>1. POST /cases/{id}/export-documents body {templateIds:[],mode:'merged'}</t>
        </is>
      </c>
      <c r="K24" s="44" t="inlineStr">
        <is>
          <t>templateIds=[]</t>
        </is>
      </c>
      <c r="L24" s="44" t="inlineStr">
        <is>
          <t>case.toA.active.D0</t>
        </is>
      </c>
      <c r="M24" s="44" t="inlineStr">
        <is>
          <t>Nút Xuất disabled khi 0 mẫu</t>
        </is>
      </c>
      <c r="N24" s="44" t="inlineStr">
        <is>
          <t>400 ArrayNotEmpty</t>
        </is>
      </c>
      <c r="O24" s="44" t="inlineStr">
        <is>
          <t>Không cấp số, không tạo file</t>
        </is>
      </c>
      <c r="P24" s="41" t="inlineStr">
        <is>
          <t>High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7" t="inlineStr">
        <is>
          <t>RED</t>
        </is>
      </c>
      <c r="C25" s="45" t="inlineStr">
        <is>
          <t>P1</t>
        </is>
      </c>
      <c r="D25" s="44" t="inlineStr">
        <is>
          <t>Export-VuAn</t>
        </is>
      </c>
      <c r="E25" s="44" t="inlineStr">
        <is>
          <t>Export templateId không tồn tại → 400 'không tồn tại hoặc đã bị xoá'</t>
        </is>
      </c>
      <c r="F25" s="41" t="inlineStr">
        <is>
          <t>pre-validate templates</t>
        </is>
      </c>
      <c r="G25" s="41" t="inlineStr">
        <is>
          <t>Negative</t>
        </is>
      </c>
      <c r="H25" s="41" t="inlineStr">
        <is>
          <t>Medium</t>
        </is>
      </c>
      <c r="I25" s="44" t="inlineStr">
        <is>
          <t>OFF1</t>
        </is>
      </c>
      <c r="J25" s="44" t="inlineStr">
        <is>
          <t>1. POST export {templateIds:['non-existent-id']}</t>
        </is>
      </c>
      <c r="K25" s="44" t="inlineStr">
        <is>
          <t>templateIds=[fake]</t>
        </is>
      </c>
      <c r="L25" s="44" t="inlineStr">
        <is>
          <t>case.toA.active.D0</t>
        </is>
      </c>
      <c r="M25" s="44" t="inlineStr">
        <is>
          <t>400 'Có mẫu chứng từ không tồn tại hoặc đã bị xoá'</t>
        </is>
      </c>
      <c r="N25" s="44" t="inlineStr"/>
      <c r="O25" s="44" t="inlineStr"/>
      <c r="P25" s="41" t="inlineStr">
        <is>
          <t>High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7" t="inlineStr">
        <is>
          <t>RED</t>
        </is>
      </c>
      <c r="C26" s="43" t="inlineStr">
        <is>
          <t>P0</t>
        </is>
      </c>
      <c r="D26" s="44" t="inlineStr">
        <is>
          <t>Export-VuAn</t>
        </is>
      </c>
      <c r="E26" s="44" t="inlineStr">
        <is>
          <t>Export mẫu sai entityType (mẫu VU_VIEC cho case) → 400</t>
        </is>
      </c>
      <c r="F26" s="41" t="inlineStr">
        <is>
          <t>entityType match</t>
        </is>
      </c>
      <c r="G26" s="41" t="inlineStr">
        <is>
          <t>Negative</t>
        </is>
      </c>
      <c r="H26" s="41" t="inlineStr">
        <is>
          <t>High</t>
        </is>
      </c>
      <c r="I26" s="44" t="inlineStr">
        <is>
          <t>OFF1, mẫu VU_VIEC, case Tổ A</t>
        </is>
      </c>
      <c r="J26" s="44" t="inlineStr">
        <is>
          <t>1. POST /cases/{case_id}/export-documents {templateIds:[tpl_vuviec_id]}</t>
        </is>
      </c>
      <c r="K26" s="44" t="inlineStr"/>
      <c r="L26" s="44" t="inlineStr">
        <is>
          <t>case.toA.active.D0, template.vuviec.active.D0</t>
        </is>
      </c>
      <c r="M26" s="44" t="inlineStr">
        <is>
          <t>400 'Mẫu chứng từ không thuộc loại hồ sơ này'</t>
        </is>
      </c>
      <c r="N26" s="44" t="inlineStr"/>
      <c r="O26" s="44" t="inlineStr"/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7" t="inlineStr">
        <is>
          <t>RED</t>
        </is>
      </c>
      <c r="C27" s="45" t="inlineStr">
        <is>
          <t>P1</t>
        </is>
      </c>
      <c r="D27" s="44" t="inlineStr">
        <is>
          <t>Export-VuAn</t>
        </is>
      </c>
      <c r="E27" s="44" t="inlineStr">
        <is>
          <t>Export templateIds trùng lặp → 400</t>
        </is>
      </c>
      <c r="F27" s="41" t="inlineStr">
        <is>
          <t>reject duplicate</t>
        </is>
      </c>
      <c r="G27" s="41" t="inlineStr">
        <is>
          <t>Negative</t>
        </is>
      </c>
      <c r="H27" s="41" t="inlineStr">
        <is>
          <t>Medium</t>
        </is>
      </c>
      <c r="I27" s="44" t="inlineStr">
        <is>
          <t>OFF1</t>
        </is>
      </c>
      <c r="J27" s="44" t="inlineStr">
        <is>
          <t>1. POST export {templateIds:[t1,t1]}</t>
        </is>
      </c>
      <c r="K27" s="44" t="inlineStr">
        <is>
          <t>templateIds=[t1,t1]</t>
        </is>
      </c>
      <c r="L27" s="44" t="inlineStr">
        <is>
          <t>case.toA.active.D0, template.vuan.active.D0</t>
        </is>
      </c>
      <c r="M27" s="44" t="inlineStr">
        <is>
          <t>400 'templateIds không được trùng lặp' (tránh cấp 2 số cho 1 mẫu)</t>
        </is>
      </c>
      <c r="N27" s="44" t="inlineStr"/>
      <c r="O27" s="44" t="inlineStr"/>
      <c r="P27" s="41" t="inlineStr">
        <is>
          <t>High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7" t="inlineStr">
        <is>
          <t>RED</t>
        </is>
      </c>
      <c r="C28" s="45" t="inlineStr">
        <is>
          <t>P1</t>
        </is>
      </c>
      <c r="D28" s="44" t="inlineStr">
        <is>
          <t>Export-VuAn</t>
        </is>
      </c>
      <c r="E28" s="44" t="inlineStr">
        <is>
          <t>Export mẫu cấp số nhưng numberSeriesId=null (mẫu cũ lỗi) → 400</t>
        </is>
      </c>
      <c r="F28" s="41" t="inlineStr">
        <is>
          <t>needsNumber no series</t>
        </is>
      </c>
      <c r="G28" s="41" t="inlineStr">
        <is>
          <t>Negative</t>
        </is>
      </c>
      <c r="H28" s="41" t="inlineStr">
        <is>
          <t>Medium</t>
        </is>
      </c>
      <c r="I28" s="44" t="inlineStr">
        <is>
          <t>Mẫu legacy needsNumber=true series=null</t>
        </is>
      </c>
      <c r="J28" s="44" t="inlineStr">
        <is>
          <t>1. Export mẫu đó</t>
        </is>
      </c>
      <c r="K28" s="44" t="inlineStr"/>
      <c r="L28" s="44" t="inlineStr">
        <is>
          <t>case.toA.active.D0</t>
        </is>
      </c>
      <c r="M28" s="44" t="inlineStr">
        <is>
          <t>400 'Mẫu ... bật cấp số nhưng chưa cấu hình series'; tx rollback, không gap số</t>
        </is>
      </c>
      <c r="N28" s="44" t="inlineStr"/>
      <c r="O28" s="44" t="inlineStr"/>
      <c r="P28" s="41" t="inlineStr">
        <is>
          <t>High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>
        <is>
          <t>defense backend</t>
        </is>
      </c>
    </row>
    <row r="29" ht="80" customHeight="1">
      <c r="A29" s="41" t="inlineStr">
        <is>
          <t>TC-026</t>
        </is>
      </c>
      <c r="B29" s="48" t="inlineStr">
        <is>
          <t>SECURITY</t>
        </is>
      </c>
      <c r="C29" s="43" t="inlineStr">
        <is>
          <t>P0</t>
        </is>
      </c>
      <c r="D29" s="44" t="inlineStr">
        <is>
          <t>RBAC</t>
        </is>
      </c>
      <c r="E29" s="44" t="inlineStr">
        <is>
          <t>Officer KHÔNG có quyền Setting upload mẫu → 403</t>
        </is>
      </c>
      <c r="F29" s="41" t="inlineStr">
        <is>
          <t>write Setting</t>
        </is>
      </c>
      <c r="G29" s="41" t="inlineStr">
        <is>
          <t>AuthZ</t>
        </is>
      </c>
      <c r="H29" s="41" t="inlineStr">
        <is>
          <t>High</t>
        </is>
      </c>
      <c r="I29" s="44" t="inlineStr">
        <is>
          <t>OFF1 (không Setting)</t>
        </is>
      </c>
      <c r="J29" s="44" t="inlineStr">
        <is>
          <t>1. OFF1 POST /document-templates multipart</t>
        </is>
      </c>
      <c r="K29" s="44" t="inlineStr"/>
      <c r="L29" s="44" t="inlineStr"/>
      <c r="M29" s="44" t="inlineStr">
        <is>
          <t>403 Forbidden (PermissionsGuard)</t>
        </is>
      </c>
      <c r="N29" s="44" t="inlineStr"/>
      <c r="O29" s="44" t="inlineStr"/>
      <c r="P29" s="41" t="inlineStr">
        <is>
          <t>Critical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>
        <is>
          <t>OWASP A01</t>
        </is>
      </c>
    </row>
    <row r="30" ht="80" customHeight="1">
      <c r="A30" s="41" t="inlineStr">
        <is>
          <t>TC-027</t>
        </is>
      </c>
      <c r="B30" s="48" t="inlineStr">
        <is>
          <t>SECURITY</t>
        </is>
      </c>
      <c r="C30" s="43" t="inlineStr">
        <is>
          <t>P0</t>
        </is>
      </c>
      <c r="D30" s="44" t="inlineStr">
        <is>
          <t>RBAC</t>
        </is>
      </c>
      <c r="E30" s="44" t="inlineStr">
        <is>
          <t>Officer DELETE mẫu → 403</t>
        </is>
      </c>
      <c r="F30" s="41" t="inlineStr">
        <is>
          <t>write Setting delete</t>
        </is>
      </c>
      <c r="G30" s="41" t="inlineStr">
        <is>
          <t>AuthZ</t>
        </is>
      </c>
      <c r="H30" s="41" t="inlineStr">
        <is>
          <t>High</t>
        </is>
      </c>
      <c r="I30" s="44" t="inlineStr">
        <is>
          <t>OFF1</t>
        </is>
      </c>
      <c r="J30" s="44" t="inlineStr">
        <is>
          <t>1. OFF1 DELETE /document-templates/{id}</t>
        </is>
      </c>
      <c r="K30" s="44" t="inlineStr"/>
      <c r="L30" s="44" t="inlineStr">
        <is>
          <t>template.vuan.active.D0</t>
        </is>
      </c>
      <c r="M30" s="44" t="inlineStr">
        <is>
          <t>403</t>
        </is>
      </c>
      <c r="N30" s="44" t="inlineStr"/>
      <c r="O30" s="44" t="inlineStr"/>
      <c r="P30" s="41" t="inlineStr">
        <is>
          <t>Critical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8" t="inlineStr">
        <is>
          <t>SECURITY</t>
        </is>
      </c>
      <c r="C31" s="43" t="inlineStr">
        <is>
          <t>P0</t>
        </is>
      </c>
      <c r="D31" s="44" t="inlineStr">
        <is>
          <t>RBAC</t>
        </is>
      </c>
      <c r="E31" s="44" t="inlineStr">
        <is>
          <t>IDOR: officer1 export vụ án Tổ B (ngoài scope) → 403</t>
        </is>
      </c>
      <c r="F31" s="41" t="inlineStr">
        <is>
          <t>DataScope export</t>
        </is>
      </c>
      <c r="G31" s="41" t="inlineStr">
        <is>
          <t>IDOR</t>
        </is>
      </c>
      <c r="H31" s="41" t="inlineStr">
        <is>
          <t>High</t>
        </is>
      </c>
      <c r="I31" s="44" t="inlineStr">
        <is>
          <t>OFF1 (Tổ A), case_B thuộc Tổ B</t>
        </is>
      </c>
      <c r="J31" s="44" t="inlineStr">
        <is>
          <t>1. OFF1 POST /cases/{case_B_id}/export-documents</t>
        </is>
      </c>
      <c r="K31" s="44" t="inlineStr"/>
      <c r="L31" s="44" t="inlineStr">
        <is>
          <t>case.toB.active.D0, template.vuan.active.D0</t>
        </is>
      </c>
      <c r="M31" s="44" t="inlineStr">
        <is>
          <t>403 (getById scope-check ném Forbidden trước khi render)</t>
        </is>
      </c>
      <c r="N31" s="44" t="inlineStr"/>
      <c r="O31" s="44" t="inlineStr"/>
      <c r="P31" s="41" t="inlineStr">
        <is>
          <t>Critical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>
        <is>
          <t>Rò rỉ dữ liệu cross-tổ</t>
        </is>
      </c>
    </row>
    <row r="32" ht="80" customHeight="1">
      <c r="A32" s="41" t="inlineStr">
        <is>
          <t>TC-029</t>
        </is>
      </c>
      <c r="B32" s="48" t="inlineStr">
        <is>
          <t>SECURITY</t>
        </is>
      </c>
      <c r="C32" s="43" t="inlineStr">
        <is>
          <t>P0</t>
        </is>
      </c>
      <c r="D32" s="44" t="inlineStr">
        <is>
          <t>RBAC</t>
        </is>
      </c>
      <c r="E32" s="44" t="inlineStr">
        <is>
          <t>IDOR: officer1 export vụ việc Tổ B → 403</t>
        </is>
      </c>
      <c r="F32" s="41" t="inlineStr">
        <is>
          <t>DataScope incident</t>
        </is>
      </c>
      <c r="G32" s="41" t="inlineStr">
        <is>
          <t>IDOR</t>
        </is>
      </c>
      <c r="H32" s="41" t="inlineStr">
        <is>
          <t>High</t>
        </is>
      </c>
      <c r="I32" s="44" t="inlineStr">
        <is>
          <t>OFF1, incident Tổ B</t>
        </is>
      </c>
      <c r="J32" s="44" t="inlineStr">
        <is>
          <t>1. OFF1 POST /incidents/{incident_B_id}/export-documents</t>
        </is>
      </c>
      <c r="K32" s="44" t="inlineStr"/>
      <c r="L32" s="44" t="inlineStr">
        <is>
          <t>incident.toA.active.D0</t>
        </is>
      </c>
      <c r="M32" s="44" t="inlineStr">
        <is>
          <t>403</t>
        </is>
      </c>
      <c r="N32" s="44" t="inlineStr"/>
      <c r="O32" s="44" t="inlineStr"/>
      <c r="P32" s="41" t="inlineStr">
        <is>
          <t>Critical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8" t="inlineStr">
        <is>
          <t>SECURITY</t>
        </is>
      </c>
      <c r="C33" s="43" t="inlineStr">
        <is>
          <t>P0</t>
        </is>
      </c>
      <c r="D33" s="44" t="inlineStr">
        <is>
          <t>RBAC</t>
        </is>
      </c>
      <c r="E33" s="44" t="inlineStr">
        <is>
          <t>Export không kèm token → 401</t>
        </is>
      </c>
      <c r="F33" s="41" t="inlineStr">
        <is>
          <t>JwtAuthGuard</t>
        </is>
      </c>
      <c r="G33" s="41" t="inlineStr">
        <is>
          <t>AuthN</t>
        </is>
      </c>
      <c r="H33" s="41" t="inlineStr">
        <is>
          <t>High</t>
        </is>
      </c>
      <c r="I33" s="44" t="inlineStr">
        <is>
          <t>Không đăng nhập</t>
        </is>
      </c>
      <c r="J33" s="44" t="inlineStr">
        <is>
          <t>1. POST /cases/{id}/export-documents không Authorization</t>
        </is>
      </c>
      <c r="K33" s="44" t="inlineStr"/>
      <c r="L33" s="44" t="inlineStr">
        <is>
          <t>case.toA.active.D0</t>
        </is>
      </c>
      <c r="M33" s="44" t="inlineStr">
        <is>
          <t>401 Unauthorized</t>
        </is>
      </c>
      <c r="N33" s="44" t="inlineStr"/>
      <c r="O33" s="44" t="inlineStr"/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>
        <is>
          <t>A07</t>
        </is>
      </c>
    </row>
    <row r="34" ht="80" customHeight="1">
      <c r="A34" s="41" t="inlineStr">
        <is>
          <t>TC-031</t>
        </is>
      </c>
      <c r="B34" s="48" t="inlineStr">
        <is>
          <t>SECURITY</t>
        </is>
      </c>
      <c r="C34" s="43" t="inlineStr">
        <is>
          <t>P0</t>
        </is>
      </c>
      <c r="D34" s="44" t="inlineStr">
        <is>
          <t>RBAC</t>
        </is>
      </c>
      <c r="E34" s="44" t="inlineStr">
        <is>
          <t>GET export-templates không token → 401</t>
        </is>
      </c>
      <c r="F34" s="41" t="inlineStr">
        <is>
          <t>JwtAuthGuard</t>
        </is>
      </c>
      <c r="G34" s="41" t="inlineStr">
        <is>
          <t>AuthN</t>
        </is>
      </c>
      <c r="H34" s="41" t="inlineStr">
        <is>
          <t>Medium</t>
        </is>
      </c>
      <c r="I34" s="44" t="inlineStr">
        <is>
          <t>Không token</t>
        </is>
      </c>
      <c r="J34" s="44" t="inlineStr">
        <is>
          <t>1. GET /cases/export-templates</t>
        </is>
      </c>
      <c r="K34" s="44" t="inlineStr"/>
      <c r="L34" s="44" t="inlineStr"/>
      <c r="M34" s="44" t="inlineStr">
        <is>
          <t>401</t>
        </is>
      </c>
      <c r="N34" s="44" t="inlineStr"/>
      <c r="O34" s="44" t="inlineStr"/>
      <c r="P34" s="41" t="inlineStr">
        <is>
          <t>High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8" t="inlineStr">
        <is>
          <t>SECURITY</t>
        </is>
      </c>
      <c r="C35" s="43" t="inlineStr">
        <is>
          <t>P0</t>
        </is>
      </c>
      <c r="D35" s="44" t="inlineStr">
        <is>
          <t>Export-VuAn</t>
        </is>
      </c>
      <c r="E35" s="44" t="inlineStr">
        <is>
          <t>Template injection qua manualValues → escape, không thực thi</t>
        </is>
      </c>
      <c r="F35" s="41" t="inlineStr">
        <is>
          <t>esc() placeholder</t>
        </is>
      </c>
      <c r="G35" s="41" t="inlineStr">
        <is>
          <t>Injection</t>
        </is>
      </c>
      <c r="H35" s="41" t="inlineStr">
        <is>
          <t>High</t>
        </is>
      </c>
      <c r="I35" s="44" t="inlineStr">
        <is>
          <t>Mẫu có biến manual</t>
        </is>
      </c>
      <c r="J35" s="44" t="inlineStr">
        <is>
          <t>1. manualValues.hoTenBiCan = '{soVuAn}{#loop}{/loop}'
2. Export</t>
        </is>
      </c>
      <c r="K35" s="44" t="inlineStr">
        <is>
          <t>payload tag docx</t>
        </is>
      </c>
      <c r="L35" s="44" t="inlineStr">
        <is>
          <t>case.toA.active.D0, template.vuan.manualvar.D0</t>
        </is>
      </c>
      <c r="M35" s="44" t="inlineStr">
        <is>
          <t>File render literal chuỗi (❴soVuAn❵...), KHÔNG thực thi tag docxtemplater, không crash</t>
        </is>
      </c>
      <c r="N35" s="44" t="inlineStr"/>
      <c r="O35" s="44" t="inlineStr"/>
      <c r="P35" s="41" t="inlineStr">
        <is>
          <t>High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>
        <is>
          <t>A03 — esc { } &lt; &gt;</t>
        </is>
      </c>
    </row>
    <row r="36" ht="80" customHeight="1">
      <c r="A36" s="41" t="inlineStr">
        <is>
          <t>TC-033</t>
        </is>
      </c>
      <c r="B36" s="48" t="inlineStr">
        <is>
          <t>SECURITY</t>
        </is>
      </c>
      <c r="C36" s="43" t="inlineStr">
        <is>
          <t>P0</t>
        </is>
      </c>
      <c r="D36" s="44" t="inlineStr">
        <is>
          <t>Export-VuAn</t>
        </is>
      </c>
      <c r="E36" s="44" t="inlineStr">
        <is>
          <t>SQL injection qua entityId path → an toàn</t>
        </is>
      </c>
      <c r="F36" s="41" t="inlineStr">
        <is>
          <t>param bind $1</t>
        </is>
      </c>
      <c r="G36" s="41" t="inlineStr">
        <is>
          <t>Injection</t>
        </is>
      </c>
      <c r="H36" s="41" t="inlineStr">
        <is>
          <t>Medium</t>
        </is>
      </c>
      <c r="I36" s="44" t="inlineStr">
        <is>
          <t>OFF1</t>
        </is>
      </c>
      <c r="J36" s="44" t="inlineStr">
        <is>
          <t>1. POST /cases/1'%20OR%20'1'='1/export-documents</t>
        </is>
      </c>
      <c r="K36" s="44" t="inlineStr"/>
      <c r="L36" s="44" t="inlineStr"/>
      <c r="M36" s="44" t="inlineStr">
        <is>
          <t>404/400 (id không khớp), không lỗi SQL, row-lock $1 bind</t>
        </is>
      </c>
      <c r="N36" s="44" t="inlineStr"/>
      <c r="O36" s="44" t="inlineStr"/>
      <c r="P36" s="41" t="inlineStr">
        <is>
          <t>High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>
        <is>
          <t>A03</t>
        </is>
      </c>
    </row>
    <row r="37" ht="80" customHeight="1">
      <c r="A37" s="41" t="inlineStr">
        <is>
          <t>TC-034</t>
        </is>
      </c>
      <c r="B37" s="48" t="inlineStr">
        <is>
          <t>SECURITY</t>
        </is>
      </c>
      <c r="C37" s="43" t="inlineStr">
        <is>
          <t>P0</t>
        </is>
      </c>
      <c r="D37" s="44" t="inlineStr">
        <is>
          <t>Admin-Templates</t>
        </is>
      </c>
      <c r="E37" s="44" t="inlineStr">
        <is>
          <t>XSS qua tên mẫu hiển thị list admin → React escape</t>
        </is>
      </c>
      <c r="F37" s="41" t="inlineStr">
        <is>
          <t>output encoding</t>
        </is>
      </c>
      <c r="G37" s="41" t="inlineStr">
        <is>
          <t>XSS</t>
        </is>
      </c>
      <c r="H37" s="41" t="inlineStr">
        <is>
          <t>Medium</t>
        </is>
      </c>
      <c r="I37" s="44" t="inlineStr">
        <is>
          <t>ADMIN tạo mẫu name có &lt;script&gt;</t>
        </is>
      </c>
      <c r="J37" s="44" t="inlineStr">
        <is>
          <t>1. Tạo mẫu name='&lt;script&gt;alert(1)&lt;/script&gt;'
2. Xem danh sách</t>
        </is>
      </c>
      <c r="K37" s="44" t="inlineStr">
        <is>
          <t>name=&lt;script&gt;</t>
        </is>
      </c>
      <c r="L37" s="44" t="inlineStr"/>
      <c r="M37" s="44" t="inlineStr">
        <is>
          <t>Hiển thị literal text, script KHÔNG chạy</t>
        </is>
      </c>
      <c r="N37" s="44" t="inlineStr"/>
      <c r="O37" s="44" t="inlineStr"/>
      <c r="P37" s="41" t="inlineStr">
        <is>
          <t>High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>
        <is>
          <t>A03</t>
        </is>
      </c>
    </row>
    <row r="38" ht="80" customHeight="1">
      <c r="A38" s="41" t="inlineStr">
        <is>
          <t>TC-035</t>
        </is>
      </c>
      <c r="B38" s="48" t="inlineStr">
        <is>
          <t>SECURITY</t>
        </is>
      </c>
      <c r="C38" s="43" t="inlineStr">
        <is>
          <t>P0</t>
        </is>
      </c>
      <c r="D38" s="44" t="inlineStr">
        <is>
          <t>Export-VuAn</t>
        </is>
      </c>
      <c r="E38" s="44" t="inlineStr">
        <is>
          <t>Mass assignment: gửi field lạ trong export body → whitelist loại bỏ</t>
        </is>
      </c>
      <c r="F38" s="41" t="inlineStr">
        <is>
          <t>ValidationPipe whitelist</t>
        </is>
      </c>
      <c r="G38" s="41" t="inlineStr">
        <is>
          <t>Mass assignment</t>
        </is>
      </c>
      <c r="H38" s="41" t="inlineStr">
        <is>
          <t>Low</t>
        </is>
      </c>
      <c r="I38" s="44" t="inlineStr">
        <is>
          <t>OFF1</t>
        </is>
      </c>
      <c r="J38" s="44" t="inlineStr">
        <is>
          <t>1. POST export {templateIds:[t1],mode:'merged',createdById:'hack',status:'x'}</t>
        </is>
      </c>
      <c r="K38" s="44" t="inlineStr"/>
      <c r="L38" s="44" t="inlineStr">
        <is>
          <t>case.toA.active.D0, template.vuan.active.D0</t>
        </is>
      </c>
      <c r="M38" s="44" t="inlineStr">
        <is>
          <t>Field thừa bị loại (whitelist), không ảnh hưởng; 200/400 theo whitelist config</t>
        </is>
      </c>
      <c r="N38" s="44" t="inlineStr"/>
      <c r="O38" s="44" t="inlineStr"/>
      <c r="P38" s="41" t="inlineStr">
        <is>
          <t>Medium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>
        <is>
          <t>A08</t>
        </is>
      </c>
    </row>
    <row r="39" ht="80" customHeight="1">
      <c r="A39" s="41" t="inlineStr">
        <is>
          <t>TC-036</t>
        </is>
      </c>
      <c r="B39" s="48" t="inlineStr">
        <is>
          <t>SECURITY</t>
        </is>
      </c>
      <c r="C39" s="43" t="inlineStr">
        <is>
          <t>P0</t>
        </is>
      </c>
      <c r="D39" s="44" t="inlineStr">
        <is>
          <t>Export-VuAn</t>
        </is>
      </c>
      <c r="E39" s="44" t="inlineStr">
        <is>
          <t>manualValues non-string (object) → coerce an toàn</t>
        </is>
      </c>
      <c r="F39" s="41" t="inlineStr">
        <is>
          <t>esc(s(v))</t>
        </is>
      </c>
      <c r="G39" s="41" t="inlineStr">
        <is>
          <t>Type confusion</t>
        </is>
      </c>
      <c r="H39" s="41" t="inlineStr">
        <is>
          <t>Low</t>
        </is>
      </c>
      <c r="I39" s="44" t="inlineStr">
        <is>
          <t>OFF1</t>
        </is>
      </c>
      <c r="J39" s="44" t="inlineStr">
        <is>
          <t>1. POST export manualValues={hoTenBiCan:{a:1}}</t>
        </is>
      </c>
      <c r="K39" s="44" t="inlineStr"/>
      <c r="L39" s="44" t="inlineStr">
        <is>
          <t>case.toA.active.D0, template.vuan.manualvar.D0</t>
        </is>
      </c>
      <c r="M39" s="44" t="inlineStr">
        <is>
          <t>Không crash; render '[object Object]' đã escape, không injection</t>
        </is>
      </c>
      <c r="N39" s="44" t="inlineStr"/>
      <c r="O39" s="44" t="inlineStr"/>
      <c r="P39" s="41" t="inlineStr">
        <is>
          <t>Low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8" t="inlineStr">
        <is>
          <t>SECURITY</t>
        </is>
      </c>
      <c r="C40" s="43" t="inlineStr">
        <is>
          <t>P0</t>
        </is>
      </c>
      <c r="D40" s="44" t="inlineStr">
        <is>
          <t>RBAC</t>
        </is>
      </c>
      <c r="E40" s="44" t="inlineStr">
        <is>
          <t>GET /document-templates (list admin) bởi officer → 403</t>
        </is>
      </c>
      <c r="F40" s="41" t="inlineStr">
        <is>
          <t>read Setting</t>
        </is>
      </c>
      <c r="G40" s="41" t="inlineStr">
        <is>
          <t>AuthZ</t>
        </is>
      </c>
      <c r="H40" s="41" t="inlineStr">
        <is>
          <t>Medium</t>
        </is>
      </c>
      <c r="I40" s="44" t="inlineStr">
        <is>
          <t>OFF1</t>
        </is>
      </c>
      <c r="J40" s="44" t="inlineStr">
        <is>
          <t>1. OFF1 GET /document-templates</t>
        </is>
      </c>
      <c r="K40" s="44" t="inlineStr"/>
      <c r="L40" s="44" t="inlineStr"/>
      <c r="M40" s="44" t="inlineStr">
        <is>
          <t>403 (officer dùng /cases|incidents/export-templates, không /document-templates)</t>
        </is>
      </c>
      <c r="N40" s="44" t="inlineStr"/>
      <c r="O40" s="44" t="inlineStr"/>
      <c r="P40" s="41" t="inlineStr">
        <is>
          <t>High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>
        <is>
          <t>Phân tách quyền</t>
        </is>
      </c>
    </row>
    <row r="41" ht="80" customHeight="1">
      <c r="A41" s="41" t="inlineStr">
        <is>
          <t>TC-038</t>
        </is>
      </c>
      <c r="B41" s="48" t="inlineStr">
        <is>
          <t>SECURITY</t>
        </is>
      </c>
      <c r="C41" s="43" t="inlineStr">
        <is>
          <t>P0</t>
        </is>
      </c>
      <c r="D41" s="44" t="inlineStr">
        <is>
          <t>RBAC</t>
        </is>
      </c>
      <c r="E41" s="44" t="inlineStr">
        <is>
          <t>officer1 sửa mẫu (PATCH) → 403</t>
        </is>
      </c>
      <c r="F41" s="41" t="inlineStr">
        <is>
          <t>write Setting patch</t>
        </is>
      </c>
      <c r="G41" s="41" t="inlineStr">
        <is>
          <t>AuthZ</t>
        </is>
      </c>
      <c r="H41" s="41" t="inlineStr">
        <is>
          <t>Medium</t>
        </is>
      </c>
      <c r="I41" s="44" t="inlineStr">
        <is>
          <t>OFF1</t>
        </is>
      </c>
      <c r="J41" s="44" t="inlineStr">
        <is>
          <t>1. OFF1 PATCH /document-templates/{id} {sortOrder:9}</t>
        </is>
      </c>
      <c r="K41" s="44" t="inlineStr"/>
      <c r="L41" s="44" t="inlineStr">
        <is>
          <t>template.vuan.active.D0</t>
        </is>
      </c>
      <c r="M41" s="44" t="inlineStr">
        <is>
          <t>403</t>
        </is>
      </c>
      <c r="N41" s="44" t="inlineStr"/>
      <c r="O41" s="44" t="inlineStr"/>
      <c r="P41" s="41" t="inlineStr">
        <is>
          <t>High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7" t="inlineStr">
        <is>
          <t>RED</t>
        </is>
      </c>
      <c r="C42" s="45" t="inlineStr">
        <is>
          <t>P1</t>
        </is>
      </c>
      <c r="D42" s="44" t="inlineStr">
        <is>
          <t>Admin-Templates</t>
        </is>
      </c>
      <c r="E42" s="44" t="inlineStr">
        <is>
          <t>Tạo mẫu thiếu code → 400</t>
        </is>
      </c>
      <c r="F42" s="41" t="inlineStr">
        <is>
          <t>@IsString code</t>
        </is>
      </c>
      <c r="G42" s="41" t="inlineStr">
        <is>
          <t>Negative</t>
        </is>
      </c>
      <c r="H42" s="41" t="inlineStr">
        <is>
          <t>Medium</t>
        </is>
      </c>
      <c r="I42" s="44" t="inlineStr">
        <is>
          <t>ADMIN</t>
        </is>
      </c>
      <c r="J42" s="44" t="inlineStr">
        <is>
          <t>1. POST không có code</t>
        </is>
      </c>
      <c r="K42" s="44" t="inlineStr">
        <is>
          <t>code=''</t>
        </is>
      </c>
      <c r="L42" s="44" t="inlineStr"/>
      <c r="M42" s="44" t="inlineStr">
        <is>
          <t>400 validation</t>
        </is>
      </c>
      <c r="N42" s="44" t="inlineStr"/>
      <c r="O42" s="44" t="inlineStr"/>
      <c r="P42" s="41" t="inlineStr">
        <is>
          <t>High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7" t="inlineStr">
        <is>
          <t>RED</t>
        </is>
      </c>
      <c r="C43" s="45" t="inlineStr">
        <is>
          <t>P1</t>
        </is>
      </c>
      <c r="D43" s="44" t="inlineStr">
        <is>
          <t>Admin-Templates</t>
        </is>
      </c>
      <c r="E43" s="44" t="inlineStr">
        <is>
          <t>Tạo mẫu thiếu file → 400</t>
        </is>
      </c>
      <c r="F43" s="41" t="inlineStr">
        <is>
          <t>UploadedFile required</t>
        </is>
      </c>
      <c r="G43" s="41" t="inlineStr">
        <is>
          <t>Negative</t>
        </is>
      </c>
      <c r="H43" s="41" t="inlineStr">
        <is>
          <t>Medium</t>
        </is>
      </c>
      <c r="I43" s="44" t="inlineStr">
        <is>
          <t>ADMIN</t>
        </is>
      </c>
      <c r="J43" s="44" t="inlineStr">
        <is>
          <t>1. POST không kèm file</t>
        </is>
      </c>
      <c r="K43" s="44" t="inlineStr"/>
      <c r="L43" s="44" t="inlineStr"/>
      <c r="M43" s="44" t="inlineStr">
        <is>
          <t>400 'Thiếu file .docx'</t>
        </is>
      </c>
      <c r="N43" s="44" t="inlineStr"/>
      <c r="O43" s="44" t="inlineStr"/>
      <c r="P43" s="41" t="inlineStr">
        <is>
          <t>High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7" t="inlineStr">
        <is>
          <t>RED</t>
        </is>
      </c>
      <c r="C44" s="45" t="inlineStr">
        <is>
          <t>P1</t>
        </is>
      </c>
      <c r="D44" s="44" t="inlineStr">
        <is>
          <t>Admin-Templates</t>
        </is>
      </c>
      <c r="E44" s="44" t="inlineStr">
        <is>
          <t>Tạo mẫu entityType không hợp lệ → 400</t>
        </is>
      </c>
      <c r="F44" s="41" t="inlineStr">
        <is>
          <t>@IsIn ENTITY_TYPES</t>
        </is>
      </c>
      <c r="G44" s="41" t="inlineStr">
        <is>
          <t>Negative</t>
        </is>
      </c>
      <c r="H44" s="41" t="inlineStr">
        <is>
          <t>Medium</t>
        </is>
      </c>
      <c r="I44" s="44" t="inlineStr">
        <is>
          <t>ADMIN</t>
        </is>
      </c>
      <c r="J44" s="44" t="inlineStr">
        <is>
          <t>1. POST entityType='XYZ'</t>
        </is>
      </c>
      <c r="K44" s="44" t="inlineStr">
        <is>
          <t>entityType=XYZ</t>
        </is>
      </c>
      <c r="L44" s="44" t="inlineStr"/>
      <c r="M44" s="44" t="inlineStr">
        <is>
          <t>400 IsIn</t>
        </is>
      </c>
      <c r="N44" s="44" t="inlineStr"/>
      <c r="O44" s="44" t="inlineStr"/>
      <c r="P44" s="41" t="inlineStr">
        <is>
          <t>High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7" t="inlineStr">
        <is>
          <t>RED</t>
        </is>
      </c>
      <c r="C45" s="46" t="inlineStr">
        <is>
          <t>P2</t>
        </is>
      </c>
      <c r="D45" s="44" t="inlineStr">
        <is>
          <t>Admin-Templates</t>
        </is>
      </c>
      <c r="E45" s="44" t="inlineStr">
        <is>
          <t>Tạo mẫu category không hợp lệ → 400</t>
        </is>
      </c>
      <c r="F45" s="41" t="inlineStr">
        <is>
          <t>@IsIn TEMPLATE_CATEGORIES</t>
        </is>
      </c>
      <c r="G45" s="41" t="inlineStr">
        <is>
          <t>Negative</t>
        </is>
      </c>
      <c r="H45" s="41" t="inlineStr">
        <is>
          <t>Low</t>
        </is>
      </c>
      <c r="I45" s="44" t="inlineStr">
        <is>
          <t>ADMIN</t>
        </is>
      </c>
      <c r="J45" s="44" t="inlineStr">
        <is>
          <t>1. POST category='Linh tinh'</t>
        </is>
      </c>
      <c r="K45" s="44" t="inlineStr">
        <is>
          <t>category=Linh tinh</t>
        </is>
      </c>
      <c r="L45" s="44" t="inlineStr"/>
      <c r="M45" s="44" t="inlineStr">
        <is>
          <t>400 IsIn</t>
        </is>
      </c>
      <c r="N45" s="44" t="inlineStr"/>
      <c r="O45" s="44" t="inlineStr"/>
      <c r="P45" s="41" t="inlineStr">
        <is>
          <t>Medium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7" t="inlineStr">
        <is>
          <t>RED</t>
        </is>
      </c>
      <c r="C46" s="46" t="inlineStr">
        <is>
          <t>P2</t>
        </is>
      </c>
      <c r="D46" s="44" t="inlineStr">
        <is>
          <t>Admin-Templates</t>
        </is>
      </c>
      <c r="E46" s="44" t="inlineStr">
        <is>
          <t>PATCH mẫu không tồn tại → 404</t>
        </is>
      </c>
      <c r="F46" s="41" t="inlineStr">
        <is>
          <t>getById NotFound</t>
        </is>
      </c>
      <c r="G46" s="41" t="inlineStr">
        <is>
          <t>Negative</t>
        </is>
      </c>
      <c r="H46" s="41" t="inlineStr">
        <is>
          <t>Low</t>
        </is>
      </c>
      <c r="I46" s="44" t="inlineStr">
        <is>
          <t>ADMIN</t>
        </is>
      </c>
      <c r="J46" s="44" t="inlineStr">
        <is>
          <t>1. PATCH /document-templates/non-existent</t>
        </is>
      </c>
      <c r="K46" s="44" t="inlineStr"/>
      <c r="L46" s="44" t="inlineStr"/>
      <c r="M46" s="44" t="inlineStr">
        <is>
          <t>404</t>
        </is>
      </c>
      <c r="N46" s="44" t="inlineStr"/>
      <c r="O46" s="44" t="inlineStr"/>
      <c r="P46" s="41" t="inlineStr">
        <is>
          <t>Medium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7" t="inlineStr">
        <is>
          <t>RED</t>
        </is>
      </c>
      <c r="C47" s="46" t="inlineStr">
        <is>
          <t>P2</t>
        </is>
      </c>
      <c r="D47" s="44" t="inlineStr">
        <is>
          <t>Admin-Templates</t>
        </is>
      </c>
      <c r="E47" s="44" t="inlineStr">
        <is>
          <t>DELETE mẫu không tồn tại → 404</t>
        </is>
      </c>
      <c r="F47" s="41" t="inlineStr">
        <is>
          <t>getById NotFound</t>
        </is>
      </c>
      <c r="G47" s="41" t="inlineStr">
        <is>
          <t>Negative</t>
        </is>
      </c>
      <c r="H47" s="41" t="inlineStr">
        <is>
          <t>Low</t>
        </is>
      </c>
      <c r="I47" s="44" t="inlineStr">
        <is>
          <t>ADMIN</t>
        </is>
      </c>
      <c r="J47" s="44" t="inlineStr">
        <is>
          <t>1. DELETE /document-templates/non-existent</t>
        </is>
      </c>
      <c r="K47" s="44" t="inlineStr"/>
      <c r="L47" s="44" t="inlineStr"/>
      <c r="M47" s="44" t="inlineStr">
        <is>
          <t>404</t>
        </is>
      </c>
      <c r="N47" s="44" t="inlineStr"/>
      <c r="O47" s="44" t="inlineStr"/>
      <c r="P47" s="41" t="inlineStr">
        <is>
          <t>Medium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7" t="inlineStr">
        <is>
          <t>RED</t>
        </is>
      </c>
      <c r="C48" s="46" t="inlineStr">
        <is>
          <t>P2</t>
        </is>
      </c>
      <c r="D48" s="44" t="inlineStr">
        <is>
          <t>Export-VuAn</t>
        </is>
      </c>
      <c r="E48" s="44" t="inlineStr">
        <is>
          <t>Export mode không hợp lệ → 400</t>
        </is>
      </c>
      <c r="F48" s="41" t="inlineStr">
        <is>
          <t>@IsIn merged/zip</t>
        </is>
      </c>
      <c r="G48" s="41" t="inlineStr">
        <is>
          <t>Negative</t>
        </is>
      </c>
      <c r="H48" s="41" t="inlineStr">
        <is>
          <t>Low</t>
        </is>
      </c>
      <c r="I48" s="44" t="inlineStr">
        <is>
          <t>OFF1</t>
        </is>
      </c>
      <c r="J48" s="44" t="inlineStr">
        <is>
          <t>1. POST export {mode:'pdf'}</t>
        </is>
      </c>
      <c r="K48" s="44" t="inlineStr">
        <is>
          <t>mode=pdf</t>
        </is>
      </c>
      <c r="L48" s="44" t="inlineStr">
        <is>
          <t>case.toA.active.D0, template.vuan.active.D0</t>
        </is>
      </c>
      <c r="M48" s="44" t="inlineStr">
        <is>
          <t>400 IsIn (mode chỉ merged/zip)</t>
        </is>
      </c>
      <c r="N48" s="44" t="inlineStr"/>
      <c r="O48" s="44" t="inlineStr"/>
      <c r="P48" s="41" t="inlineStr">
        <is>
          <t>Medium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47" t="inlineStr">
        <is>
          <t>RED</t>
        </is>
      </c>
      <c r="C49" s="46" t="inlineStr">
        <is>
          <t>P2</t>
        </is>
      </c>
      <c r="D49" s="44" t="inlineStr">
        <is>
          <t>Export-VuAn</t>
        </is>
      </c>
      <c r="E49" s="44" t="inlineStr">
        <is>
          <t>Export case không tồn tại → 404</t>
        </is>
      </c>
      <c r="F49" s="41" t="inlineStr">
        <is>
          <t>getById</t>
        </is>
      </c>
      <c r="G49" s="41" t="inlineStr">
        <is>
          <t>Negative</t>
        </is>
      </c>
      <c r="H49" s="41" t="inlineStr">
        <is>
          <t>Low</t>
        </is>
      </c>
      <c r="I49" s="44" t="inlineStr">
        <is>
          <t>OFF1</t>
        </is>
      </c>
      <c r="J49" s="44" t="inlineStr">
        <is>
          <t>1. POST /cases/non-existent/export-documents</t>
        </is>
      </c>
      <c r="K49" s="44" t="inlineStr"/>
      <c r="L49" s="44" t="inlineStr">
        <is>
          <t>template.vuan.active.D0</t>
        </is>
      </c>
      <c r="M49" s="44" t="inlineStr">
        <is>
          <t>404 (record không tìm thấy)</t>
        </is>
      </c>
      <c r="N49" s="44" t="inlineStr"/>
      <c r="O49" s="44" t="inlineStr"/>
      <c r="P49" s="41" t="inlineStr">
        <is>
          <t>Medium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47" t="inlineStr">
        <is>
          <t>RED</t>
        </is>
      </c>
      <c r="C50" s="43" t="inlineStr">
        <is>
          <t>P0</t>
        </is>
      </c>
      <c r="D50" s="44" t="inlineStr">
        <is>
          <t>Export-VuAn</t>
        </is>
      </c>
      <c r="E50" s="44" t="inlineStr">
        <is>
          <t>Export mẫu đã soft-delete → 400 không tồn tại</t>
        </is>
      </c>
      <c r="F50" s="41" t="inlineStr">
        <is>
          <t>status active + deletedAt null</t>
        </is>
      </c>
      <c r="G50" s="41" t="inlineStr">
        <is>
          <t>Negative</t>
        </is>
      </c>
      <c r="H50" s="41" t="inlineStr">
        <is>
          <t>Medium</t>
        </is>
      </c>
      <c r="I50" s="44" t="inlineStr">
        <is>
          <t>Mẫu đã DELETE</t>
        </is>
      </c>
      <c r="J50" s="44" t="inlineStr">
        <is>
          <t>1. POST export {templateIds:[tpl_deleted_id]}</t>
        </is>
      </c>
      <c r="K50" s="44" t="inlineStr"/>
      <c r="L50" s="44" t="inlineStr">
        <is>
          <t>case.toA.active.D0, template.vuan.deleted.D0</t>
        </is>
      </c>
      <c r="M50" s="44" t="inlineStr">
        <is>
          <t>400 'không tồn tại hoặc đã bị xoá'</t>
        </is>
      </c>
      <c r="N50" s="44" t="inlineStr"/>
      <c r="O50" s="44" t="inlineStr"/>
      <c r="P50" s="41" t="inlineStr">
        <is>
          <t>High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7" t="inlineStr">
        <is>
          <t>RED</t>
        </is>
      </c>
      <c r="C51" s="45" t="inlineStr">
        <is>
          <t>P1</t>
        </is>
      </c>
      <c r="D51" s="44" t="inlineStr">
        <is>
          <t>Export-VuAn</t>
        </is>
      </c>
      <c r="E51" s="44" t="inlineStr">
        <is>
          <t>List export-templates không trả mẫu đã soft-delete</t>
        </is>
      </c>
      <c r="F51" s="41" t="inlineStr">
        <is>
          <t>deletedAt null filter</t>
        </is>
      </c>
      <c r="G51" s="41" t="inlineStr">
        <is>
          <t>Negative</t>
        </is>
      </c>
      <c r="H51" s="41" t="inlineStr">
        <is>
          <t>Medium</t>
        </is>
      </c>
      <c r="I51" s="44" t="inlineStr">
        <is>
          <t>Có mẫu đã xoá</t>
        </is>
      </c>
      <c r="J51" s="44" t="inlineStr">
        <is>
          <t>1. GET /cases/export-templates</t>
        </is>
      </c>
      <c r="K51" s="44" t="inlineStr"/>
      <c r="L51" s="44" t="inlineStr">
        <is>
          <t>template.vuan.deleted.D0</t>
        </is>
      </c>
      <c r="M51" s="44" t="inlineStr">
        <is>
          <t>Mảng KHÔNG chứa mẫu deletedAt set</t>
        </is>
      </c>
      <c r="N51" s="44" t="inlineStr"/>
      <c r="O51" s="44" t="inlineStr"/>
      <c r="P51" s="41" t="inlineStr">
        <is>
          <t>High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7" t="inlineStr">
        <is>
          <t>RED</t>
        </is>
      </c>
      <c r="C52" s="46" t="inlineStr">
        <is>
          <t>P2</t>
        </is>
      </c>
      <c r="D52" s="44" t="inlineStr">
        <is>
          <t>Export-VuAn</t>
        </is>
      </c>
      <c r="E52" s="44" t="inlineStr">
        <is>
          <t>List export-templates không trả fileBytes (payload nặng)</t>
        </is>
      </c>
      <c r="F52" s="41" t="inlineStr">
        <is>
          <t>select omit fileBytes</t>
        </is>
      </c>
      <c r="G52" s="41" t="inlineStr">
        <is>
          <t>Negative</t>
        </is>
      </c>
      <c r="H52" s="41" t="inlineStr">
        <is>
          <t>Low</t>
        </is>
      </c>
      <c r="I52" s="44" t="inlineStr">
        <is>
          <t>Có mẫu</t>
        </is>
      </c>
      <c r="J52" s="44" t="inlineStr">
        <is>
          <t>1. GET /cases/export-templates
2. Kiểm tra JSON</t>
        </is>
      </c>
      <c r="K52" s="44" t="inlineStr"/>
      <c r="L52" s="44" t="inlineStr">
        <is>
          <t>template.vuan.active.D0</t>
        </is>
      </c>
      <c r="M52" s="44" t="inlineStr">
        <is>
          <t>Không có field fileBytes trong response</t>
        </is>
      </c>
      <c r="N52" s="44" t="inlineStr"/>
      <c r="O52" s="44" t="inlineStr"/>
      <c r="P52" s="41" t="inlineStr">
        <is>
          <t>Medium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>
        <is>
          <t>Tránh tải ≤5MB/mẫu</t>
        </is>
      </c>
    </row>
    <row r="53" ht="80" customHeight="1">
      <c r="A53" s="41" t="inlineStr">
        <is>
          <t>TC-050</t>
        </is>
      </c>
      <c r="B53" s="47" t="inlineStr">
        <is>
          <t>RED</t>
        </is>
      </c>
      <c r="C53" s="46" t="inlineStr">
        <is>
          <t>P2</t>
        </is>
      </c>
      <c r="D53" s="44" t="inlineStr">
        <is>
          <t>RBAC</t>
        </is>
      </c>
      <c r="E53" s="44" t="inlineStr">
        <is>
          <t>Officer1 GET export-templates Vụ án khi không có quyền read Case → 403</t>
        </is>
      </c>
      <c r="F53" s="41" t="inlineStr">
        <is>
          <t>read Case</t>
        </is>
      </c>
      <c r="G53" s="41" t="inlineStr">
        <is>
          <t>AuthZ</t>
        </is>
      </c>
      <c r="H53" s="41" t="inlineStr">
        <is>
          <t>Low</t>
        </is>
      </c>
      <c r="I53" s="44" t="inlineStr">
        <is>
          <t>User role bị revoke read Case</t>
        </is>
      </c>
      <c r="J53" s="44" t="inlineStr">
        <is>
          <t>1. GET /cases/export-templates</t>
        </is>
      </c>
      <c r="K53" s="44" t="inlineStr"/>
      <c r="L53" s="44" t="inlineStr"/>
      <c r="M53" s="44" t="inlineStr">
        <is>
          <t>403</t>
        </is>
      </c>
      <c r="N53" s="44" t="inlineStr"/>
      <c r="O53" s="44" t="inlineStr"/>
      <c r="P53" s="41" t="inlineStr">
        <is>
          <t>Medium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>
        <is>
          <t>Edge phân quyền</t>
        </is>
      </c>
    </row>
    <row r="54" ht="80" customHeight="1">
      <c r="A54" s="41" t="inlineStr">
        <is>
          <t>TC-051</t>
        </is>
      </c>
      <c r="B54" s="49" t="inlineStr">
        <is>
          <t>BOUNDARY</t>
        </is>
      </c>
      <c r="C54" s="45" t="inlineStr">
        <is>
          <t>P1</t>
        </is>
      </c>
      <c r="D54" s="44" t="inlineStr">
        <is>
          <t>Admin-Templates</t>
        </is>
      </c>
      <c r="E54" s="44" t="inlineStr">
        <is>
          <t>Upload file đúng 5MB → chấp nhận</t>
        </is>
      </c>
      <c r="F54" s="41" t="inlineStr">
        <is>
          <t>fileSize 5MB max</t>
        </is>
      </c>
      <c r="G54" s="41" t="inlineStr">
        <is>
          <t>BVA max</t>
        </is>
      </c>
      <c r="H54" s="41" t="inlineStr">
        <is>
          <t>Medium</t>
        </is>
      </c>
      <c r="I54" s="44" t="inlineStr">
        <is>
          <t>ADMIN</t>
        </is>
      </c>
      <c r="J54" s="44" t="inlineStr">
        <is>
          <t>1. Upload .docx kích thước 5242880 byte</t>
        </is>
      </c>
      <c r="K54" s="44" t="inlineStr">
        <is>
          <t>5MB</t>
        </is>
      </c>
      <c r="L54" s="44" t="inlineStr"/>
      <c r="M54" s="44" t="inlineStr">
        <is>
          <t>201 chấp nhận</t>
        </is>
      </c>
      <c r="N54" s="44" t="inlineStr"/>
      <c r="O54" s="44" t="inlineStr"/>
      <c r="P54" s="41" t="inlineStr">
        <is>
          <t>High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9" t="inlineStr">
        <is>
          <t>BOUNDARY</t>
        </is>
      </c>
      <c r="C55" s="45" t="inlineStr">
        <is>
          <t>P1</t>
        </is>
      </c>
      <c r="D55" s="44" t="inlineStr">
        <is>
          <t>Admin-Templates</t>
        </is>
      </c>
      <c r="E55" s="44" t="inlineStr">
        <is>
          <t>Upload file 5MB+1 byte → reject</t>
        </is>
      </c>
      <c r="F55" s="41" t="inlineStr">
        <is>
          <t>fileSize limit</t>
        </is>
      </c>
      <c r="G55" s="41" t="inlineStr">
        <is>
          <t>BVA max+1</t>
        </is>
      </c>
      <c r="H55" s="41" t="inlineStr">
        <is>
          <t>Medium</t>
        </is>
      </c>
      <c r="I55" s="44" t="inlineStr">
        <is>
          <t>ADMIN</t>
        </is>
      </c>
      <c r="J55" s="44" t="inlineStr">
        <is>
          <t>1. Upload .docx 5242881 byte</t>
        </is>
      </c>
      <c r="K55" s="44" t="inlineStr">
        <is>
          <t>5MB+1</t>
        </is>
      </c>
      <c r="L55" s="44" t="inlineStr"/>
      <c r="M55" s="44" t="inlineStr">
        <is>
          <t>413/400 quá giới hạn</t>
        </is>
      </c>
      <c r="N55" s="44" t="inlineStr"/>
      <c r="O55" s="44" t="inlineStr"/>
      <c r="P55" s="41" t="inlineStr">
        <is>
          <t>High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9" t="inlineStr">
        <is>
          <t>BOUNDARY</t>
        </is>
      </c>
      <c r="C56" s="46" t="inlineStr">
        <is>
          <t>P2</t>
        </is>
      </c>
      <c r="D56" s="44" t="inlineStr">
        <is>
          <t>Admin-Templates</t>
        </is>
      </c>
      <c r="E56" s="44" t="inlineStr">
        <is>
          <t>Upload file 0 byte → reject docx không hợp lệ</t>
        </is>
      </c>
      <c r="F56" s="41" t="inlineStr">
        <is>
          <t>assertValidDocx</t>
        </is>
      </c>
      <c r="G56" s="41" t="inlineStr">
        <is>
          <t>BVA min-1</t>
        </is>
      </c>
      <c r="H56" s="41" t="inlineStr">
        <is>
          <t>Low</t>
        </is>
      </c>
      <c r="I56" s="44" t="inlineStr">
        <is>
          <t>ADMIN</t>
        </is>
      </c>
      <c r="J56" s="44" t="inlineStr">
        <is>
          <t>1. Upload file rỗng .docx</t>
        </is>
      </c>
      <c r="K56" s="44" t="inlineStr">
        <is>
          <t>0 byte</t>
        </is>
      </c>
      <c r="L56" s="44" t="inlineStr"/>
      <c r="M56" s="44" t="inlineStr">
        <is>
          <t>400 không phải docx hợp lệ</t>
        </is>
      </c>
      <c r="N56" s="44" t="inlineStr"/>
      <c r="O56" s="44" t="inlineStr"/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49" t="inlineStr">
        <is>
          <t>BOUNDARY</t>
        </is>
      </c>
      <c r="C57" s="46" t="inlineStr">
        <is>
          <t>P2</t>
        </is>
      </c>
      <c r="D57" s="44" t="inlineStr">
        <is>
          <t>Admin-Templates</t>
        </is>
      </c>
      <c r="E57" s="44" t="inlineStr">
        <is>
          <t>code đúng 50 ký tự → chấp nhận</t>
        </is>
      </c>
      <c r="F57" s="41" t="inlineStr">
        <is>
          <t>MaxLength 50</t>
        </is>
      </c>
      <c r="G57" s="41" t="inlineStr">
        <is>
          <t>BVA max</t>
        </is>
      </c>
      <c r="H57" s="41" t="inlineStr">
        <is>
          <t>Low</t>
        </is>
      </c>
      <c r="I57" s="44" t="inlineStr">
        <is>
          <t>ADMIN</t>
        </is>
      </c>
      <c r="J57" s="44" t="inlineStr">
        <is>
          <t>1. code = 50 ký tự</t>
        </is>
      </c>
      <c r="K57" s="44" t="inlineStr">
        <is>
          <t>50 chars</t>
        </is>
      </c>
      <c r="L57" s="44" t="inlineStr"/>
      <c r="M57" s="44" t="inlineStr">
        <is>
          <t>201</t>
        </is>
      </c>
      <c r="N57" s="44" t="inlineStr"/>
      <c r="O57" s="44" t="inlineStr"/>
      <c r="P57" s="41" t="inlineStr">
        <is>
          <t>Medium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49" t="inlineStr">
        <is>
          <t>BOUNDARY</t>
        </is>
      </c>
      <c r="C58" s="46" t="inlineStr">
        <is>
          <t>P2</t>
        </is>
      </c>
      <c r="D58" s="44" t="inlineStr">
        <is>
          <t>Admin-Templates</t>
        </is>
      </c>
      <c r="E58" s="44" t="inlineStr">
        <is>
          <t>code 51 ký tự → 400</t>
        </is>
      </c>
      <c r="F58" s="41" t="inlineStr">
        <is>
          <t>MaxLength 50</t>
        </is>
      </c>
      <c r="G58" s="41" t="inlineStr">
        <is>
          <t>BVA max+1</t>
        </is>
      </c>
      <c r="H58" s="41" t="inlineStr">
        <is>
          <t>Low</t>
        </is>
      </c>
      <c r="I58" s="44" t="inlineStr">
        <is>
          <t>ADMIN</t>
        </is>
      </c>
      <c r="J58" s="44" t="inlineStr">
        <is>
          <t>1. code = 51 ký tự</t>
        </is>
      </c>
      <c r="K58" s="44" t="inlineStr">
        <is>
          <t>51 chars</t>
        </is>
      </c>
      <c r="L58" s="44" t="inlineStr"/>
      <c r="M58" s="44" t="inlineStr">
        <is>
          <t>400 MaxLength</t>
        </is>
      </c>
      <c r="N58" s="44" t="inlineStr"/>
      <c r="O58" s="44" t="inlineStr"/>
      <c r="P58" s="41" t="inlineStr">
        <is>
          <t>Medium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49" t="inlineStr">
        <is>
          <t>BOUNDARY</t>
        </is>
      </c>
      <c r="C59" s="50" t="inlineStr">
        <is>
          <t>P3</t>
        </is>
      </c>
      <c r="D59" s="44" t="inlineStr">
        <is>
          <t>Admin-Templates</t>
        </is>
      </c>
      <c r="E59" s="44" t="inlineStr">
        <is>
          <t>name 255 ký tự → chấp nhận</t>
        </is>
      </c>
      <c r="F59" s="41" t="inlineStr">
        <is>
          <t>MaxLength 255</t>
        </is>
      </c>
      <c r="G59" s="41" t="inlineStr">
        <is>
          <t>BVA max</t>
        </is>
      </c>
      <c r="H59" s="41" t="inlineStr">
        <is>
          <t>Low</t>
        </is>
      </c>
      <c r="I59" s="44" t="inlineStr">
        <is>
          <t>ADMIN</t>
        </is>
      </c>
      <c r="J59" s="44" t="inlineStr">
        <is>
          <t>1. name = 255 ký tự</t>
        </is>
      </c>
      <c r="K59" s="44" t="inlineStr">
        <is>
          <t>255 chars</t>
        </is>
      </c>
      <c r="L59" s="44" t="inlineStr"/>
      <c r="M59" s="44" t="inlineStr">
        <is>
          <t>201</t>
        </is>
      </c>
      <c r="N59" s="44" t="inlineStr"/>
      <c r="O59" s="44" t="inlineStr"/>
      <c r="P59" s="41" t="inlineStr">
        <is>
          <t>Low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9" t="inlineStr">
        <is>
          <t>BOUNDARY</t>
        </is>
      </c>
      <c r="C60" s="50" t="inlineStr">
        <is>
          <t>P3</t>
        </is>
      </c>
      <c r="D60" s="44" t="inlineStr">
        <is>
          <t>Admin-Templates</t>
        </is>
      </c>
      <c r="E60" s="44" t="inlineStr">
        <is>
          <t>name 256 ký tự → 400</t>
        </is>
      </c>
      <c r="F60" s="41" t="inlineStr">
        <is>
          <t>MaxLength 255</t>
        </is>
      </c>
      <c r="G60" s="41" t="inlineStr">
        <is>
          <t>BVA max+1</t>
        </is>
      </c>
      <c r="H60" s="41" t="inlineStr">
        <is>
          <t>Low</t>
        </is>
      </c>
      <c r="I60" s="44" t="inlineStr">
        <is>
          <t>ADMIN</t>
        </is>
      </c>
      <c r="J60" s="44" t="inlineStr">
        <is>
          <t>1. name = 256 ký tự</t>
        </is>
      </c>
      <c r="K60" s="44" t="inlineStr">
        <is>
          <t>256 chars</t>
        </is>
      </c>
      <c r="L60" s="44" t="inlineStr"/>
      <c r="M60" s="44" t="inlineStr">
        <is>
          <t>400</t>
        </is>
      </c>
      <c r="N60" s="44" t="inlineStr"/>
      <c r="O60" s="44" t="inlineStr"/>
      <c r="P60" s="41" t="inlineStr">
        <is>
          <t>Low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9" t="inlineStr">
        <is>
          <t>BOUNDARY</t>
        </is>
      </c>
      <c r="C61" s="50" t="inlineStr">
        <is>
          <t>P3</t>
        </is>
      </c>
      <c r="D61" s="44" t="inlineStr">
        <is>
          <t>Admin-Templates</t>
        </is>
      </c>
      <c r="E61" s="44" t="inlineStr">
        <is>
          <t>sortOrder = 0 → chấp nhận (Min 0)</t>
        </is>
      </c>
      <c r="F61" s="41" t="inlineStr">
        <is>
          <t>@Min(0)</t>
        </is>
      </c>
      <c r="G61" s="41" t="inlineStr">
        <is>
          <t>BVA min</t>
        </is>
      </c>
      <c r="H61" s="41" t="inlineStr">
        <is>
          <t>Low</t>
        </is>
      </c>
      <c r="I61" s="44" t="inlineStr">
        <is>
          <t>ADMIN</t>
        </is>
      </c>
      <c r="J61" s="44" t="inlineStr">
        <is>
          <t>1. sortOrder=0</t>
        </is>
      </c>
      <c r="K61" s="44" t="inlineStr">
        <is>
          <t>0</t>
        </is>
      </c>
      <c r="L61" s="44" t="inlineStr"/>
      <c r="M61" s="44" t="inlineStr">
        <is>
          <t>201</t>
        </is>
      </c>
      <c r="N61" s="44" t="inlineStr"/>
      <c r="O61" s="44" t="inlineStr"/>
      <c r="P61" s="41" t="inlineStr">
        <is>
          <t>Low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49" t="inlineStr">
        <is>
          <t>BOUNDARY</t>
        </is>
      </c>
      <c r="C62" s="50" t="inlineStr">
        <is>
          <t>P3</t>
        </is>
      </c>
      <c r="D62" s="44" t="inlineStr">
        <is>
          <t>Admin-Templates</t>
        </is>
      </c>
      <c r="E62" s="44" t="inlineStr">
        <is>
          <t>sortOrder = -1 → 400</t>
        </is>
      </c>
      <c r="F62" s="41" t="inlineStr">
        <is>
          <t>@Min(0)</t>
        </is>
      </c>
      <c r="G62" s="41" t="inlineStr">
        <is>
          <t>BVA min-1</t>
        </is>
      </c>
      <c r="H62" s="41" t="inlineStr">
        <is>
          <t>Low</t>
        </is>
      </c>
      <c r="I62" s="44" t="inlineStr">
        <is>
          <t>ADMIN</t>
        </is>
      </c>
      <c r="J62" s="44" t="inlineStr">
        <is>
          <t>1. sortOrder=-1</t>
        </is>
      </c>
      <c r="K62" s="44" t="inlineStr">
        <is>
          <t>-1</t>
        </is>
      </c>
      <c r="L62" s="44" t="inlineStr"/>
      <c r="M62" s="44" t="inlineStr">
        <is>
          <t>400 Min</t>
        </is>
      </c>
      <c r="N62" s="44" t="inlineStr"/>
      <c r="O62" s="44" t="inlineStr"/>
      <c r="P62" s="41" t="inlineStr">
        <is>
          <t>Low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49" t="inlineStr">
        <is>
          <t>BOUNDARY</t>
        </is>
      </c>
      <c r="C63" s="46" t="inlineStr">
        <is>
          <t>P2</t>
        </is>
      </c>
      <c r="D63" s="44" t="inlineStr">
        <is>
          <t>Export-VuAn</t>
        </is>
      </c>
      <c r="E63" s="44" t="inlineStr">
        <is>
          <t>Export đúng 1 mẫu (min) → thành công</t>
        </is>
      </c>
      <c r="F63" s="41" t="inlineStr">
        <is>
          <t>templateIds min</t>
        </is>
      </c>
      <c r="G63" s="41" t="inlineStr">
        <is>
          <t>BVA min</t>
        </is>
      </c>
      <c r="H63" s="41" t="inlineStr">
        <is>
          <t>Low</t>
        </is>
      </c>
      <c r="I63" s="44" t="inlineStr">
        <is>
          <t>OFF1</t>
        </is>
      </c>
      <c r="J63" s="44" t="inlineStr">
        <is>
          <t>1. Tick đúng 1 mẫu → Xuất</t>
        </is>
      </c>
      <c r="K63" s="44" t="inlineStr">
        <is>
          <t>1 mẫu</t>
        </is>
      </c>
      <c r="L63" s="44" t="inlineStr">
        <is>
          <t>case.toA.active.D0, template.vuan.active.D0</t>
        </is>
      </c>
      <c r="M63" s="44" t="inlineStr">
        <is>
          <t>200 file 1 mẫu</t>
        </is>
      </c>
      <c r="N63" s="44" t="inlineStr"/>
      <c r="O63" s="44" t="inlineStr"/>
      <c r="P63" s="41" t="inlineStr">
        <is>
          <t>Medium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/>
    </row>
    <row r="64" ht="80" customHeight="1">
      <c r="A64" s="41" t="inlineStr">
        <is>
          <t>TC-061</t>
        </is>
      </c>
      <c r="B64" s="49" t="inlineStr">
        <is>
          <t>BOUNDARY</t>
        </is>
      </c>
      <c r="C64" s="46" t="inlineStr">
        <is>
          <t>P2</t>
        </is>
      </c>
      <c r="D64" s="44" t="inlineStr">
        <is>
          <t>Export-VuAn</t>
        </is>
      </c>
      <c r="E64" s="44" t="inlineStr">
        <is>
          <t>Export nhiều mẫu (vd 10) gộp → 1 file ngắt trang đúng</t>
        </is>
      </c>
      <c r="F64" s="41" t="inlineStr">
        <is>
          <t>merge nhiều</t>
        </is>
      </c>
      <c r="G64" s="41" t="inlineStr">
        <is>
          <t>BVA max thực tế</t>
        </is>
      </c>
      <c r="H64" s="41" t="inlineStr">
        <is>
          <t>Low</t>
        </is>
      </c>
      <c r="I64" s="44" t="inlineStr">
        <is>
          <t>Có 10 mẫu VU_AN</t>
        </is>
      </c>
      <c r="J64" s="44" t="inlineStr">
        <is>
          <t>1. Tick 10 mẫu, mode merged → Xuất</t>
        </is>
      </c>
      <c r="K64" s="44" t="inlineStr">
        <is>
          <t>10 mẫu</t>
        </is>
      </c>
      <c r="L64" s="44" t="inlineStr">
        <is>
          <t>case.toA.active.D0</t>
        </is>
      </c>
      <c r="M64" s="44" t="inlineStr">
        <is>
          <t>200, 1 file .docx gồm 10 phần ngắt trang theo thứ tự sortOrder</t>
        </is>
      </c>
      <c r="N64" s="44" t="inlineStr"/>
      <c r="O64" s="44" t="inlineStr"/>
      <c r="P64" s="41" t="inlineStr">
        <is>
          <t>Medium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51" t="inlineStr">
        <is>
          <t>EP</t>
        </is>
      </c>
      <c r="C65" s="46" t="inlineStr">
        <is>
          <t>P2</t>
        </is>
      </c>
      <c r="D65" s="44" t="inlineStr">
        <is>
          <t>Admin-Templates</t>
        </is>
      </c>
      <c r="E65" s="44" t="inlineStr">
        <is>
          <t>EP entityType hợp lệ VU_AN</t>
        </is>
      </c>
      <c r="F65" s="41" t="inlineStr">
        <is>
          <t>entityType partition</t>
        </is>
      </c>
      <c r="G65" s="41" t="inlineStr">
        <is>
          <t>EP valid</t>
        </is>
      </c>
      <c r="H65" s="41" t="inlineStr">
        <is>
          <t>Low</t>
        </is>
      </c>
      <c r="I65" s="44" t="inlineStr">
        <is>
          <t>ADMIN</t>
        </is>
      </c>
      <c r="J65" s="44" t="inlineStr">
        <is>
          <t>1. Tạo mẫu VU_AN</t>
        </is>
      </c>
      <c r="K65" s="44" t="inlineStr">
        <is>
          <t>VU_AN</t>
        </is>
      </c>
      <c r="L65" s="44" t="inlineStr"/>
      <c r="M65" s="44" t="inlineStr">
        <is>
          <t>201</t>
        </is>
      </c>
      <c r="N65" s="44" t="inlineStr"/>
      <c r="O65" s="44" t="inlineStr"/>
      <c r="P65" s="41" t="inlineStr">
        <is>
          <t>Medium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51" t="inlineStr">
        <is>
          <t>EP</t>
        </is>
      </c>
      <c r="C66" s="46" t="inlineStr">
        <is>
          <t>P2</t>
        </is>
      </c>
      <c r="D66" s="44" t="inlineStr">
        <is>
          <t>Admin-Templates</t>
        </is>
      </c>
      <c r="E66" s="44" t="inlineStr">
        <is>
          <t>EP entityType hợp lệ VU_VIEC</t>
        </is>
      </c>
      <c r="F66" s="41" t="inlineStr">
        <is>
          <t>entityType partition</t>
        </is>
      </c>
      <c r="G66" s="41" t="inlineStr">
        <is>
          <t>EP valid</t>
        </is>
      </c>
      <c r="H66" s="41" t="inlineStr">
        <is>
          <t>Low</t>
        </is>
      </c>
      <c r="I66" s="44" t="inlineStr">
        <is>
          <t>ADMIN</t>
        </is>
      </c>
      <c r="J66" s="44" t="inlineStr">
        <is>
          <t>1. Tạo mẫu VU_VIEC</t>
        </is>
      </c>
      <c r="K66" s="44" t="inlineStr">
        <is>
          <t>VU_VIEC</t>
        </is>
      </c>
      <c r="L66" s="44" t="inlineStr"/>
      <c r="M66" s="44" t="inlineStr">
        <is>
          <t>201</t>
        </is>
      </c>
      <c r="N66" s="44" t="inlineStr"/>
      <c r="O66" s="44" t="inlineStr"/>
      <c r="P66" s="41" t="inlineStr">
        <is>
          <t>Medium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/>
    </row>
    <row r="67" ht="80" customHeight="1">
      <c r="A67" s="41" t="inlineStr">
        <is>
          <t>TC-064</t>
        </is>
      </c>
      <c r="B67" s="51" t="inlineStr">
        <is>
          <t>EP</t>
        </is>
      </c>
      <c r="C67" s="50" t="inlineStr">
        <is>
          <t>P3</t>
        </is>
      </c>
      <c r="D67" s="44" t="inlineStr">
        <is>
          <t>Admin-Templates</t>
        </is>
      </c>
      <c r="E67" s="44" t="inlineStr">
        <is>
          <t>EP entityType hợp lệ DON_THU (lưu được, biến all manual)</t>
        </is>
      </c>
      <c r="F67" s="41" t="inlineStr">
        <is>
          <t>entityType DON_THU</t>
        </is>
      </c>
      <c r="G67" s="41" t="inlineStr">
        <is>
          <t>EP valid</t>
        </is>
      </c>
      <c r="H67" s="41" t="inlineStr">
        <is>
          <t>Low</t>
        </is>
      </c>
      <c r="I67" s="44" t="inlineStr">
        <is>
          <t>ADMIN</t>
        </is>
      </c>
      <c r="J67" s="44" t="inlineStr">
        <is>
          <t>1. Tạo mẫu DON_THU</t>
        </is>
      </c>
      <c r="K67" s="44" t="inlineStr">
        <is>
          <t>DON_THU</t>
        </is>
      </c>
      <c r="L67" s="44" t="inlineStr"/>
      <c r="M67" s="44" t="inlineStr">
        <is>
          <t>201; biến phân loại manual (không catalog VU_AN/VU_VIEC)</t>
        </is>
      </c>
      <c r="N67" s="44" t="inlineStr"/>
      <c r="O67" s="44" t="inlineStr"/>
      <c r="P67" s="41" t="inlineStr">
        <is>
          <t>Low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51" t="inlineStr">
        <is>
          <t>EP</t>
        </is>
      </c>
      <c r="C68" s="46" t="inlineStr">
        <is>
          <t>P2</t>
        </is>
      </c>
      <c r="D68" s="44" t="inlineStr">
        <is>
          <t>Export-VuAn</t>
        </is>
      </c>
      <c r="E68" s="44" t="inlineStr">
        <is>
          <t>EP mode=merged (partition gộp)</t>
        </is>
      </c>
      <c r="F68" s="41" t="inlineStr">
        <is>
          <t>mode merged</t>
        </is>
      </c>
      <c r="G68" s="41" t="inlineStr">
        <is>
          <t>EP</t>
        </is>
      </c>
      <c r="H68" s="41" t="inlineStr">
        <is>
          <t>Low</t>
        </is>
      </c>
      <c r="I68" s="44" t="inlineStr">
        <is>
          <t>OFF1</t>
        </is>
      </c>
      <c r="J68" s="44" t="inlineStr">
        <is>
          <t>1. Export mode=merged</t>
        </is>
      </c>
      <c r="K68" s="44" t="inlineStr">
        <is>
          <t>merged</t>
        </is>
      </c>
      <c r="L68" s="44" t="inlineStr">
        <is>
          <t>case.toA.active.D0, template.vuan.active.D0</t>
        </is>
      </c>
      <c r="M68" s="44" t="inlineStr">
        <is>
          <t>docx</t>
        </is>
      </c>
      <c r="N68" s="44" t="inlineStr"/>
      <c r="O68" s="44" t="inlineStr"/>
      <c r="P68" s="41" t="inlineStr">
        <is>
          <t>Medium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51" t="inlineStr">
        <is>
          <t>EP</t>
        </is>
      </c>
      <c r="C69" s="46" t="inlineStr">
        <is>
          <t>P2</t>
        </is>
      </c>
      <c r="D69" s="44" t="inlineStr">
        <is>
          <t>Export-VuAn</t>
        </is>
      </c>
      <c r="E69" s="44" t="inlineStr">
        <is>
          <t>EP mode=zip (partition tách)</t>
        </is>
      </c>
      <c r="F69" s="41" t="inlineStr">
        <is>
          <t>mode zip</t>
        </is>
      </c>
      <c r="G69" s="41" t="inlineStr">
        <is>
          <t>EP</t>
        </is>
      </c>
      <c r="H69" s="41" t="inlineStr">
        <is>
          <t>Low</t>
        </is>
      </c>
      <c r="I69" s="44" t="inlineStr">
        <is>
          <t>OFF1</t>
        </is>
      </c>
      <c r="J69" s="44" t="inlineStr">
        <is>
          <t>1. Export mode=zip</t>
        </is>
      </c>
      <c r="K69" s="44" t="inlineStr">
        <is>
          <t>zip</t>
        </is>
      </c>
      <c r="L69" s="44" t="inlineStr">
        <is>
          <t>case.toA.active.D0, template.vuan.active.D0</t>
        </is>
      </c>
      <c r="M69" s="44" t="inlineStr">
        <is>
          <t>application/zip</t>
        </is>
      </c>
      <c r="N69" s="44" t="inlineStr"/>
      <c r="O69" s="44" t="inlineStr"/>
      <c r="P69" s="41" t="inlineStr">
        <is>
          <t>Medium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51" t="inlineStr">
        <is>
          <t>EP</t>
        </is>
      </c>
      <c r="C70" s="46" t="inlineStr">
        <is>
          <t>P2</t>
        </is>
      </c>
      <c r="D70" s="44" t="inlineStr">
        <is>
          <t>Export-VuAn</t>
        </is>
      </c>
      <c r="E70" s="44" t="inlineStr">
        <is>
          <t>EP mode mặc định (không gửi) → merged</t>
        </is>
      </c>
      <c r="F70" s="41" t="inlineStr">
        <is>
          <t>mode default</t>
        </is>
      </c>
      <c r="G70" s="41" t="inlineStr">
        <is>
          <t>EP default</t>
        </is>
      </c>
      <c r="H70" s="41" t="inlineStr">
        <is>
          <t>Low</t>
        </is>
      </c>
      <c r="I70" s="44" t="inlineStr">
        <is>
          <t>OFF1</t>
        </is>
      </c>
      <c r="J70" s="44" t="inlineStr">
        <is>
          <t>1. POST export không gửi mode</t>
        </is>
      </c>
      <c r="K70" s="44" t="inlineStr">
        <is>
          <t>no mode</t>
        </is>
      </c>
      <c r="L70" s="44" t="inlineStr">
        <is>
          <t>case.toA.active.D0, template.vuan.active.D0</t>
        </is>
      </c>
      <c r="M70" s="44" t="inlineStr">
        <is>
          <t>200 docx (mặc định merged)</t>
        </is>
      </c>
      <c r="N70" s="44" t="inlineStr"/>
      <c r="O70" s="44" t="inlineStr"/>
      <c r="P70" s="41" t="inlineStr">
        <is>
          <t>Medium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51" t="inlineStr">
        <is>
          <t>EP</t>
        </is>
      </c>
      <c r="C71" s="43" t="inlineStr">
        <is>
          <t>P0</t>
        </is>
      </c>
      <c r="D71" s="44" t="inlineStr">
        <is>
          <t>Export-VuAn</t>
        </is>
      </c>
      <c r="E71" s="44" t="inlineStr">
        <is>
          <t>EP biến auto (trong catalog) → tự điền không cần nhập</t>
        </is>
      </c>
      <c r="F71" s="41" t="inlineStr">
        <is>
          <t>isAutoPlaceholder</t>
        </is>
      </c>
      <c r="G71" s="41" t="inlineStr">
        <is>
          <t>EP</t>
        </is>
      </c>
      <c r="H71" s="41" t="inlineStr">
        <is>
          <t>Medium</t>
        </is>
      </c>
      <c r="I71" s="44" t="inlineStr">
        <is>
          <t>Mẫu chỉ chứa biến catalog</t>
        </is>
      </c>
      <c r="J71" s="44" t="inlineStr">
        <is>
          <t>1. Mở modal mẫu chỉ có {soVuAn}{tenVuAn}</t>
        </is>
      </c>
      <c r="K71" s="44" t="inlineStr"/>
      <c r="L71" s="44" t="inlineStr">
        <is>
          <t>case.toA.active.D0, template.vuan.active.D0</t>
        </is>
      </c>
      <c r="M71" s="44" t="inlineStr">
        <is>
          <t>Section nhập tay KHÔNG hiện; file điền tự động</t>
        </is>
      </c>
      <c r="N71" s="44" t="inlineStr"/>
      <c r="O71" s="44" t="inlineStr"/>
      <c r="P71" s="41" t="inlineStr">
        <is>
          <t>High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51" t="inlineStr">
        <is>
          <t>EP</t>
        </is>
      </c>
      <c r="C72" s="43" t="inlineStr">
        <is>
          <t>P0</t>
        </is>
      </c>
      <c r="D72" s="44" t="inlineStr">
        <is>
          <t>Export-VuAn</t>
        </is>
      </c>
      <c r="E72" s="44" t="inlineStr">
        <is>
          <t>EP biến manual (ngoài catalog) → yêu cầu nhập</t>
        </is>
      </c>
      <c r="F72" s="41" t="inlineStr">
        <is>
          <t>source=manual</t>
        </is>
      </c>
      <c r="G72" s="41" t="inlineStr">
        <is>
          <t>EP</t>
        </is>
      </c>
      <c r="H72" s="41" t="inlineStr">
        <is>
          <t>Medium</t>
        </is>
      </c>
      <c r="I72" s="44" t="inlineStr">
        <is>
          <t>Mẫu có {hoTenBiCan}</t>
        </is>
      </c>
      <c r="J72" s="44" t="inlineStr">
        <is>
          <t>1. Mở modal mẫu có biến ngoài catalog</t>
        </is>
      </c>
      <c r="K72" s="44" t="inlineStr"/>
      <c r="L72" s="44" t="inlineStr">
        <is>
          <t>case.toA.active.D0, template.vuan.manualvar.D0</t>
        </is>
      </c>
      <c r="M72" s="44" t="inlineStr">
        <is>
          <t>Input nhập tay hiện cho hoTenBiCan</t>
        </is>
      </c>
      <c r="N72" s="44" t="inlineStr"/>
      <c r="O72" s="44" t="inlineStr"/>
      <c r="P72" s="41" t="inlineStr">
        <is>
          <t>High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51" t="inlineStr">
        <is>
          <t>EP</t>
        </is>
      </c>
      <c r="C73" s="43" t="inlineStr">
        <is>
          <t>P0</t>
        </is>
      </c>
      <c r="D73" s="44" t="inlineStr">
        <is>
          <t>Export-VuAn</t>
        </is>
      </c>
      <c r="E73" s="44" t="inlineStr">
        <is>
          <t>EP mẫu trộn biến auto + manual → chỉ manual cần nhập</t>
        </is>
      </c>
      <c r="F73" s="41" t="inlineStr">
        <is>
          <t>phân loại hỗn hợp</t>
        </is>
      </c>
      <c r="G73" s="41" t="inlineStr">
        <is>
          <t>EP</t>
        </is>
      </c>
      <c r="H73" s="41" t="inlineStr">
        <is>
          <t>Medium</t>
        </is>
      </c>
      <c r="I73" s="44" t="inlineStr">
        <is>
          <t>Mẫu {soVuAn}+{hoTenBiCan}</t>
        </is>
      </c>
      <c r="J73" s="44" t="inlineStr">
        <is>
          <t>1. Mở modal
2. Quan sát</t>
        </is>
      </c>
      <c r="K73" s="44" t="inlineStr"/>
      <c r="L73" s="44" t="inlineStr">
        <is>
          <t>case.toA.active.D0, template.vuan.manualvar.D0</t>
        </is>
      </c>
      <c r="M73" s="44" t="inlineStr">
        <is>
          <t>Chỉ hoTenBiCan có input; soVuAn auto-điền</t>
        </is>
      </c>
      <c r="N73" s="44" t="inlineStr"/>
      <c r="O73" s="44" t="inlineStr"/>
      <c r="P73" s="41" t="inlineStr">
        <is>
          <t>High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52" t="inlineStr">
        <is>
          <t>DATA</t>
        </is>
      </c>
      <c r="C74" s="46" t="inlineStr">
        <is>
          <t>P2</t>
        </is>
      </c>
      <c r="D74" s="44" t="inlineStr">
        <is>
          <t>Export-VuAn</t>
        </is>
      </c>
      <c r="E74" s="44" t="inlineStr">
        <is>
          <t>manualValues ký tự đặc biệt tiếng Việt có dấu → render đúng UTF-8</t>
        </is>
      </c>
      <c r="F74" s="41" t="inlineStr">
        <is>
          <t>i18n UTF-8</t>
        </is>
      </c>
      <c r="G74" s="41" t="inlineStr">
        <is>
          <t>Data validation</t>
        </is>
      </c>
      <c r="H74" s="41" t="inlineStr">
        <is>
          <t>Low</t>
        </is>
      </c>
      <c r="I74" s="44" t="inlineStr">
        <is>
          <t>Mẫu biến manual</t>
        </is>
      </c>
      <c r="J74" s="44" t="inlineStr">
        <is>
          <t>1. hoTenBiCan='Nguyễn Thị Hồng Ánh'
2. Export</t>
        </is>
      </c>
      <c r="K74" s="44" t="inlineStr">
        <is>
          <t>tiếng Việt dấu</t>
        </is>
      </c>
      <c r="L74" s="44" t="inlineStr">
        <is>
          <t>case.toA.active.D0, template.vuan.manualvar.D0</t>
        </is>
      </c>
      <c r="M74" s="44" t="inlineStr">
        <is>
          <t>File hiển thị đúng dấu tiếng Việt; filename header UTF-8 encode</t>
        </is>
      </c>
      <c r="N74" s="44" t="inlineStr"/>
      <c r="O74" s="44" t="inlineStr"/>
      <c r="P74" s="41" t="inlineStr">
        <is>
          <t>Medium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52" t="inlineStr">
        <is>
          <t>DATA</t>
        </is>
      </c>
      <c r="C75" s="46" t="inlineStr">
        <is>
          <t>P2</t>
        </is>
      </c>
      <c r="D75" s="44" t="inlineStr">
        <is>
          <t>Export-VuAn</t>
        </is>
      </c>
      <c r="E75" s="44" t="inlineStr">
        <is>
          <t>Field record null (vd crime trống) → placeholder rỗng không crash</t>
        </is>
      </c>
      <c r="F75" s="41" t="inlineStr">
        <is>
          <t>s() null-safe</t>
        </is>
      </c>
      <c r="G75" s="41" t="inlineStr">
        <is>
          <t>Data validation</t>
        </is>
      </c>
      <c r="H75" s="41" t="inlineStr">
        <is>
          <t>Low</t>
        </is>
      </c>
      <c r="I75" s="44" t="inlineStr">
        <is>
          <t>Case thiếu field crime</t>
        </is>
      </c>
      <c r="J75" s="44" t="inlineStr">
        <is>
          <t>1. Export mẫu có {toiDanh}</t>
        </is>
      </c>
      <c r="K75" s="44" t="inlineStr"/>
      <c r="L75" s="44" t="inlineStr">
        <is>
          <t>case.toA.active.D0, template.vuan.active.D0</t>
        </is>
      </c>
      <c r="M75" s="44" t="inlineStr">
        <is>
          <t>toiDanh render rỗng '', file vẫn tạo, không lỗi</t>
        </is>
      </c>
      <c r="N75" s="44" t="inlineStr"/>
      <c r="O75" s="44" t="inlineStr"/>
      <c r="P75" s="41" t="inlineStr">
        <is>
          <t>Medium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>
        <is>
          <t>nullGetter</t>
        </is>
      </c>
    </row>
    <row r="76" ht="80" customHeight="1">
      <c r="A76" s="41" t="inlineStr">
        <is>
          <t>TC-073</t>
        </is>
      </c>
      <c r="B76" s="47" t="inlineStr">
        <is>
          <t>RED</t>
        </is>
      </c>
      <c r="C76" s="45" t="inlineStr">
        <is>
          <t>P1</t>
        </is>
      </c>
      <c r="D76" s="44" t="inlineStr">
        <is>
          <t>Export-VuAn</t>
        </is>
      </c>
      <c r="E76" s="44" t="inlineStr">
        <is>
          <t>Export quá Throttle (request thứ 6 trong 60s) → 429</t>
        </is>
      </c>
      <c r="F76" s="41" t="inlineStr">
        <is>
          <t>@Throttle 5/60s</t>
        </is>
      </c>
      <c r="G76" s="41" t="inlineStr">
        <is>
          <t>Negative rate-limit</t>
        </is>
      </c>
      <c r="H76" s="41" t="inlineStr">
        <is>
          <t>Medium</t>
        </is>
      </c>
      <c r="I76" s="44" t="inlineStr">
        <is>
          <t>OFF1</t>
        </is>
      </c>
      <c r="J76" s="44" t="inlineStr">
        <is>
          <t>1. Gửi 6 POST export liên tiếp &lt;60s</t>
        </is>
      </c>
      <c r="K76" s="44" t="inlineStr"/>
      <c r="L76" s="44" t="inlineStr">
        <is>
          <t>case.toA.active.D0, template.vuan.active.D0</t>
        </is>
      </c>
      <c r="M76" s="44" t="inlineStr">
        <is>
          <t>Request thứ 6 → 429 Too Many Requests</t>
        </is>
      </c>
      <c r="N76" s="44" t="inlineStr"/>
      <c r="O76" s="44" t="inlineStr"/>
      <c r="P76" s="41" t="inlineStr">
        <is>
          <t>High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>
        <is>
          <t>DoS guard</t>
        </is>
      </c>
    </row>
    <row r="77" ht="80" customHeight="1">
      <c r="A77" s="41" t="inlineStr">
        <is>
          <t>TC-074</t>
        </is>
      </c>
      <c r="B77" s="47" t="inlineStr">
        <is>
          <t>RED</t>
        </is>
      </c>
      <c r="C77" s="46" t="inlineStr">
        <is>
          <t>P2</t>
        </is>
      </c>
      <c r="D77" s="44" t="inlineStr">
        <is>
          <t>Admin-Templates</t>
        </is>
      </c>
      <c r="E77" s="44" t="inlineStr">
        <is>
          <t>Tạo mẫu needsNumber=true với numberSeriesId không tồn tại trong chuỗi số</t>
        </is>
      </c>
      <c r="F77" s="41" t="inlineStr">
        <is>
          <t>series ref</t>
        </is>
      </c>
      <c r="G77" s="41" t="inlineStr">
        <is>
          <t>Negative</t>
        </is>
      </c>
      <c r="H77" s="41" t="inlineStr">
        <is>
          <t>Low</t>
        </is>
      </c>
      <c r="I77" s="44" t="inlineStr">
        <is>
          <t>ADMIN</t>
        </is>
      </c>
      <c r="J77" s="44" t="inlineStr">
        <is>
          <t>1. Tạo mẫu numberSeriesId='KHONG_CO'
2. Export mẫu đó</t>
        </is>
      </c>
      <c r="K77" s="44" t="inlineStr">
        <is>
          <t>numberSeriesId=KHONG_CO</t>
        </is>
      </c>
      <c r="L77" s="44" t="inlineStr">
        <is>
          <t>case.toA.active.D0</t>
        </is>
      </c>
      <c r="M77" s="44" t="inlineStr">
        <is>
          <t>Tạo OK nhưng export sẽ lỗi khi commitWithTx không thấy series → 400/500 có kiểm soát</t>
        </is>
      </c>
      <c r="N77" s="44" t="inlineStr"/>
      <c r="O77" s="44" t="inlineStr"/>
      <c r="P77" s="41" t="inlineStr">
        <is>
          <t>Medium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>
        <is>
          <t>Gợi ý: validate series tồn tại khi tạo (cải tiến)</t>
        </is>
      </c>
    </row>
    <row r="78" ht="80" customHeight="1">
      <c r="A78" s="41" t="inlineStr">
        <is>
          <t>TC-075</t>
        </is>
      </c>
      <c r="B78" s="47" t="inlineStr">
        <is>
          <t>RED</t>
        </is>
      </c>
      <c r="C78" s="46" t="inlineStr">
        <is>
          <t>P2</t>
        </is>
      </c>
      <c r="D78" s="44" t="inlineStr">
        <is>
          <t>Export-VuAn</t>
        </is>
      </c>
      <c r="E78" s="44" t="inlineStr">
        <is>
          <t>Bỏ chọn hết mẫu trong modal → nút Xuất disabled</t>
        </is>
      </c>
      <c r="F78" s="41" t="inlineStr">
        <is>
          <t>selected.size===0</t>
        </is>
      </c>
      <c r="G78" s="41" t="inlineStr">
        <is>
          <t>Negative UI</t>
        </is>
      </c>
      <c r="H78" s="41" t="inlineStr">
        <is>
          <t>Low</t>
        </is>
      </c>
      <c r="I78" s="44" t="inlineStr">
        <is>
          <t>Modal mở</t>
        </is>
      </c>
      <c r="J78" s="44" t="inlineStr">
        <is>
          <t>1. Bỏ tick tất cả mẫu</t>
        </is>
      </c>
      <c r="K78" s="44" t="inlineStr"/>
      <c r="L78" s="44" t="inlineStr">
        <is>
          <t>case.toA.active.D0, template.vuan.active.D0</t>
        </is>
      </c>
      <c r="M78" s="44" t="inlineStr">
        <is>
          <t>Nút 'Xuất file' disabled, hiện 'Đã chọn 0/N mẫu'</t>
        </is>
      </c>
      <c r="N78" s="44" t="inlineStr"/>
      <c r="O78" s="44" t="inlineStr"/>
      <c r="P78" s="41" t="inlineStr">
        <is>
          <t>Medium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53" t="inlineStr">
        <is>
          <t>STATE</t>
        </is>
      </c>
      <c r="C79" s="43" t="inlineStr">
        <is>
          <t>P0</t>
        </is>
      </c>
      <c r="D79" s="44" t="inlineStr">
        <is>
          <t>Admin-Templates</t>
        </is>
      </c>
      <c r="E79" s="44" t="inlineStr">
        <is>
          <t>Mẫu active → soft-delete → biến mất khỏi danh sách xuất</t>
        </is>
      </c>
      <c r="F79" s="41" t="inlineStr">
        <is>
          <t>state active→deleted</t>
        </is>
      </c>
      <c r="G79" s="41" t="inlineStr">
        <is>
          <t>State transition</t>
        </is>
      </c>
      <c r="H79" s="41" t="inlineStr">
        <is>
          <t>Medium</t>
        </is>
      </c>
      <c r="I79" s="44" t="inlineStr">
        <is>
          <t>Mẫu VU_AN active</t>
        </is>
      </c>
      <c r="J79" s="44" t="inlineStr">
        <is>
          <t>1. GET export-templates (thấy mẫu)
2. ADMIN DELETE mẫu
3. GET export-templates lại</t>
        </is>
      </c>
      <c r="K79" s="44" t="inlineStr"/>
      <c r="L79" s="44" t="inlineStr">
        <is>
          <t>template.vuan.active.D0</t>
        </is>
      </c>
      <c r="M79" s="44" t="inlineStr">
        <is>
          <t>Sau xoá: mẫu không còn trong list; export mẫu đó → 400</t>
        </is>
      </c>
      <c r="N79" s="44" t="inlineStr"/>
      <c r="O79" s="44" t="inlineStr"/>
      <c r="P79" s="41" t="inlineStr">
        <is>
          <t>High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53" t="inlineStr">
        <is>
          <t>STATE</t>
        </is>
      </c>
      <c r="C80" s="43" t="inlineStr">
        <is>
          <t>P0</t>
        </is>
      </c>
      <c r="D80" s="44" t="inlineStr">
        <is>
          <t>Export-VuAn</t>
        </is>
      </c>
      <c r="E80" s="44" t="inlineStr">
        <is>
          <t>Số văn bản tăng tuần tự qua nhiều lần export (counter state)</t>
        </is>
      </c>
      <c r="F80" s="41" t="inlineStr">
        <is>
          <t>commitWithTx counter</t>
        </is>
      </c>
      <c r="G80" s="41" t="inlineStr">
        <is>
          <t>State transition</t>
        </is>
      </c>
      <c r="H80" s="41" t="inlineStr">
        <is>
          <t>High</t>
        </is>
      </c>
      <c r="I80" s="44" t="inlineStr">
        <is>
          <t>Mẫu cấp số series=CASE</t>
        </is>
      </c>
      <c r="J80" s="44" t="inlineStr">
        <is>
          <t>1. Export lần 1 → số N
2. Export lần 2 → số N+1
3. Export lần 3 → số N+2</t>
        </is>
      </c>
      <c r="K80" s="44" t="inlineStr"/>
      <c r="L80" s="44" t="inlineStr">
        <is>
          <t>case.toA.active.D0, template.vuan.needsnumber.D0</t>
        </is>
      </c>
      <c r="M80" s="44" t="inlineStr">
        <is>
          <t>Số tăng đơn điệu, không trùng, không bỏ qua (no-gap khi thành công)</t>
        </is>
      </c>
      <c r="N80" s="44" t="inlineStr"/>
      <c r="O80" s="44" t="inlineStr"/>
      <c r="P80" s="41" t="inlineStr">
        <is>
          <t>Critical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53" t="inlineStr">
        <is>
          <t>STATE</t>
        </is>
      </c>
      <c r="C81" s="46" t="inlineStr">
        <is>
          <t>P2</t>
        </is>
      </c>
      <c r="D81" s="44" t="inlineStr">
        <is>
          <t>Export-VuAn</t>
        </is>
      </c>
      <c r="E81" s="44" t="inlineStr">
        <is>
          <t>Nút In chứng từ chỉ hiện ở edit mode (không hiện create)</t>
        </is>
      </c>
      <c r="F81" s="41" t="inlineStr">
        <is>
          <t>isEditMode &amp;&amp; id</t>
        </is>
      </c>
      <c r="G81" s="41" t="inlineStr">
        <is>
          <t>State transition</t>
        </is>
      </c>
      <c r="H81" s="41" t="inlineStr">
        <is>
          <t>Low</t>
        </is>
      </c>
      <c r="I81" s="44" t="inlineStr">
        <is>
          <t>OFF1</t>
        </is>
      </c>
      <c r="J81" s="44" t="inlineStr">
        <is>
          <t>1. Mở /cases/new (create)
2. Quan sát nút</t>
        </is>
      </c>
      <c r="K81" s="44" t="inlineStr"/>
      <c r="L81" s="44" t="inlineStr"/>
      <c r="M81" s="44" t="inlineStr">
        <is>
          <t>Nút In chứng từ KHÔNG hiện ở create; hiện sau khi đã lưu (edit)</t>
        </is>
      </c>
      <c r="N81" s="44" t="inlineStr"/>
      <c r="O81" s="44" t="inlineStr"/>
      <c r="P81" s="41" t="inlineStr">
        <is>
          <t>Medium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54" t="inlineStr">
        <is>
          <t>DECISION</t>
        </is>
      </c>
      <c r="C82" s="43" t="inlineStr">
        <is>
          <t>P0</t>
        </is>
      </c>
      <c r="D82" s="44" t="inlineStr">
        <is>
          <t>Admin-Templates</t>
        </is>
      </c>
      <c r="E82" s="44" t="inlineStr">
        <is>
          <t>Bảng quyết định needsNumber × numberSeriesId</t>
        </is>
      </c>
      <c r="F82" s="41" t="inlineStr">
        <is>
          <t>cấp số config matrix</t>
        </is>
      </c>
      <c r="G82" s="41" t="inlineStr">
        <is>
          <t>Decision table</t>
        </is>
      </c>
      <c r="H82" s="41" t="inlineStr">
        <is>
          <t>High</t>
        </is>
      </c>
      <c r="I82" s="44" t="inlineStr">
        <is>
          <t>ADMIN</t>
        </is>
      </c>
      <c r="J82" s="44" t="inlineStr">
        <is>
          <t>1. (true,set)→tạo OK, export cấp số
2. (true,null)→400 chặn tạo
3. (false,null)→OK không số
4. (false,set)→OK bỏ qua số</t>
        </is>
      </c>
      <c r="K82" s="44" t="inlineStr">
        <is>
          <t>matrix</t>
        </is>
      </c>
      <c r="L82" s="44" t="inlineStr">
        <is>
          <t>series.case.active</t>
        </is>
      </c>
      <c r="M82" s="44" t="inlineStr">
        <is>
          <t>Đúng 4 nhánh; chỉ (true,null) bị chặn</t>
        </is>
      </c>
      <c r="N82" s="44" t="inlineStr"/>
      <c r="O82" s="44" t="inlineStr"/>
      <c r="P82" s="41" t="inlineStr">
        <is>
          <t>Critical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54" t="inlineStr">
        <is>
          <t>DECISION</t>
        </is>
      </c>
      <c r="C83" s="43" t="inlineStr">
        <is>
          <t>P0</t>
        </is>
      </c>
      <c r="D83" s="44" t="inlineStr">
        <is>
          <t>Export-VuAn</t>
        </is>
      </c>
      <c r="E83" s="44" t="inlineStr">
        <is>
          <t>Bảng quyết định entityType record × entityType mẫu</t>
        </is>
      </c>
      <c r="F83" s="41" t="inlineStr">
        <is>
          <t>match entityType</t>
        </is>
      </c>
      <c r="G83" s="41" t="inlineStr">
        <is>
          <t>Decision table</t>
        </is>
      </c>
      <c r="H83" s="41" t="inlineStr">
        <is>
          <t>High</t>
        </is>
      </c>
      <c r="I83" s="44" t="inlineStr">
        <is>
          <t>OFF1</t>
        </is>
      </c>
      <c r="J83" s="44" t="inlineStr">
        <is>
          <t>1. case×VU_AN→OK
2. case×VU_VIEC→400
3. incident×VU_VIEC→OK
4. incident×VU_AN→400</t>
        </is>
      </c>
      <c r="K83" s="44" t="inlineStr">
        <is>
          <t>matrix</t>
        </is>
      </c>
      <c r="L83" s="44" t="inlineStr">
        <is>
          <t>case.toA.active.D0, incident.toA.active.D0</t>
        </is>
      </c>
      <c r="M83" s="44" t="inlineStr">
        <is>
          <t>Chỉ khớp loại mới render</t>
        </is>
      </c>
      <c r="N83" s="44" t="inlineStr"/>
      <c r="O83" s="44" t="inlineStr"/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55" t="inlineStr">
        <is>
          <t>EDGE</t>
        </is>
      </c>
      <c r="C84" s="46" t="inlineStr">
        <is>
          <t>P2</t>
        </is>
      </c>
      <c r="D84" s="44" t="inlineStr">
        <is>
          <t>Export-VuAn</t>
        </is>
      </c>
      <c r="E84" s="44" t="inlineStr">
        <is>
          <t>Mẫu .docx không có placeholder nào → export ra file nguyên bản</t>
        </is>
      </c>
      <c r="F84" s="41" t="inlineStr">
        <is>
          <t>0 biến</t>
        </is>
      </c>
      <c r="G84" s="41" t="inlineStr">
        <is>
          <t>Edge</t>
        </is>
      </c>
      <c r="H84" s="41" t="inlineStr">
        <is>
          <t>Low</t>
        </is>
      </c>
      <c r="I84" s="44" t="inlineStr">
        <is>
          <t>Mẫu không placeholder</t>
        </is>
      </c>
      <c r="J84" s="44" t="inlineStr">
        <is>
          <t>1. Export mẫu không biến</t>
        </is>
      </c>
      <c r="K84" s="44" t="inlineStr"/>
      <c r="L84" s="44" t="inlineStr">
        <is>
          <t>case.toA.active.D0</t>
        </is>
      </c>
      <c r="M84" s="44" t="inlineStr">
        <is>
          <t>200 file giống template gốc, không lỗi</t>
        </is>
      </c>
      <c r="N84" s="44" t="inlineStr"/>
      <c r="O84" s="44" t="inlineStr"/>
      <c r="P84" s="41" t="inlineStr">
        <is>
          <t>Medium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55" t="inlineStr">
        <is>
          <t>EDGE</t>
        </is>
      </c>
      <c r="C85" s="46" t="inlineStr">
        <is>
          <t>P2</t>
        </is>
      </c>
      <c r="D85" s="44" t="inlineStr">
        <is>
          <t>Export-VuAn</t>
        </is>
      </c>
      <c r="E85" s="44" t="inlineStr">
        <is>
          <t>Record mới tạo chưa có mẫu nào active → modal hiện 'Chưa có mẫu'</t>
        </is>
      </c>
      <c r="F85" s="41" t="inlineStr">
        <is>
          <t>empty templates</t>
        </is>
      </c>
      <c r="G85" s="41" t="inlineStr">
        <is>
          <t>Edge</t>
        </is>
      </c>
      <c r="H85" s="41" t="inlineStr">
        <is>
          <t>Low</t>
        </is>
      </c>
      <c r="I85" s="44" t="inlineStr">
        <is>
          <t>Đã soft-delete hết mẫu VU_AN</t>
        </is>
      </c>
      <c r="J85" s="44" t="inlineStr">
        <is>
          <t>1. Mở modal xuất chứng từ vụ án</t>
        </is>
      </c>
      <c r="K85" s="44" t="inlineStr"/>
      <c r="L85" s="44" t="inlineStr">
        <is>
          <t>case.toA.active.D0, templates.vuan.empty</t>
        </is>
      </c>
      <c r="M85" s="44" t="inlineStr">
        <is>
          <t>Thông báo 'Chưa có mẫu chứng từ cho loại hồ sơ này', nút Xuất disabled</t>
        </is>
      </c>
      <c r="N85" s="44" t="inlineStr"/>
      <c r="O85" s="44" t="inlineStr"/>
      <c r="P85" s="41" t="inlineStr">
        <is>
          <t>Medium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55" t="inlineStr">
        <is>
          <t>EDGE</t>
        </is>
      </c>
      <c r="C86" s="50" t="inlineStr">
        <is>
          <t>P3</t>
        </is>
      </c>
      <c r="D86" s="44" t="inlineStr">
        <is>
          <t>Export-VuAn</t>
        </is>
      </c>
      <c r="E86" s="44" t="inlineStr">
        <is>
          <t>Nhiều mẫu cùng category → gộp 1 nhóm header</t>
        </is>
      </c>
      <c r="F86" s="41" t="inlineStr">
        <is>
          <t>group by category</t>
        </is>
      </c>
      <c r="G86" s="41" t="inlineStr">
        <is>
          <t>Edge</t>
        </is>
      </c>
      <c r="H86" s="41" t="inlineStr">
        <is>
          <t>Low</t>
        </is>
      </c>
      <c r="I86" s="44" t="inlineStr">
        <is>
          <t>3 mẫu cùng category Quyết định</t>
        </is>
      </c>
      <c r="J86" s="44" t="inlineStr">
        <is>
          <t>1. Mở modal</t>
        </is>
      </c>
      <c r="K86" s="44" t="inlineStr"/>
      <c r="L86" s="44" t="inlineStr">
        <is>
          <t>case.toA.active.D0</t>
        </is>
      </c>
      <c r="M86" s="44" t="inlineStr">
        <is>
          <t>1 heading 'Quyết định' chứa 3 mẫu</t>
        </is>
      </c>
      <c r="N86" s="44" t="inlineStr"/>
      <c r="O86" s="44" t="inlineStr"/>
      <c r="P86" s="41" t="inlineStr">
        <is>
          <t>Low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47" t="inlineStr">
        <is>
          <t>RED</t>
        </is>
      </c>
      <c r="C87" s="46" t="inlineStr">
        <is>
          <t>P2</t>
        </is>
      </c>
      <c r="D87" s="44" t="inlineStr">
        <is>
          <t>Admin-Templates</t>
        </is>
      </c>
      <c r="E87" s="44" t="inlineStr">
        <is>
          <t>PATCH mẫu set needsNumber=true nhưng numberSeriesId=null → vẫn lưu (GAP)</t>
        </is>
      </c>
      <c r="F87" s="41" t="inlineStr">
        <is>
          <t>update không re-validate</t>
        </is>
      </c>
      <c r="G87" s="41" t="inlineStr">
        <is>
          <t>Negative</t>
        </is>
      </c>
      <c r="H87" s="41" t="inlineStr">
        <is>
          <t>Medium</t>
        </is>
      </c>
      <c r="I87" s="44" t="inlineStr">
        <is>
          <t>ADMIN, mẫu không cấp số</t>
        </is>
      </c>
      <c r="J87" s="44" t="inlineStr">
        <is>
          <t>1. PATCH {needsNumber:true} (không kèm numberSeriesId)</t>
        </is>
      </c>
      <c r="K87" s="44" t="inlineStr"/>
      <c r="L87" s="44" t="inlineStr">
        <is>
          <t>template.vuan.active.D0</t>
        </is>
      </c>
      <c r="M87" s="44" t="inlineStr">
        <is>
          <t>HIỆN TẠI: update không kiểm tra → lưu needsNumber=true series=null → export sau đó 400. KHUYẾN NGHỊ: update cũng validate như create</t>
        </is>
      </c>
      <c r="N87" s="44" t="inlineStr"/>
      <c r="O87" s="44" t="inlineStr"/>
      <c r="P87" s="41" t="inlineStr">
        <is>
          <t>Medium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>
        <is>
          <t>Gap phát hiện UAT — backlog</t>
        </is>
      </c>
    </row>
    <row r="88" ht="80" customHeight="1">
      <c r="A88" s="41" t="inlineStr">
        <is>
          <t>TC-085</t>
        </is>
      </c>
      <c r="B88" s="47" t="inlineStr">
        <is>
          <t>RED</t>
        </is>
      </c>
      <c r="C88" s="45" t="inlineStr">
        <is>
          <t>P1</t>
        </is>
      </c>
      <c r="D88" s="44" t="inlineStr">
        <is>
          <t>Export-VuViec</t>
        </is>
      </c>
      <c r="E88" s="44" t="inlineStr">
        <is>
          <t>Form vụ việc tên &lt; 5 ký tự → chặn lưu</t>
        </is>
      </c>
      <c r="F88" s="41" t="inlineStr">
        <is>
          <t>validateForm name≥5</t>
        </is>
      </c>
      <c r="G88" s="41" t="inlineStr">
        <is>
          <t>Negative</t>
        </is>
      </c>
      <c r="H88" s="41" t="inlineStr">
        <is>
          <t>Medium</t>
        </is>
      </c>
      <c r="I88" s="44" t="inlineStr">
        <is>
          <t>OFF1</t>
        </is>
      </c>
      <c r="J88" s="44" t="inlineStr">
        <is>
          <t>1. Nhập tên 'abc'
2. Lưu/Lưu và xuất</t>
        </is>
      </c>
      <c r="K88" s="44" t="inlineStr">
        <is>
          <t>name=abc</t>
        </is>
      </c>
      <c r="L88" s="44" t="inlineStr"/>
      <c r="M88" s="44" t="inlineStr">
        <is>
          <t>Hiện lỗi 'Tên vụ việc phải có ít nhất 5 ký tự', không gọi POST, không mở modal</t>
        </is>
      </c>
      <c r="N88" s="44" t="inlineStr"/>
      <c r="O88" s="44" t="inlineStr"/>
      <c r="P88" s="41" t="inlineStr">
        <is>
          <t>High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47" t="inlineStr">
        <is>
          <t>RED</t>
        </is>
      </c>
      <c r="C89" s="45" t="inlineStr">
        <is>
          <t>P1</t>
        </is>
      </c>
      <c r="D89" s="44" t="inlineStr">
        <is>
          <t>Export-VuAn</t>
        </is>
      </c>
      <c r="E89" s="44" t="inlineStr">
        <is>
          <t>Form vụ án thiếu Nguồn vụ án → chặn lưu và xuất</t>
        </is>
      </c>
      <c r="F89" s="41" t="inlineStr">
        <is>
          <t>validateForm caseProvenance</t>
        </is>
      </c>
      <c r="G89" s="41" t="inlineStr">
        <is>
          <t>Negative</t>
        </is>
      </c>
      <c r="H89" s="41" t="inlineStr">
        <is>
          <t>Medium</t>
        </is>
      </c>
      <c r="I89" s="44" t="inlineStr">
        <is>
          <t>OFF1</t>
        </is>
      </c>
      <c r="J89" s="44" t="inlineStr">
        <is>
          <t>1. Để trống caseProvenance
2. ▼ Lưu và xuất file</t>
        </is>
      </c>
      <c r="K89" s="44" t="inlineStr"/>
      <c r="L89" s="44" t="inlineStr"/>
      <c r="M89" s="44" t="inlineStr">
        <is>
          <t>Hiện lỗi banner, không lưu, không mở modal</t>
        </is>
      </c>
      <c r="N89" s="44" t="inlineStr"/>
      <c r="O89" s="44" t="inlineStr"/>
      <c r="P89" s="41" t="inlineStr">
        <is>
          <t>High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47" t="inlineStr">
        <is>
          <t>RED</t>
        </is>
      </c>
      <c r="C90" s="45" t="inlineStr">
        <is>
          <t>P1</t>
        </is>
      </c>
      <c r="D90" s="44" t="inlineStr">
        <is>
          <t>Export-VuAn</t>
        </is>
      </c>
      <c r="E90" s="44" t="inlineStr">
        <is>
          <t>Double-submit form vụ án (click nhanh 2 lần) → chỉ 1 POST</t>
        </is>
      </c>
      <c r="F90" s="41" t="inlineStr">
        <is>
          <t>savingRef guard</t>
        </is>
      </c>
      <c r="G90" s="41" t="inlineStr">
        <is>
          <t>Negative concurrency</t>
        </is>
      </c>
      <c r="H90" s="41" t="inlineStr">
        <is>
          <t>Medium</t>
        </is>
      </c>
      <c r="I90" s="44" t="inlineStr">
        <is>
          <t>OFF1, form hợp lệ</t>
        </is>
      </c>
      <c r="J90" s="44" t="inlineStr">
        <is>
          <t>1. Click Lưu liên tục 2 lần thật nhanh</t>
        </is>
      </c>
      <c r="K90" s="44" t="inlineStr"/>
      <c r="L90" s="44" t="inlineStr"/>
      <c r="M90" s="44" t="inlineStr">
        <is>
          <t>savingRef chặn lần 2 → chỉ 1 POST /cases, không tạo trùng</t>
        </is>
      </c>
      <c r="N90" s="44" t="inlineStr"/>
      <c r="O90" s="44" t="inlineStr"/>
      <c r="P90" s="41" t="inlineStr">
        <is>
          <t>High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>
        <is>
          <t>codex P2</t>
        </is>
      </c>
    </row>
    <row r="91" ht="80" customHeight="1">
      <c r="A91" s="41" t="inlineStr">
        <is>
          <t>TC-088</t>
        </is>
      </c>
      <c r="B91" s="47" t="inlineStr">
        <is>
          <t>RED</t>
        </is>
      </c>
      <c r="C91" s="45" t="inlineStr">
        <is>
          <t>P1</t>
        </is>
      </c>
      <c r="D91" s="44" t="inlineStr">
        <is>
          <t>Export-VuViec</t>
        </is>
      </c>
      <c r="E91" s="44" t="inlineStr">
        <is>
          <t>Double-submit form vụ việc → chỉ 1 POST</t>
        </is>
      </c>
      <c r="F91" s="41" t="inlineStr">
        <is>
          <t>savingRef incident</t>
        </is>
      </c>
      <c r="G91" s="41" t="inlineStr">
        <is>
          <t>Negative concurrency</t>
        </is>
      </c>
      <c r="H91" s="41" t="inlineStr">
        <is>
          <t>Medium</t>
        </is>
      </c>
      <c r="I91" s="44" t="inlineStr">
        <is>
          <t>OFF1</t>
        </is>
      </c>
      <c r="J91" s="44" t="inlineStr">
        <is>
          <t>1. Click Lưu nhanh 2 lần</t>
        </is>
      </c>
      <c r="K91" s="44" t="inlineStr"/>
      <c r="L91" s="44" t="inlineStr"/>
      <c r="M91" s="44" t="inlineStr">
        <is>
          <t>savingRef chặn lần 2 → 1 POST /incidents</t>
        </is>
      </c>
      <c r="N91" s="44" t="inlineStr"/>
      <c r="O91" s="44" t="inlineStr"/>
      <c r="P91" s="41" t="inlineStr">
        <is>
          <t>High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>
        <is>
          <t>/review P2</t>
        </is>
      </c>
    </row>
    <row r="92" ht="80" customHeight="1">
      <c r="A92" s="41" t="inlineStr">
        <is>
          <t>TC-089</t>
        </is>
      </c>
      <c r="B92" s="47" t="inlineStr">
        <is>
          <t>RED</t>
        </is>
      </c>
      <c r="C92" s="46" t="inlineStr">
        <is>
          <t>P2</t>
        </is>
      </c>
      <c r="D92" s="44" t="inlineStr">
        <is>
          <t>Admin-Templates</t>
        </is>
      </c>
      <c r="E92" s="44" t="inlineStr">
        <is>
          <t>replaceFile với file không docx → 400</t>
        </is>
      </c>
      <c r="F92" s="41" t="inlineStr">
        <is>
          <t>assertValidDocx replace</t>
        </is>
      </c>
      <c r="G92" s="41" t="inlineStr">
        <is>
          <t>Negative</t>
        </is>
      </c>
      <c r="H92" s="41" t="inlineStr">
        <is>
          <t>Low</t>
        </is>
      </c>
      <c r="I92" s="44" t="inlineStr">
        <is>
          <t>ADMIN, mẫu tồn tại</t>
        </is>
      </c>
      <c r="J92" s="44" t="inlineStr">
        <is>
          <t>1. POST /document-templates/{id}/file file=a.txt</t>
        </is>
      </c>
      <c r="K92" s="44" t="inlineStr"/>
      <c r="L92" s="44" t="inlineStr">
        <is>
          <t>template.vuan.active.D0</t>
        </is>
      </c>
      <c r="M92" s="44" t="inlineStr">
        <is>
          <t>400 chỉ chấp nhận .docx / không docx hợp lệ</t>
        </is>
      </c>
      <c r="N92" s="44" t="inlineStr"/>
      <c r="O92" s="44" t="inlineStr"/>
      <c r="P92" s="41" t="inlineStr">
        <is>
          <t>Medium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47" t="inlineStr">
        <is>
          <t>RED</t>
        </is>
      </c>
      <c r="C93" s="46" t="inlineStr">
        <is>
          <t>P2</t>
        </is>
      </c>
      <c r="D93" s="44" t="inlineStr">
        <is>
          <t>Admin-Templates</t>
        </is>
      </c>
      <c r="E93" s="44" t="inlineStr">
        <is>
          <t>replaceFile mẫu không tồn tại → 404</t>
        </is>
      </c>
      <c r="F93" s="41" t="inlineStr">
        <is>
          <t>getById replace</t>
        </is>
      </c>
      <c r="G93" s="41" t="inlineStr">
        <is>
          <t>Negative</t>
        </is>
      </c>
      <c r="H93" s="41" t="inlineStr">
        <is>
          <t>Low</t>
        </is>
      </c>
      <c r="I93" s="44" t="inlineStr">
        <is>
          <t>ADMIN</t>
        </is>
      </c>
      <c r="J93" s="44" t="inlineStr">
        <is>
          <t>1. POST /document-templates/non-existent/file</t>
        </is>
      </c>
      <c r="K93" s="44" t="inlineStr"/>
      <c r="L93" s="44" t="inlineStr"/>
      <c r="M93" s="44" t="inlineStr">
        <is>
          <t>404</t>
        </is>
      </c>
      <c r="N93" s="44" t="inlineStr"/>
      <c r="O93" s="44" t="inlineStr"/>
      <c r="P93" s="41" t="inlineStr">
        <is>
          <t>Medium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47" t="inlineStr">
        <is>
          <t>RED</t>
        </is>
      </c>
      <c r="C94" s="45" t="inlineStr">
        <is>
          <t>P1</t>
        </is>
      </c>
      <c r="D94" s="44" t="inlineStr">
        <is>
          <t>Export-VuAn</t>
        </is>
      </c>
      <c r="E94" s="44" t="inlineStr">
        <is>
          <t>Export trả lỗi nghiệp vụ (400) → modal hiện lỗi, KHÔNG tải file rỗng</t>
        </is>
      </c>
      <c r="F94" s="41" t="inlineStr">
        <is>
          <t>parseBlobError + errorMsg</t>
        </is>
      </c>
      <c r="G94" s="41" t="inlineStr">
        <is>
          <t>Negative</t>
        </is>
      </c>
      <c r="H94" s="41" t="inlineStr">
        <is>
          <t>Medium</t>
        </is>
      </c>
      <c r="I94" s="44" t="inlineStr">
        <is>
          <t>Mẫu cấp số lỗi series</t>
        </is>
      </c>
      <c r="J94" s="44" t="inlineStr">
        <is>
          <t>1. Export mẫu lỗi → BE 400 blob JSON</t>
        </is>
      </c>
      <c r="K94" s="44" t="inlineStr"/>
      <c r="L94" s="44" t="inlineStr">
        <is>
          <t>case.toA.active.D0</t>
        </is>
      </c>
      <c r="M94" s="44" t="inlineStr">
        <is>
          <t>Modal hiện message nghiệp vụ (parseBlobError), không tải file, không đóng modal</t>
        </is>
      </c>
      <c r="N94" s="44" t="inlineStr"/>
      <c r="O94" s="44" t="inlineStr"/>
      <c r="P94" s="41" t="inlineStr">
        <is>
          <t>High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47" t="inlineStr">
        <is>
          <t>RED</t>
        </is>
      </c>
      <c r="C95" s="46" t="inlineStr">
        <is>
          <t>P2</t>
        </is>
      </c>
      <c r="D95" s="44" t="inlineStr">
        <is>
          <t>Export-VuAn</t>
        </is>
      </c>
      <c r="E95" s="44" t="inlineStr">
        <is>
          <t>manualValues cho biến KHÔNG thuộc mẫu đang chọn → bị bỏ qua</t>
        </is>
      </c>
      <c r="F95" s="41" t="inlineStr">
        <is>
          <t>chỉ gửi manualVars đang chọn</t>
        </is>
      </c>
      <c r="G95" s="41" t="inlineStr">
        <is>
          <t>Negative</t>
        </is>
      </c>
      <c r="H95" s="41" t="inlineStr">
        <is>
          <t>Low</t>
        </is>
      </c>
      <c r="I95" s="44" t="inlineStr">
        <is>
          <t>Modal có mẫu manual</t>
        </is>
      </c>
      <c r="J95" s="44" t="inlineStr">
        <is>
          <t>1. Nhập biến, bỏ chọn mẫu chứa biến đó
2. Xuất</t>
        </is>
      </c>
      <c r="K95" s="44" t="inlineStr"/>
      <c r="L95" s="44" t="inlineStr">
        <is>
          <t>case.toA.active.D0, template.vuan.manualvar.D0</t>
        </is>
      </c>
      <c r="M95" s="44" t="inlineStr">
        <is>
          <t>manualValues KHÔNG gửi biến của mẫu đã bỏ chọn</t>
        </is>
      </c>
      <c r="N95" s="44" t="inlineStr"/>
      <c r="O95" s="44" t="inlineStr"/>
      <c r="P95" s="41" t="inlineStr">
        <is>
          <t>Medium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47" t="inlineStr">
        <is>
          <t>RED</t>
        </is>
      </c>
      <c r="C96" s="46" t="inlineStr">
        <is>
          <t>P2</t>
        </is>
      </c>
      <c r="D96" s="44" t="inlineStr">
        <is>
          <t>Export-VuAn</t>
        </is>
      </c>
      <c r="E96" s="44" t="inlineStr">
        <is>
          <t>Token hết hạn giữa lúc export → 401 (refresh/redirect login)</t>
        </is>
      </c>
      <c r="F96" s="41" t="inlineStr">
        <is>
          <t>interceptor 401</t>
        </is>
      </c>
      <c r="G96" s="41" t="inlineStr">
        <is>
          <t>Negative</t>
        </is>
      </c>
      <c r="H96" s="41" t="inlineStr">
        <is>
          <t>Low</t>
        </is>
      </c>
      <c r="I96" s="44" t="inlineStr">
        <is>
          <t>Token sắp hết hạn</t>
        </is>
      </c>
      <c r="J96" s="44" t="inlineStr">
        <is>
          <t>1. Export khi token expired</t>
        </is>
      </c>
      <c r="K96" s="44" t="inlineStr"/>
      <c r="L96" s="44" t="inlineStr">
        <is>
          <t>case.toA.active.D0, template.vuan.active.D0</t>
        </is>
      </c>
      <c r="M96" s="44" t="inlineStr">
        <is>
          <t>401 → interceptor refresh hoặc về login, không tải file lỗi</t>
        </is>
      </c>
      <c r="N96" s="44" t="inlineStr"/>
      <c r="O96" s="44" t="inlineStr"/>
      <c r="P96" s="41" t="inlineStr">
        <is>
          <t>Medium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47" t="inlineStr">
        <is>
          <t>RED</t>
        </is>
      </c>
      <c r="C97" s="46" t="inlineStr">
        <is>
          <t>P2</t>
        </is>
      </c>
      <c r="D97" s="44" t="inlineStr">
        <is>
          <t>Admin-Templates</t>
        </is>
      </c>
      <c r="E97" s="44" t="inlineStr">
        <is>
          <t>Upload .docx corrupt (zip hỏng) → 400</t>
        </is>
      </c>
      <c r="F97" s="41" t="inlineStr">
        <is>
          <t>PizZip throw</t>
        </is>
      </c>
      <c r="G97" s="41" t="inlineStr">
        <is>
          <t>Negative</t>
        </is>
      </c>
      <c r="H97" s="41" t="inlineStr">
        <is>
          <t>Low</t>
        </is>
      </c>
      <c r="I97" s="44" t="inlineStr">
        <is>
          <t>ADMIN</t>
        </is>
      </c>
      <c r="J97" s="44" t="inlineStr">
        <is>
          <t>1. Upload file .docx bytes hỏng</t>
        </is>
      </c>
      <c r="K97" s="44" t="inlineStr"/>
      <c r="L97" s="44" t="inlineStr"/>
      <c r="M97" s="44" t="inlineStr">
        <is>
          <t>400 không phải docx hợp lệ (PizZip throw → catch)</t>
        </is>
      </c>
      <c r="N97" s="44" t="inlineStr"/>
      <c r="O97" s="44" t="inlineStr"/>
      <c r="P97" s="41" t="inlineStr">
        <is>
          <t>Medium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47" t="inlineStr">
        <is>
          <t>RED</t>
        </is>
      </c>
      <c r="C98" s="46" t="inlineStr">
        <is>
          <t>P2</t>
        </is>
      </c>
      <c r="D98" s="44" t="inlineStr">
        <is>
          <t>Export-VuAn</t>
        </is>
      </c>
      <c r="E98" s="44" t="inlineStr">
        <is>
          <t>Export khi record vừa bị người khác xoá → 404</t>
        </is>
      </c>
      <c r="F98" s="41" t="inlineStr">
        <is>
          <t>getById race</t>
        </is>
      </c>
      <c r="G98" s="41" t="inlineStr">
        <is>
          <t>Negative</t>
        </is>
      </c>
      <c r="H98" s="41" t="inlineStr">
        <is>
          <t>Low</t>
        </is>
      </c>
      <c r="I98" s="44" t="inlineStr">
        <is>
          <t>Case bị DELETE giữa lúc mở modal</t>
        </is>
      </c>
      <c r="J98" s="44" t="inlineStr">
        <is>
          <t>1. Mở modal
2. ADMIN xoá case
3. Nhấn Xuất</t>
        </is>
      </c>
      <c r="K98" s="44" t="inlineStr"/>
      <c r="L98" s="44" t="inlineStr">
        <is>
          <t>case.toA.active.D0</t>
        </is>
      </c>
      <c r="M98" s="44" t="inlineStr">
        <is>
          <t>404, modal hiện lỗi, không crash</t>
        </is>
      </c>
      <c r="N98" s="44" t="inlineStr"/>
      <c r="O98" s="44" t="inlineStr"/>
      <c r="P98" s="41" t="inlineStr">
        <is>
          <t>Medium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47" t="inlineStr">
        <is>
          <t>RED</t>
        </is>
      </c>
      <c r="C99" s="50" t="inlineStr">
        <is>
          <t>P3</t>
        </is>
      </c>
      <c r="D99" s="44" t="inlineStr">
        <is>
          <t>Export-VuAn</t>
        </is>
      </c>
      <c r="E99" s="44" t="inlineStr">
        <is>
          <t>filename header thiếu → FE fallback ChungTu.docx</t>
        </is>
      </c>
      <c r="F99" s="41" t="inlineStr">
        <is>
          <t>resolveFilename fallback</t>
        </is>
      </c>
      <c r="G99" s="41" t="inlineStr">
        <is>
          <t>Negative</t>
        </is>
      </c>
      <c r="H99" s="41" t="inlineStr">
        <is>
          <t>Low</t>
        </is>
      </c>
      <c r="I99" s="44" t="inlineStr">
        <is>
          <t>Response thiếu content-disposition</t>
        </is>
      </c>
      <c r="J99" s="44" t="inlineStr">
        <is>
          <t>1. Mô phỏng response không header</t>
        </is>
      </c>
      <c r="K99" s="44" t="inlineStr"/>
      <c r="L99" s="44" t="inlineStr"/>
      <c r="M99" s="44" t="inlineStr">
        <is>
          <t>File tải tên ChungTu.docx (merged) / ChungTu.zip (zip)</t>
        </is>
      </c>
      <c r="N99" s="44" t="inlineStr"/>
      <c r="O99" s="44" t="inlineStr"/>
      <c r="P99" s="41" t="inlineStr">
        <is>
          <t>Low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47" t="inlineStr">
        <is>
          <t>RED</t>
        </is>
      </c>
      <c r="C100" s="43" t="inlineStr">
        <is>
          <t>P0</t>
        </is>
      </c>
      <c r="D100" s="44" t="inlineStr">
        <is>
          <t>Export-VuViec</t>
        </is>
      </c>
      <c r="E100" s="44" t="inlineStr">
        <is>
          <t>GET /incidents/export-templates KHÔNG trả mẫu VU_AN</t>
        </is>
      </c>
      <c r="F100" s="41" t="inlineStr">
        <is>
          <t>entityType filter VU_VIEC</t>
        </is>
      </c>
      <c r="G100" s="41" t="inlineStr">
        <is>
          <t>Negative</t>
        </is>
      </c>
      <c r="H100" s="41" t="inlineStr">
        <is>
          <t>Medium</t>
        </is>
      </c>
      <c r="I100" s="44" t="inlineStr">
        <is>
          <t>Có mẫu VU_AN + VU_VIEC</t>
        </is>
      </c>
      <c r="J100" s="44" t="inlineStr">
        <is>
          <t>1. GET /incidents/export-templates</t>
        </is>
      </c>
      <c r="K100" s="44" t="inlineStr"/>
      <c r="L100" s="44" t="inlineStr">
        <is>
          <t>template.vuan.active.D0, template.vuviec.active.D0</t>
        </is>
      </c>
      <c r="M100" s="44" t="inlineStr">
        <is>
          <t>Chỉ trả mẫu VU_VIEC, không lẫn VU_AN</t>
        </is>
      </c>
      <c r="N100" s="44" t="inlineStr"/>
      <c r="O100" s="44" t="inlineStr"/>
      <c r="P100" s="41" t="inlineStr">
        <is>
          <t>High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>
        <is>
          <t>Cách ly entity</t>
        </is>
      </c>
    </row>
    <row r="101" ht="80" customHeight="1">
      <c r="A101" s="41" t="inlineStr">
        <is>
          <t>TC-098</t>
        </is>
      </c>
      <c r="B101" s="47" t="inlineStr">
        <is>
          <t>RED</t>
        </is>
      </c>
      <c r="C101" s="43" t="inlineStr">
        <is>
          <t>P0</t>
        </is>
      </c>
      <c r="D101" s="44" t="inlineStr">
        <is>
          <t>Export-VuAn</t>
        </is>
      </c>
      <c r="E101" s="44" t="inlineStr">
        <is>
          <t>GET /cases/export-templates KHÔNG trả mẫu VU_VIEC/DON_THU</t>
        </is>
      </c>
      <c r="F101" s="41" t="inlineStr">
        <is>
          <t>entityType filter VU_AN</t>
        </is>
      </c>
      <c r="G101" s="41" t="inlineStr">
        <is>
          <t>Negative</t>
        </is>
      </c>
      <c r="H101" s="41" t="inlineStr">
        <is>
          <t>Medium</t>
        </is>
      </c>
      <c r="I101" s="44" t="inlineStr">
        <is>
          <t>Có mẫu nhiều loại</t>
        </is>
      </c>
      <c r="J101" s="44" t="inlineStr">
        <is>
          <t>1. GET /cases/export-templates</t>
        </is>
      </c>
      <c r="K101" s="44" t="inlineStr"/>
      <c r="L101" s="44" t="inlineStr">
        <is>
          <t>template.vuviec.active.D0</t>
        </is>
      </c>
      <c r="M101" s="44" t="inlineStr">
        <is>
          <t>Chỉ trả VU_AN</t>
        </is>
      </c>
      <c r="N101" s="44" t="inlineStr"/>
      <c r="O101" s="44" t="inlineStr"/>
      <c r="P101" s="41" t="inlineStr">
        <is>
          <t>High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47" t="inlineStr">
        <is>
          <t>RED</t>
        </is>
      </c>
      <c r="C102" s="46" t="inlineStr">
        <is>
          <t>P2</t>
        </is>
      </c>
      <c r="D102" s="44" t="inlineStr">
        <is>
          <t>Admin-Templates</t>
        </is>
      </c>
      <c r="E102" s="44" t="inlineStr">
        <is>
          <t>Tạo mẫu code trùng nhưng entityType KHÁC → cho phép</t>
        </is>
      </c>
      <c r="F102" s="41" t="inlineStr">
        <is>
          <t>partial unique [entityType,code]</t>
        </is>
      </c>
      <c r="G102" s="41" t="inlineStr">
        <is>
          <t>Negative (đảo)</t>
        </is>
      </c>
      <c r="H102" s="41" t="inlineStr">
        <is>
          <t>Low</t>
        </is>
      </c>
      <c r="I102" s="44" t="inlineStr">
        <is>
          <t>Có QD-01 VU_AN</t>
        </is>
      </c>
      <c r="J102" s="44" t="inlineStr">
        <is>
          <t>1. Tạo QD-01 VU_VIEC</t>
        </is>
      </c>
      <c r="K102" s="44" t="inlineStr"/>
      <c r="L102" s="44" t="inlineStr">
        <is>
          <t>template.vuan.active.D0</t>
        </is>
      </c>
      <c r="M102" s="44" t="inlineStr">
        <is>
          <t>201 (unique theo cặp entityType+code, không xung đột)</t>
        </is>
      </c>
      <c r="N102" s="44" t="inlineStr"/>
      <c r="O102" s="44" t="inlineStr"/>
      <c r="P102" s="41" t="inlineStr">
        <is>
          <t>Medium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47" t="inlineStr">
        <is>
          <t>RED</t>
        </is>
      </c>
      <c r="C103" s="46" t="inlineStr">
        <is>
          <t>P2</t>
        </is>
      </c>
      <c r="D103" s="44" t="inlineStr">
        <is>
          <t>Admin-Templates</t>
        </is>
      </c>
      <c r="E103" s="44" t="inlineStr">
        <is>
          <t>Tạo mẫu code trùng với mẫu đã soft-delete → cho phép (reuse)</t>
        </is>
      </c>
      <c r="F103" s="41" t="inlineStr">
        <is>
          <t>partial unique WHERE deletedAt null</t>
        </is>
      </c>
      <c r="G103" s="41" t="inlineStr">
        <is>
          <t>Negative (đảo)</t>
        </is>
      </c>
      <c r="H103" s="41" t="inlineStr">
        <is>
          <t>Low</t>
        </is>
      </c>
      <c r="I103" s="44" t="inlineStr">
        <is>
          <t>Mẫu QD-01 đã DELETE</t>
        </is>
      </c>
      <c r="J103" s="44" t="inlineStr">
        <is>
          <t>1. Tạo lại QD-01 cùng entityType</t>
        </is>
      </c>
      <c r="K103" s="44" t="inlineStr"/>
      <c r="L103" s="44" t="inlineStr">
        <is>
          <t>template.vuan.deleted.D0</t>
        </is>
      </c>
      <c r="M103" s="44" t="inlineStr">
        <is>
          <t>201 (partial index bỏ qua row deletedAt)</t>
        </is>
      </c>
      <c r="N103" s="44" t="inlineStr"/>
      <c r="O103" s="44" t="inlineStr"/>
      <c r="P103" s="41" t="inlineStr">
        <is>
          <t>Medium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47" t="inlineStr">
        <is>
          <t>RED</t>
        </is>
      </c>
      <c r="C104" s="43" t="inlineStr">
        <is>
          <t>P0</t>
        </is>
      </c>
      <c r="D104" s="44" t="inlineStr">
        <is>
          <t>Export-VuAn</t>
        </is>
      </c>
      <c r="E104" s="44" t="inlineStr">
        <is>
          <t>1 mẫu lỗi render trong lô gộp → toàn bộ tx rollback (atomic, no-gap)</t>
        </is>
      </c>
      <c r="F104" s="41" t="inlineStr">
        <is>
          <t>$transaction atomic</t>
        </is>
      </c>
      <c r="G104" s="41" t="inlineStr">
        <is>
          <t>Negative atomic</t>
        </is>
      </c>
      <c r="H104" s="41" t="inlineStr">
        <is>
          <t>High</t>
        </is>
      </c>
      <c r="I104" s="44" t="inlineStr">
        <is>
          <t>2 mẫu, 1 mẫu cấp số lỗi</t>
        </is>
      </c>
      <c r="J104" s="44" t="inlineStr">
        <is>
          <t>1. Export [mẫu_ok, mẫu_loi] merged</t>
        </is>
      </c>
      <c r="K104" s="44" t="inlineStr"/>
      <c r="L104" s="44" t="inlineStr">
        <is>
          <t>case.toA.active.D0, template.vuan.needsnumber.D0</t>
        </is>
      </c>
      <c r="M104" s="44" t="inlineStr">
        <is>
          <t>Lỗi → rollback HẾT: số đã cấp cho mẫu_ok cũng hoàn, không file trả về, không gap số</t>
        </is>
      </c>
      <c r="N104" s="44" t="inlineStr"/>
      <c r="O104" s="44" t="inlineStr"/>
      <c r="P104" s="41" t="inlineStr">
        <is>
          <t>Critical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>
        <is>
          <t>Lõi atomic</t>
        </is>
      </c>
    </row>
    <row r="105" ht="80" customHeight="1">
      <c r="A105" s="41" t="inlineStr">
        <is>
          <t>TC-102</t>
        </is>
      </c>
      <c r="B105" s="47" t="inlineStr">
        <is>
          <t>RED</t>
        </is>
      </c>
      <c r="C105" s="43" t="inlineStr">
        <is>
          <t>P0</t>
        </is>
      </c>
      <c r="D105" s="44" t="inlineStr">
        <is>
          <t>Export-VuAn</t>
        </is>
      </c>
      <c r="E105" s="44" t="inlineStr">
        <is>
          <t>Lỗi nén ZIP (archiver) → rollback số trong tx</t>
        </is>
      </c>
      <c r="F105" s="41" t="inlineStr">
        <is>
          <t>finalize trong tx</t>
        </is>
      </c>
      <c r="G105" s="41" t="inlineStr">
        <is>
          <t>Negative</t>
        </is>
      </c>
      <c r="H105" s="41" t="inlineStr">
        <is>
          <t>Medium</t>
        </is>
      </c>
      <c r="I105" s="44" t="inlineStr">
        <is>
          <t>Mẫu cấp số mode=zip, mô phỏng archiver error</t>
        </is>
      </c>
      <c r="J105" s="44" t="inlineStr">
        <is>
          <t>1. Export zip gặp lỗi nén</t>
        </is>
      </c>
      <c r="K105" s="44" t="inlineStr"/>
      <c r="L105" s="44" t="inlineStr">
        <is>
          <t>case.toA.active.D0</t>
        </is>
      </c>
      <c r="M105" s="44" t="inlineStr">
        <is>
          <t>Số cấp bị rollback (finalize nằm trong tx)</t>
        </is>
      </c>
      <c r="N105" s="44" t="inlineStr"/>
      <c r="O105" s="44" t="inlineStr"/>
      <c r="P105" s="41" t="inlineStr">
        <is>
          <t>High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47" t="inlineStr">
        <is>
          <t>RED</t>
        </is>
      </c>
      <c r="C106" s="46" t="inlineStr">
        <is>
          <t>P2</t>
        </is>
      </c>
      <c r="D106" s="44" t="inlineStr">
        <is>
          <t>Admin-Templates</t>
        </is>
      </c>
      <c r="E106" s="44" t="inlineStr">
        <is>
          <t>PATCH update code trùng → hiện chưa catch P2002 (gap)</t>
        </is>
      </c>
      <c r="F106" s="41" t="inlineStr">
        <is>
          <t>update P2002</t>
        </is>
      </c>
      <c r="G106" s="41" t="inlineStr">
        <is>
          <t>Negative</t>
        </is>
      </c>
      <c r="H106" s="41" t="inlineStr">
        <is>
          <t>Medium</t>
        </is>
      </c>
      <c r="I106" s="44" t="inlineStr">
        <is>
          <t>Có 2 mẫu A,B cùng entityType</t>
        </is>
      </c>
      <c r="J106" s="44" t="inlineStr">
        <is>
          <t>1. PATCH B set code = code của A</t>
        </is>
      </c>
      <c r="K106" s="44" t="inlineStr"/>
      <c r="L106" s="44" t="inlineStr">
        <is>
          <t>template.vuan.active.D0</t>
        </is>
      </c>
      <c r="M106" s="44" t="inlineStr">
        <is>
          <t>HIỆN TẠI: P2002 → 500 thô (update chưa catch). KHUYẾN NGHỊ: catch → 409 như create</t>
        </is>
      </c>
      <c r="N106" s="44" t="inlineStr"/>
      <c r="O106" s="44" t="inlineStr"/>
      <c r="P106" s="41" t="inlineStr">
        <is>
          <t>Medium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>
        <is>
          <t>Gap UAT — backlog</t>
        </is>
      </c>
    </row>
    <row r="107" ht="80" customHeight="1">
      <c r="A107" s="41" t="inlineStr">
        <is>
          <t>TC-104</t>
        </is>
      </c>
      <c r="B107" s="47" t="inlineStr">
        <is>
          <t>RED</t>
        </is>
      </c>
      <c r="C107" s="45" t="inlineStr">
        <is>
          <t>P1</t>
        </is>
      </c>
      <c r="D107" s="44" t="inlineStr">
        <is>
          <t>Admin-Templates</t>
        </is>
      </c>
      <c r="E107" s="44" t="inlineStr">
        <is>
          <t>needsNumber gửi string 'false' (multipart) → parse đúng = false</t>
        </is>
      </c>
      <c r="F107" s="41" t="inlineStr">
        <is>
          <t>@Transform bool</t>
        </is>
      </c>
      <c r="G107" s="41" t="inlineStr">
        <is>
          <t>Negative</t>
        </is>
      </c>
      <c r="H107" s="41" t="inlineStr">
        <is>
          <t>Medium</t>
        </is>
      </c>
      <c r="I107" s="44" t="inlineStr">
        <is>
          <t>ADMIN</t>
        </is>
      </c>
      <c r="J107" s="44" t="inlineStr">
        <is>
          <t>1. multipart needsNumber='false'</t>
        </is>
      </c>
      <c r="K107" s="44" t="inlineStr">
        <is>
          <t>'false'</t>
        </is>
      </c>
      <c r="L107" s="44" t="inlineStr"/>
      <c r="M107" s="44" t="inlineStr">
        <is>
          <t>needsNumber=false (KHÔNG bị Boolean('false')=true)</t>
        </is>
      </c>
      <c r="N107" s="44" t="inlineStr"/>
      <c r="O107" s="44" t="inlineStr"/>
      <c r="P107" s="41" t="inlineStr">
        <is>
          <t>High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>
        <is>
          <t>codex P2 PR1</t>
        </is>
      </c>
    </row>
    <row r="108" ht="80" customHeight="1">
      <c r="A108" s="41" t="inlineStr">
        <is>
          <t>TC-105</t>
        </is>
      </c>
      <c r="B108" s="47" t="inlineStr">
        <is>
          <t>RED</t>
        </is>
      </c>
      <c r="C108" s="50" t="inlineStr">
        <is>
          <t>P3</t>
        </is>
      </c>
      <c r="D108" s="44" t="inlineStr">
        <is>
          <t>Admin-Templates</t>
        </is>
      </c>
      <c r="E108" s="44" t="inlineStr">
        <is>
          <t>sortOrder gửi 'abc' (không phải số) → 400 IsInt</t>
        </is>
      </c>
      <c r="F108" s="41" t="inlineStr">
        <is>
          <t>@IsInt</t>
        </is>
      </c>
      <c r="G108" s="41" t="inlineStr">
        <is>
          <t>Negative</t>
        </is>
      </c>
      <c r="H108" s="41" t="inlineStr">
        <is>
          <t>Low</t>
        </is>
      </c>
      <c r="I108" s="44" t="inlineStr">
        <is>
          <t>ADMIN</t>
        </is>
      </c>
      <c r="J108" s="44" t="inlineStr">
        <is>
          <t>1. sortOrder='abc'</t>
        </is>
      </c>
      <c r="K108" s="44" t="inlineStr">
        <is>
          <t>abc</t>
        </is>
      </c>
      <c r="L108" s="44" t="inlineStr"/>
      <c r="M108" s="44" t="inlineStr">
        <is>
          <t>400</t>
        </is>
      </c>
      <c r="N108" s="44" t="inlineStr"/>
      <c r="O108" s="44" t="inlineStr"/>
      <c r="P108" s="41" t="inlineStr">
        <is>
          <t>Low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47" t="inlineStr">
        <is>
          <t>RED</t>
        </is>
      </c>
      <c r="C109" s="50" t="inlineStr">
        <is>
          <t>P3</t>
        </is>
      </c>
      <c r="D109" s="44" t="inlineStr">
        <is>
          <t>Export-VuAn</t>
        </is>
      </c>
      <c r="E109" s="44" t="inlineStr">
        <is>
          <t>Export body không phải JSON → 400</t>
        </is>
      </c>
      <c r="F109" s="41" t="inlineStr">
        <is>
          <t>body parse</t>
        </is>
      </c>
      <c r="G109" s="41" t="inlineStr">
        <is>
          <t>Negative</t>
        </is>
      </c>
      <c r="H109" s="41" t="inlineStr">
        <is>
          <t>Low</t>
        </is>
      </c>
      <c r="I109" s="44" t="inlineStr">
        <is>
          <t>OFF1</t>
        </is>
      </c>
      <c r="J109" s="44" t="inlineStr">
        <is>
          <t>1. POST export body='not json'</t>
        </is>
      </c>
      <c r="K109" s="44" t="inlineStr"/>
      <c r="L109" s="44" t="inlineStr">
        <is>
          <t>case.toA.active.D0</t>
        </is>
      </c>
      <c r="M109" s="44" t="inlineStr">
        <is>
          <t>400</t>
        </is>
      </c>
      <c r="N109" s="44" t="inlineStr"/>
      <c r="O109" s="44" t="inlineStr"/>
      <c r="P109" s="41" t="inlineStr">
        <is>
          <t>Low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/>
    </row>
    <row r="110" ht="80" customHeight="1">
      <c r="A110" s="41" t="inlineStr">
        <is>
          <t>TC-107</t>
        </is>
      </c>
      <c r="B110" s="47" t="inlineStr">
        <is>
          <t>RED</t>
        </is>
      </c>
      <c r="C110" s="50" t="inlineStr">
        <is>
          <t>P3</t>
        </is>
      </c>
      <c r="D110" s="44" t="inlineStr">
        <is>
          <t>Export-VuAn</t>
        </is>
      </c>
      <c r="E110" s="44" t="inlineStr">
        <is>
          <t>manualValues rất lớn (vd 500 key) → xử lý không crash</t>
        </is>
      </c>
      <c r="F110" s="41" t="inlineStr">
        <is>
          <t>resilience</t>
        </is>
      </c>
      <c r="G110" s="41" t="inlineStr">
        <is>
          <t>Negative</t>
        </is>
      </c>
      <c r="H110" s="41" t="inlineStr">
        <is>
          <t>Low</t>
        </is>
      </c>
      <c r="I110" s="44" t="inlineStr">
        <is>
          <t>OFF1</t>
        </is>
      </c>
      <c r="J110" s="44" t="inlineStr">
        <is>
          <t>1. Export manualValues 500 cặp</t>
        </is>
      </c>
      <c r="K110" s="44" t="inlineStr"/>
      <c r="L110" s="44" t="inlineStr">
        <is>
          <t>case.toA.active.D0, template.vuan.manualvar.D0</t>
        </is>
      </c>
      <c r="M110" s="44" t="inlineStr">
        <is>
          <t>Chỉ biến trong template được dùng; không crash; thời gian hợp lý</t>
        </is>
      </c>
      <c r="N110" s="44" t="inlineStr"/>
      <c r="O110" s="44" t="inlineStr"/>
      <c r="P110" s="41" t="inlineStr">
        <is>
          <t>Low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47" t="inlineStr">
        <is>
          <t>RED</t>
        </is>
      </c>
      <c r="C111" s="46" t="inlineStr">
        <is>
          <t>P2</t>
        </is>
      </c>
      <c r="D111" s="44" t="inlineStr">
        <is>
          <t>Admin-Templates</t>
        </is>
      </c>
      <c r="E111" s="44" t="inlineStr">
        <is>
          <t>Xoá mẫu đang được hiển thị trong modal người khác → export sau đó 400</t>
        </is>
      </c>
      <c r="F111" s="41" t="inlineStr">
        <is>
          <t>soft-delete consistency</t>
        </is>
      </c>
      <c r="G111" s="41" t="inlineStr">
        <is>
          <t>Negative</t>
        </is>
      </c>
      <c r="H111" s="41" t="inlineStr">
        <is>
          <t>Low</t>
        </is>
      </c>
      <c r="I111" s="44" t="inlineStr">
        <is>
          <t>OFF1 mở modal, ADMIN xoá 1 mẫu</t>
        </is>
      </c>
      <c r="J111" s="44" t="inlineStr">
        <is>
          <t>1. ADMIN DELETE mẫu
2. OFF1 (modal cũ) tick mẫu đó → Xuất</t>
        </is>
      </c>
      <c r="K111" s="44" t="inlineStr"/>
      <c r="L111" s="44" t="inlineStr">
        <is>
          <t>case.toA.active.D0, template.vuan.active.D0</t>
        </is>
      </c>
      <c r="M111" s="44" t="inlineStr">
        <is>
          <t>400 'không tồn tại hoặc đã bị xoá'</t>
        </is>
      </c>
      <c r="N111" s="44" t="inlineStr"/>
      <c r="O111" s="44" t="inlineStr"/>
      <c r="P111" s="41" t="inlineStr">
        <is>
          <t>Medium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47" t="inlineStr">
        <is>
          <t>RED</t>
        </is>
      </c>
      <c r="C112" s="43" t="inlineStr">
        <is>
          <t>P0</t>
        </is>
      </c>
      <c r="D112" s="44" t="inlineStr">
        <is>
          <t>RBAC</t>
        </is>
      </c>
      <c r="E112" s="44" t="inlineStr">
        <is>
          <t>Officer2 (Tổ B) export case Tổ A → 403</t>
        </is>
      </c>
      <c r="F112" s="41" t="inlineStr">
        <is>
          <t>DataScope đối xứng</t>
        </is>
      </c>
      <c r="G112" s="41" t="inlineStr">
        <is>
          <t>Negative IDOR</t>
        </is>
      </c>
      <c r="H112" s="41" t="inlineStr">
        <is>
          <t>High</t>
        </is>
      </c>
      <c r="I112" s="44" t="inlineStr">
        <is>
          <t>OFF2 Tổ B, case Tổ A</t>
        </is>
      </c>
      <c r="J112" s="44" t="inlineStr">
        <is>
          <t>1. OFF2 POST /cases/{case_A_id}/export-documents</t>
        </is>
      </c>
      <c r="K112" s="44" t="inlineStr"/>
      <c r="L112" s="44" t="inlineStr">
        <is>
          <t>case.toA.active.D0</t>
        </is>
      </c>
      <c r="M112" s="44" t="inlineStr">
        <is>
          <t>403</t>
        </is>
      </c>
      <c r="N112" s="44" t="inlineStr"/>
      <c r="O112" s="44" t="inlineStr"/>
      <c r="P112" s="41" t="inlineStr">
        <is>
          <t>Critical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47" t="inlineStr">
        <is>
          <t>RED</t>
        </is>
      </c>
      <c r="C113" s="50" t="inlineStr">
        <is>
          <t>P3</t>
        </is>
      </c>
      <c r="D113" s="44" t="inlineStr">
        <is>
          <t>Export-VuAn</t>
        </is>
      </c>
      <c r="E113" s="44" t="inlineStr">
        <is>
          <t>GET export-templates trả đúng thứ tự sortOrder asc</t>
        </is>
      </c>
      <c r="F113" s="41" t="inlineStr">
        <is>
          <t>orderBy sortOrder</t>
        </is>
      </c>
      <c r="G113" s="41" t="inlineStr">
        <is>
          <t>Negative (thứ tự)</t>
        </is>
      </c>
      <c r="H113" s="41" t="inlineStr">
        <is>
          <t>Low</t>
        </is>
      </c>
      <c r="I113" s="44" t="inlineStr">
        <is>
          <t>3 mẫu sortOrder 2,0,1</t>
        </is>
      </c>
      <c r="J113" s="44" t="inlineStr">
        <is>
          <t>1. GET /cases/export-templates</t>
        </is>
      </c>
      <c r="K113" s="44" t="inlineStr"/>
      <c r="L113" s="44" t="inlineStr">
        <is>
          <t>template.vuan.active.D0</t>
        </is>
      </c>
      <c r="M113" s="44" t="inlineStr">
        <is>
          <t>Trả theo thứ tự 0,1,2</t>
        </is>
      </c>
      <c r="N113" s="44" t="inlineStr"/>
      <c r="O113" s="44" t="inlineStr"/>
      <c r="P113" s="41" t="inlineStr">
        <is>
          <t>Low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47" t="inlineStr">
        <is>
          <t>RED</t>
        </is>
      </c>
      <c r="C114" s="50" t="inlineStr">
        <is>
          <t>P3</t>
        </is>
      </c>
      <c r="D114" s="44" t="inlineStr">
        <is>
          <t>Admin-Templates</t>
        </is>
      </c>
      <c r="E114" s="44" t="inlineStr">
        <is>
          <t>Upload kèm 2 field file → chỉ nhận field 'file'</t>
        </is>
      </c>
      <c r="F114" s="41" t="inlineStr">
        <is>
          <t>FileInterceptor('file')</t>
        </is>
      </c>
      <c r="G114" s="41" t="inlineStr">
        <is>
          <t>Negative</t>
        </is>
      </c>
      <c r="H114" s="41" t="inlineStr">
        <is>
          <t>Low</t>
        </is>
      </c>
      <c r="I114" s="44" t="inlineStr">
        <is>
          <t>ADMIN</t>
        </is>
      </c>
      <c r="J114" s="44" t="inlineStr">
        <is>
          <t>1. multipart 'file' + 'file2'</t>
        </is>
      </c>
      <c r="K114" s="44" t="inlineStr"/>
      <c r="L114" s="44" t="inlineStr"/>
      <c r="M114" s="44" t="inlineStr">
        <is>
          <t>Chỉ xử lý 'file'; field thừa bỏ qua</t>
        </is>
      </c>
      <c r="N114" s="44" t="inlineStr"/>
      <c r="O114" s="44" t="inlineStr"/>
      <c r="P114" s="41" t="inlineStr">
        <is>
          <t>Low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6" t="inlineStr">
        <is>
          <t>PERFORMANCE</t>
        </is>
      </c>
      <c r="C115" s="46" t="inlineStr">
        <is>
          <t>P2</t>
        </is>
      </c>
      <c r="D115" s="44" t="inlineStr">
        <is>
          <t>Export-VuAn</t>
        </is>
      </c>
      <c r="E115" s="44" t="inlineStr">
        <is>
          <t>Export 1 mẫu gộp &lt; 3s</t>
        </is>
      </c>
      <c r="F115" s="41" t="inlineStr">
        <is>
          <t>perf single</t>
        </is>
      </c>
      <c r="G115" s="41" t="inlineStr">
        <is>
          <t>Performance</t>
        </is>
      </c>
      <c r="H115" s="41" t="inlineStr">
        <is>
          <t>Low</t>
        </is>
      </c>
      <c r="I115" s="44" t="inlineStr">
        <is>
          <t>OFF1</t>
        </is>
      </c>
      <c r="J115" s="44" t="inlineStr">
        <is>
          <t>1. Đo thời gian POST export 1 mẫu → nhận blob</t>
        </is>
      </c>
      <c r="K115" s="44" t="inlineStr"/>
      <c r="L115" s="44" t="inlineStr">
        <is>
          <t>case.toA.active.D0, template.vuan.active.D0</t>
        </is>
      </c>
      <c r="M115" s="44" t="inlineStr">
        <is>
          <t>&lt; 3s (P95)</t>
        </is>
      </c>
      <c r="N115" s="44" t="inlineStr"/>
      <c r="O115" s="44" t="inlineStr"/>
      <c r="P115" s="41" t="inlineStr">
        <is>
          <t>Medium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6" t="inlineStr">
        <is>
          <t>PERFORMANCE</t>
        </is>
      </c>
      <c r="C116" s="46" t="inlineStr">
        <is>
          <t>P2</t>
        </is>
      </c>
      <c r="D116" s="44" t="inlineStr">
        <is>
          <t>Export-VuAn</t>
        </is>
      </c>
      <c r="E116" s="44" t="inlineStr">
        <is>
          <t>Export 10 mẫu ZIP &lt; 8s</t>
        </is>
      </c>
      <c r="F116" s="41" t="inlineStr">
        <is>
          <t>perf zip</t>
        </is>
      </c>
      <c r="G116" s="41" t="inlineStr">
        <is>
          <t>Performance</t>
        </is>
      </c>
      <c r="H116" s="41" t="inlineStr">
        <is>
          <t>Low</t>
        </is>
      </c>
      <c r="I116" s="44" t="inlineStr">
        <is>
          <t>10 mẫu</t>
        </is>
      </c>
      <c r="J116" s="44" t="inlineStr">
        <is>
          <t>1. Đo export 10 mẫu zip (zlib level 9)</t>
        </is>
      </c>
      <c r="K116" s="44" t="inlineStr"/>
      <c r="L116" s="44" t="inlineStr">
        <is>
          <t>case.toA.active.D0</t>
        </is>
      </c>
      <c r="M116" s="44" t="inlineStr">
        <is>
          <t>&lt; 8s; cảnh báo nếu giữ row-lock lâu (P2 /review)</t>
        </is>
      </c>
      <c r="N116" s="44" t="inlineStr"/>
      <c r="O116" s="44" t="inlineStr"/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>
        <is>
          <t>theo dõi lock-in-tx</t>
        </is>
      </c>
    </row>
    <row r="117" ht="80" customHeight="1">
      <c r="A117" s="41" t="inlineStr">
        <is>
          <t>TC-114</t>
        </is>
      </c>
      <c r="B117" s="56" t="inlineStr">
        <is>
          <t>PERFORMANCE</t>
        </is>
      </c>
      <c r="C117" s="43" t="inlineStr">
        <is>
          <t>P0</t>
        </is>
      </c>
      <c r="D117" s="44" t="inlineStr">
        <is>
          <t>Export-VuAn</t>
        </is>
      </c>
      <c r="E117" s="44" t="inlineStr">
        <is>
          <t>2 export đồng thời cùng hồ sơ → không cấp số trùng, không deadlock</t>
        </is>
      </c>
      <c r="F117" s="41" t="inlineStr">
        <is>
          <t>row lock FOR UPDATE</t>
        </is>
      </c>
      <c r="G117" s="41" t="inlineStr">
        <is>
          <t>Concurrency</t>
        </is>
      </c>
      <c r="H117" s="41" t="inlineStr">
        <is>
          <t>High</t>
        </is>
      </c>
      <c r="I117" s="44" t="inlineStr">
        <is>
          <t>Mẫu cấp số</t>
        </is>
      </c>
      <c r="J117" s="44" t="inlineStr">
        <is>
          <t>1. Bắn 2 POST export song song cùng case_A</t>
        </is>
      </c>
      <c r="K117" s="44" t="inlineStr"/>
      <c r="L117" s="44" t="inlineStr">
        <is>
          <t>case.toA.active.D0, template.vuan.needsnumber.D0</t>
        </is>
      </c>
      <c r="M117" s="44" t="inlineStr">
        <is>
          <t>2 số khác nhau tuần tự, không trùng, không deadlock (row lock serialize)</t>
        </is>
      </c>
      <c r="N117" s="44" t="inlineStr"/>
      <c r="O117" s="44" t="inlineStr"/>
      <c r="P117" s="41" t="inlineStr">
        <is>
          <t>Critical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6" t="inlineStr">
        <is>
          <t>PERFORMANCE</t>
        </is>
      </c>
      <c r="C118" s="46" t="inlineStr">
        <is>
          <t>P2</t>
        </is>
      </c>
      <c r="D118" s="44" t="inlineStr">
        <is>
          <t>Export-VuAn</t>
        </is>
      </c>
      <c r="E118" s="44" t="inlineStr">
        <is>
          <t>GET export-templates với 50 mẫu &lt; 500ms (omit fileBytes)</t>
        </is>
      </c>
      <c r="F118" s="41" t="inlineStr">
        <is>
          <t>perf list</t>
        </is>
      </c>
      <c r="G118" s="41" t="inlineStr">
        <is>
          <t>Performance</t>
        </is>
      </c>
      <c r="H118" s="41" t="inlineStr">
        <is>
          <t>Low</t>
        </is>
      </c>
      <c r="I118" s="44" t="inlineStr">
        <is>
          <t>50 mẫu VU_AN</t>
        </is>
      </c>
      <c r="J118" s="44" t="inlineStr">
        <is>
          <t>1. Đo GET /cases/export-templates</t>
        </is>
      </c>
      <c r="K118" s="44" t="inlineStr"/>
      <c r="L118" s="44" t="inlineStr"/>
      <c r="M118" s="44" t="inlineStr">
        <is>
          <t>&lt; 500ms (không tải fileBytes)</t>
        </is>
      </c>
      <c r="N118" s="44" t="inlineStr"/>
      <c r="O118" s="44" t="inlineStr"/>
      <c r="P118" s="41" t="inlineStr">
        <is>
          <t>Medium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57" t="inlineStr">
        <is>
          <t>A11Y</t>
        </is>
      </c>
      <c r="C119" s="46" t="inlineStr">
        <is>
          <t>P2</t>
        </is>
      </c>
      <c r="D119" s="44" t="inlineStr">
        <is>
          <t>Export-VuAn</t>
        </is>
      </c>
      <c r="E119" s="44" t="inlineStr">
        <is>
          <t>Modal có role=dialog + aria-modal=true</t>
        </is>
      </c>
      <c r="F119" s="41" t="inlineStr">
        <is>
          <t>WCAG 4.1.2</t>
        </is>
      </c>
      <c r="G119" s="41" t="inlineStr">
        <is>
          <t>A11Y</t>
        </is>
      </c>
      <c r="H119" s="41" t="inlineStr">
        <is>
          <t>Low</t>
        </is>
      </c>
      <c r="I119" s="44" t="inlineStr">
        <is>
          <t>Modal mở</t>
        </is>
      </c>
      <c r="J119" s="44" t="inlineStr">
        <is>
          <t>1. Inspect modal</t>
        </is>
      </c>
      <c r="K119" s="44" t="inlineStr"/>
      <c r="L119" s="44" t="inlineStr">
        <is>
          <t>case.toA.active.D0</t>
        </is>
      </c>
      <c r="M119" s="44" t="inlineStr">
        <is>
          <t>role='dialog' aria-modal='true'</t>
        </is>
      </c>
      <c r="N119" s="44" t="inlineStr"/>
      <c r="O119" s="44" t="inlineStr"/>
      <c r="P119" s="41" t="inlineStr">
        <is>
          <t>Medium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7" t="inlineStr">
        <is>
          <t>A11Y</t>
        </is>
      </c>
      <c r="C120" s="46" t="inlineStr">
        <is>
          <t>P2</t>
        </is>
      </c>
      <c r="D120" s="44" t="inlineStr">
        <is>
          <t>Export-VuAn</t>
        </is>
      </c>
      <c r="E120" s="44" t="inlineStr">
        <is>
          <t>Nút đóng (X) có aria-label='Đóng'</t>
        </is>
      </c>
      <c r="F120" s="41" t="inlineStr">
        <is>
          <t>WCAG 4.1.2 name</t>
        </is>
      </c>
      <c r="G120" s="41" t="inlineStr">
        <is>
          <t>A11Y</t>
        </is>
      </c>
      <c r="H120" s="41" t="inlineStr">
        <is>
          <t>Low</t>
        </is>
      </c>
      <c r="I120" s="44" t="inlineStr">
        <is>
          <t>Modal mở</t>
        </is>
      </c>
      <c r="J120" s="44" t="inlineStr">
        <is>
          <t>1. Inspect nút X</t>
        </is>
      </c>
      <c r="K120" s="44" t="inlineStr"/>
      <c r="L120" s="44" t="inlineStr">
        <is>
          <t>case.toA.active.D0</t>
        </is>
      </c>
      <c r="M120" s="44" t="inlineStr">
        <is>
          <t>aria-label='Đóng'</t>
        </is>
      </c>
      <c r="N120" s="44" t="inlineStr"/>
      <c r="O120" s="44" t="inlineStr"/>
      <c r="P120" s="41" t="inlineStr">
        <is>
          <t>Medium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7" t="inlineStr">
        <is>
          <t>A11Y</t>
        </is>
      </c>
      <c r="C121" s="46" t="inlineStr">
        <is>
          <t>P2</t>
        </is>
      </c>
      <c r="D121" s="44" t="inlineStr">
        <is>
          <t>Export-VuAn</t>
        </is>
      </c>
      <c r="E121" s="44" t="inlineStr">
        <is>
          <t>Checkbox mẫu liên kết label (click text toggle)</t>
        </is>
      </c>
      <c r="F121" s="41" t="inlineStr">
        <is>
          <t>WCAG 1.3.1/3.3.2</t>
        </is>
      </c>
      <c r="G121" s="41" t="inlineStr">
        <is>
          <t>A11Y</t>
        </is>
      </c>
      <c r="H121" s="41" t="inlineStr">
        <is>
          <t>Low</t>
        </is>
      </c>
      <c r="I121" s="44" t="inlineStr">
        <is>
          <t>Modal mở</t>
        </is>
      </c>
      <c r="J121" s="44" t="inlineStr">
        <is>
          <t>1. Click vào text tên mẫu</t>
        </is>
      </c>
      <c r="K121" s="44" t="inlineStr"/>
      <c r="L121" s="44" t="inlineStr">
        <is>
          <t>case.toA.active.D0, template.vuan.active.D0</t>
        </is>
      </c>
      <c r="M121" s="44" t="inlineStr">
        <is>
          <t>Checkbox toggle (label bao input)</t>
        </is>
      </c>
      <c r="N121" s="44" t="inlineStr"/>
      <c r="O121" s="44" t="inlineStr"/>
      <c r="P121" s="41" t="inlineStr">
        <is>
          <t>Medium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7" t="inlineStr">
        <is>
          <t>A11Y</t>
        </is>
      </c>
      <c r="C122" s="45" t="inlineStr">
        <is>
          <t>P1</t>
        </is>
      </c>
      <c r="D122" s="44" t="inlineStr">
        <is>
          <t>Export-VuAn</t>
        </is>
      </c>
      <c r="E122" s="44" t="inlineStr">
        <is>
          <t>Keyboard: Tab tới checkbox, Space toggle, Enter xuất</t>
        </is>
      </c>
      <c r="F122" s="41" t="inlineStr">
        <is>
          <t>WCAG 2.1.1 keyboard</t>
        </is>
      </c>
      <c r="G122" s="41" t="inlineStr">
        <is>
          <t>A11Y</t>
        </is>
      </c>
      <c r="H122" s="41" t="inlineStr">
        <is>
          <t>Medium</t>
        </is>
      </c>
      <c r="I122" s="44" t="inlineStr">
        <is>
          <t>Modal mở</t>
        </is>
      </c>
      <c r="J122" s="44" t="inlineStr">
        <is>
          <t>1. Chỉ dùng bàn phím điều hướng + thao tác</t>
        </is>
      </c>
      <c r="K122" s="44" t="inlineStr"/>
      <c r="L122" s="44" t="inlineStr">
        <is>
          <t>case.toA.active.D0, template.vuan.active.D0</t>
        </is>
      </c>
      <c r="M122" s="44" t="inlineStr">
        <is>
          <t>Tab focus được mọi control, Space tick, kích hoạt nút Xuất bằng Enter</t>
        </is>
      </c>
      <c r="N122" s="44" t="inlineStr"/>
      <c r="O122" s="44" t="inlineStr"/>
      <c r="P122" s="41" t="inlineStr">
        <is>
          <t>High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7" t="inlineStr">
        <is>
          <t>A11Y</t>
        </is>
      </c>
      <c r="C123" s="50" t="inlineStr">
        <is>
          <t>P3</t>
        </is>
      </c>
      <c r="D123" s="44" t="inlineStr">
        <is>
          <t>Export-VuAn</t>
        </is>
      </c>
      <c r="E123" s="44" t="inlineStr">
        <is>
          <t>Radio định dạng có legend 'Định dạng xuất'</t>
        </is>
      </c>
      <c r="F123" s="41" t="inlineStr">
        <is>
          <t>WCAG 1.3.1 group</t>
        </is>
      </c>
      <c r="G123" s="41" t="inlineStr">
        <is>
          <t>A11Y</t>
        </is>
      </c>
      <c r="H123" s="41" t="inlineStr">
        <is>
          <t>Low</t>
        </is>
      </c>
      <c r="I123" s="44" t="inlineStr">
        <is>
          <t>Modal mở</t>
        </is>
      </c>
      <c r="J123" s="44" t="inlineStr">
        <is>
          <t>1. Inspect fieldset</t>
        </is>
      </c>
      <c r="K123" s="44" t="inlineStr"/>
      <c r="L123" s="44" t="inlineStr">
        <is>
          <t>case.toA.active.D0</t>
        </is>
      </c>
      <c r="M123" s="44" t="inlineStr">
        <is>
          <t>fieldset+legend nhóm 2 radio merged/zip</t>
        </is>
      </c>
      <c r="N123" s="44" t="inlineStr"/>
      <c r="O123" s="44" t="inlineStr"/>
      <c r="P123" s="41" t="inlineStr">
        <is>
          <t>Low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7" t="inlineStr">
        <is>
          <t>A11Y</t>
        </is>
      </c>
      <c r="C124" s="46" t="inlineStr">
        <is>
          <t>P2</t>
        </is>
      </c>
      <c r="D124" s="44" t="inlineStr">
        <is>
          <t>Export-VuAn</t>
        </is>
      </c>
      <c r="E124" s="44" t="inlineStr">
        <is>
          <t>Thông báo lỗi export có role=alert</t>
        </is>
      </c>
      <c r="F124" s="41" t="inlineStr">
        <is>
          <t>WCAG 4.1.3</t>
        </is>
      </c>
      <c r="G124" s="41" t="inlineStr">
        <is>
          <t>A11Y</t>
        </is>
      </c>
      <c r="H124" s="41" t="inlineStr">
        <is>
          <t>Low</t>
        </is>
      </c>
      <c r="I124" s="44" t="inlineStr">
        <is>
          <t>Export lỗi</t>
        </is>
      </c>
      <c r="J124" s="44" t="inlineStr">
        <is>
          <t>1. Gây lỗi export</t>
        </is>
      </c>
      <c r="K124" s="44" t="inlineStr"/>
      <c r="L124" s="44" t="inlineStr">
        <is>
          <t>case.toA.active.D0</t>
        </is>
      </c>
      <c r="M124" s="44" t="inlineStr">
        <is>
          <t>div lỗi role='alert' (screen reader đọc)</t>
        </is>
      </c>
      <c r="N124" s="44" t="inlineStr"/>
      <c r="O124" s="44" t="inlineStr"/>
      <c r="P124" s="41" t="inlineStr">
        <is>
          <t>Medium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57" t="inlineStr">
        <is>
          <t>A11Y</t>
        </is>
      </c>
      <c r="C125" s="50" t="inlineStr">
        <is>
          <t>P3</t>
        </is>
      </c>
      <c r="D125" s="44" t="inlineStr">
        <is>
          <t>Export-VuAn</t>
        </is>
      </c>
      <c r="E125" s="44" t="inlineStr">
        <is>
          <t>Tương phản nút Xuất file (trắng/xanh) ≥ 4.5:1</t>
        </is>
      </c>
      <c r="F125" s="41" t="inlineStr">
        <is>
          <t>WCAG 1.4.3</t>
        </is>
      </c>
      <c r="G125" s="41" t="inlineStr">
        <is>
          <t>A11Y</t>
        </is>
      </c>
      <c r="H125" s="41" t="inlineStr">
        <is>
          <t>Low</t>
        </is>
      </c>
      <c r="I125" s="44" t="inlineStr">
        <is>
          <t>Modal mở</t>
        </is>
      </c>
      <c r="J125" s="44" t="inlineStr">
        <is>
          <t>1. Đo contrast text nút</t>
        </is>
      </c>
      <c r="K125" s="44" t="inlineStr"/>
      <c r="L125" s="44" t="inlineStr"/>
      <c r="M125" s="44" t="inlineStr">
        <is>
          <t>≥ 4.5:1</t>
        </is>
      </c>
      <c r="N125" s="44" t="inlineStr"/>
      <c r="O125" s="44" t="inlineStr"/>
      <c r="P125" s="41" t="inlineStr">
        <is>
          <t>Low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58" t="inlineStr">
        <is>
          <t>COMPAT</t>
        </is>
      </c>
      <c r="C126" s="45" t="inlineStr">
        <is>
          <t>P1</t>
        </is>
      </c>
      <c r="D126" s="44" t="inlineStr">
        <is>
          <t>Export-VuAn</t>
        </is>
      </c>
      <c r="E126" s="44" t="inlineStr">
        <is>
          <t>Chrome desktop mới nhất — toàn luồng xuất</t>
        </is>
      </c>
      <c r="F126" s="41" t="inlineStr">
        <is>
          <t>browser compat</t>
        </is>
      </c>
      <c r="G126" s="41" t="inlineStr">
        <is>
          <t>Compat</t>
        </is>
      </c>
      <c r="H126" s="41" t="inlineStr">
        <is>
          <t>Medium</t>
        </is>
      </c>
      <c r="I126" s="44" t="inlineStr">
        <is>
          <t>Chrome</t>
        </is>
      </c>
      <c r="J126" s="44" t="inlineStr">
        <is>
          <t>1. Chạy luồng xuất gộp/zip</t>
        </is>
      </c>
      <c r="K126" s="44" t="inlineStr"/>
      <c r="L126" s="44" t="inlineStr">
        <is>
          <t>case.toA.active.D0, template.vuan.active.D0</t>
        </is>
      </c>
      <c r="M126" s="44" t="inlineStr">
        <is>
          <t>Tải file đúng</t>
        </is>
      </c>
      <c r="N126" s="44" t="inlineStr"/>
      <c r="O126" s="44" t="inlineStr"/>
      <c r="P126" s="41" t="inlineStr">
        <is>
          <t>High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58" t="inlineStr">
        <is>
          <t>COMPAT</t>
        </is>
      </c>
      <c r="C127" s="46" t="inlineStr">
        <is>
          <t>P2</t>
        </is>
      </c>
      <c r="D127" s="44" t="inlineStr">
        <is>
          <t>Export-VuAn</t>
        </is>
      </c>
      <c r="E127" s="44" t="inlineStr">
        <is>
          <t>Microsoft Edge — luồng xuất</t>
        </is>
      </c>
      <c r="F127" s="41" t="inlineStr">
        <is>
          <t>browser compat</t>
        </is>
      </c>
      <c r="G127" s="41" t="inlineStr">
        <is>
          <t>Compat</t>
        </is>
      </c>
      <c r="H127" s="41" t="inlineStr">
        <is>
          <t>Low</t>
        </is>
      </c>
      <c r="I127" s="44" t="inlineStr">
        <is>
          <t>Edge</t>
        </is>
      </c>
      <c r="J127" s="44" t="inlineStr">
        <is>
          <t>1. Luồng xuất</t>
        </is>
      </c>
      <c r="K127" s="44" t="inlineStr"/>
      <c r="L127" s="44" t="inlineStr">
        <is>
          <t>case.toA.active.D0</t>
        </is>
      </c>
      <c r="M127" s="44" t="inlineStr">
        <is>
          <t>OK</t>
        </is>
      </c>
      <c r="N127" s="44" t="inlineStr"/>
      <c r="O127" s="44" t="inlineStr"/>
      <c r="P127" s="41" t="inlineStr">
        <is>
          <t>Medium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58" t="inlineStr">
        <is>
          <t>COMPAT</t>
        </is>
      </c>
      <c r="C128" s="46" t="inlineStr">
        <is>
          <t>P2</t>
        </is>
      </c>
      <c r="D128" s="44" t="inlineStr">
        <is>
          <t>Export-VuAn</t>
        </is>
      </c>
      <c r="E128" s="44" t="inlineStr">
        <is>
          <t>Firefox — tải blob + filename</t>
        </is>
      </c>
      <c r="F128" s="41" t="inlineStr">
        <is>
          <t>blob download FF</t>
        </is>
      </c>
      <c r="G128" s="41" t="inlineStr">
        <is>
          <t>Compat</t>
        </is>
      </c>
      <c r="H128" s="41" t="inlineStr">
        <is>
          <t>Low</t>
        </is>
      </c>
      <c r="I128" s="44" t="inlineStr">
        <is>
          <t>Firefox</t>
        </is>
      </c>
      <c r="J128" s="44" t="inlineStr">
        <is>
          <t>1. Xuất file</t>
        </is>
      </c>
      <c r="K128" s="44" t="inlineStr"/>
      <c r="L128" s="44" t="inlineStr">
        <is>
          <t>case.toA.active.D0</t>
        </is>
      </c>
      <c r="M128" s="44" t="inlineStr">
        <is>
          <t>Tải đúng tên ChungTu_*.docx</t>
        </is>
      </c>
      <c r="N128" s="44" t="inlineStr"/>
      <c r="O128" s="44" t="inlineStr"/>
      <c r="P128" s="41" t="inlineStr">
        <is>
          <t>Medium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58" t="inlineStr">
        <is>
          <t>COMPAT</t>
        </is>
      </c>
      <c r="C129" s="46" t="inlineStr">
        <is>
          <t>P2</t>
        </is>
      </c>
      <c r="D129" s="44" t="inlineStr">
        <is>
          <t>Export-VuAn</t>
        </is>
      </c>
      <c r="E129" s="44" t="inlineStr">
        <is>
          <t>Safari macOS — filename UTF-8 + createObjectURL</t>
        </is>
      </c>
      <c r="F129" s="41" t="inlineStr">
        <is>
          <t>Safari blob</t>
        </is>
      </c>
      <c r="G129" s="41" t="inlineStr">
        <is>
          <t>Compat</t>
        </is>
      </c>
      <c r="H129" s="41" t="inlineStr">
        <is>
          <t>Medium</t>
        </is>
      </c>
      <c r="I129" s="44" t="inlineStr">
        <is>
          <t>Safari</t>
        </is>
      </c>
      <c r="J129" s="44" t="inlineStr">
        <is>
          <t>1. Xuất file tên có dấu</t>
        </is>
      </c>
      <c r="K129" s="44" t="inlineStr"/>
      <c r="L129" s="44" t="inlineStr">
        <is>
          <t>case.toA.active.D0</t>
        </is>
      </c>
      <c r="M129" s="44" t="inlineStr">
        <is>
          <t>Tải đúng, không lỗi revoke sớm</t>
        </is>
      </c>
      <c r="N129" s="44" t="inlineStr"/>
      <c r="O129" s="44" t="inlineStr"/>
      <c r="P129" s="41" t="inlineStr">
        <is>
          <t>Medium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>
        <is>
          <t>theo dõi revokeObjectURL timing</t>
        </is>
      </c>
    </row>
    <row r="130" ht="80" customHeight="1">
      <c r="A130" s="41" t="inlineStr">
        <is>
          <t>TC-127</t>
        </is>
      </c>
      <c r="B130" s="58" t="inlineStr">
        <is>
          <t>COMPAT</t>
        </is>
      </c>
      <c r="C130" s="46" t="inlineStr">
        <is>
          <t>P2</t>
        </is>
      </c>
      <c r="D130" s="44" t="inlineStr">
        <is>
          <t>Export-VuAn</t>
        </is>
      </c>
      <c r="E130" s="44" t="inlineStr">
        <is>
          <t>Mobile responsive — modal xuất trên màn hình hẹp</t>
        </is>
      </c>
      <c r="F130" s="41" t="inlineStr">
        <is>
          <t>responsive</t>
        </is>
      </c>
      <c r="G130" s="41" t="inlineStr">
        <is>
          <t>Compat</t>
        </is>
      </c>
      <c r="H130" s="41" t="inlineStr">
        <is>
          <t>Low</t>
        </is>
      </c>
      <c r="I130" s="44" t="inlineStr">
        <is>
          <t>Viewport 375px</t>
        </is>
      </c>
      <c r="J130" s="44" t="inlineStr">
        <is>
          <t>1. Mở modal trên mobile</t>
        </is>
      </c>
      <c r="K130" s="44" t="inlineStr"/>
      <c r="L130" s="44" t="inlineStr">
        <is>
          <t>case.toA.active.D0</t>
        </is>
      </c>
      <c r="M130" s="44" t="inlineStr">
        <is>
          <t>Modal max-w-lg co giãn, scroll, nút bấm được</t>
        </is>
      </c>
      <c r="N130" s="44" t="inlineStr"/>
      <c r="O130" s="44" t="inlineStr"/>
      <c r="P130" s="41" t="inlineStr">
        <is>
          <t>Medium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58" t="inlineStr">
        <is>
          <t>COMPAT</t>
        </is>
      </c>
      <c r="C131" s="45" t="inlineStr">
        <is>
          <t>P1</t>
        </is>
      </c>
      <c r="D131" s="44" t="inlineStr">
        <is>
          <t>Export-VuAn</t>
        </is>
      </c>
      <c r="E131" s="44" t="inlineStr">
        <is>
          <t>File .docx xuất mở đúng trên MS Word 365 + LibreOffice</t>
        </is>
      </c>
      <c r="F131" s="41" t="inlineStr">
        <is>
          <t>docx render</t>
        </is>
      </c>
      <c r="G131" s="41" t="inlineStr">
        <is>
          <t>Compat</t>
        </is>
      </c>
      <c r="H131" s="41" t="inlineStr">
        <is>
          <t>Medium</t>
        </is>
      </c>
      <c r="I131" s="44" t="inlineStr">
        <is>
          <t>Có file xuất</t>
        </is>
      </c>
      <c r="J131" s="44" t="inlineStr">
        <is>
          <t>1. Mở file ChungTu.docx bằng Word 365
2. Mở bằng LibreOffice Writer</t>
        </is>
      </c>
      <c r="K131" s="44" t="inlineStr"/>
      <c r="L131" s="44" t="inlineStr">
        <is>
          <t>case.toA.active.D0, template.vuan.active.D0</t>
        </is>
      </c>
      <c r="M131" s="44" t="inlineStr">
        <is>
          <t>Cả 2 mở được, placeholder đã điền, không lỗi định dạng</t>
        </is>
      </c>
      <c r="N131" s="44" t="inlineStr"/>
      <c r="O131" s="44" t="inlineStr"/>
      <c r="P131" s="41" t="inlineStr">
        <is>
          <t>High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/>
    </row>
    <row r="132" ht="80" customHeight="1">
      <c r="A132" s="41" t="inlineStr">
        <is>
          <t>TC-129</t>
        </is>
      </c>
      <c r="B132" s="58" t="inlineStr">
        <is>
          <t>COMPAT</t>
        </is>
      </c>
      <c r="C132" s="50" t="inlineStr">
        <is>
          <t>P3</t>
        </is>
      </c>
      <c r="D132" s="44" t="inlineStr">
        <is>
          <t>Export-VuAn</t>
        </is>
      </c>
      <c r="E132" s="44" t="inlineStr">
        <is>
          <t>File ZIP giải nén đúng trên Windows Explorer + 7zip</t>
        </is>
      </c>
      <c r="F132" s="41" t="inlineStr">
        <is>
          <t>zip compat</t>
        </is>
      </c>
      <c r="G132" s="41" t="inlineStr">
        <is>
          <t>Compat</t>
        </is>
      </c>
      <c r="H132" s="41" t="inlineStr">
        <is>
          <t>Low</t>
        </is>
      </c>
      <c r="I132" s="44" t="inlineStr">
        <is>
          <t>File zip xuất</t>
        </is>
      </c>
      <c r="J132" s="44" t="inlineStr">
        <is>
          <t>1. Giải nén ChungTu.zip</t>
        </is>
      </c>
      <c r="K132" s="44" t="inlineStr"/>
      <c r="L132" s="44" t="inlineStr">
        <is>
          <t>case.toA.active.D0</t>
        </is>
      </c>
      <c r="M132" s="44" t="inlineStr">
        <is>
          <t>Chứa N file .docx tên sanitize hợp lệ, mở được</t>
        </is>
      </c>
      <c r="N132" s="44" t="inlineStr"/>
      <c r="O132" s="44" t="inlineStr"/>
      <c r="P132" s="41" t="inlineStr">
        <is>
          <t>Low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/>
    </row>
  </sheetData>
  <autoFilter ref="A3:X132"/>
  <mergeCells count="2">
    <mergeCell ref="A2:X2"/>
    <mergeCell ref="A1:X1"/>
  </mergeCells>
  <conditionalFormatting sqref="R4:R132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32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32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32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32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32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ACC-ADMIN</t>
        </is>
      </c>
      <c r="B3" s="44" t="inlineStr">
        <is>
          <t>admin@pc02.local</t>
        </is>
      </c>
      <c r="C3" s="44" t="inlineStr">
        <is>
          <t>&lt;env UAT_ADMIN_PW&gt;</t>
        </is>
      </c>
      <c r="D3" s="44" t="inlineStr">
        <is>
          <t>ADMIN</t>
        </is>
      </c>
      <c r="E3" s="44" t="inlineStr">
        <is>
          <t>active</t>
        </is>
      </c>
      <c r="F3" s="44" t="inlineStr"/>
      <c r="G3" s="44" t="inlineStr">
        <is>
          <t>Có quyền Setting (quản lý mẫu) + read Case/Incident</t>
        </is>
      </c>
    </row>
    <row r="4">
      <c r="A4" s="44" t="inlineStr">
        <is>
          <t>ACC-OFF1</t>
        </is>
      </c>
      <c r="B4" s="44" t="inlineStr">
        <is>
          <t>officer1@pc02.local</t>
        </is>
      </c>
      <c r="C4" s="44" t="inlineStr">
        <is>
          <t>&lt;env UAT_OFF1_PW&gt;</t>
        </is>
      </c>
      <c r="D4" s="44" t="inlineStr">
        <is>
          <t>OFFICER</t>
        </is>
      </c>
      <c r="E4" s="44" t="inlineStr">
        <is>
          <t>active</t>
        </is>
      </c>
      <c r="F4" s="44" t="inlineStr"/>
      <c r="G4" s="44" t="inlineStr">
        <is>
          <t>Điều tra viên Tổ A — read/write Case/Incident trong scope tổ A, KHÔNG có Setting</t>
        </is>
      </c>
    </row>
    <row r="5">
      <c r="A5" s="44" t="inlineStr">
        <is>
          <t>ACC-OFF2</t>
        </is>
      </c>
      <c r="B5" s="44" t="inlineStr">
        <is>
          <t>officer2@pc02.local</t>
        </is>
      </c>
      <c r="C5" s="44" t="inlineStr">
        <is>
          <t>&lt;env UAT_OFF2_PW&gt;</t>
        </is>
      </c>
      <c r="D5" s="44" t="inlineStr">
        <is>
          <t>OFFICER</t>
        </is>
      </c>
      <c r="E5" s="44" t="inlineStr">
        <is>
          <t>active</t>
        </is>
      </c>
      <c r="F5" s="44" t="inlineStr"/>
      <c r="G5" s="44" t="inlineStr">
        <is>
          <t>Điều tra viên Tổ B — dùng test cross-tổ DataScope</t>
        </is>
      </c>
    </row>
    <row r="6">
      <c r="A6" s="44" t="inlineStr">
        <is>
          <t>ACC-ANON</t>
        </is>
      </c>
      <c r="B6" s="44" t="inlineStr"/>
      <c r="C6" s="44" t="inlineStr"/>
      <c r="D6" s="44" t="inlineStr">
        <is>
          <t>GUEST</t>
        </is>
      </c>
      <c r="E6" s="44" t="inlineStr">
        <is>
          <t>no-token</t>
        </is>
      </c>
      <c r="F6" s="44" t="inlineStr"/>
      <c r="G6" s="44" t="inlineStr">
        <is>
          <t>Không đăng nhập — test 401</t>
        </is>
      </c>
    </row>
    <row r="9" ht="25" customHeight="1">
      <c r="A9" s="59" t="inlineStr">
        <is>
          <t>2. BOUNDARY VALUES (BVA)</t>
        </is>
      </c>
    </row>
    <row r="10">
      <c r="A10" s="11" t="inlineStr">
        <is>
          <t>Field</t>
        </is>
      </c>
      <c r="B10" s="11" t="inlineStr">
        <is>
          <t>Giá trị</t>
        </is>
      </c>
      <c r="C10" s="11" t="inlineStr">
        <is>
          <t>Loại</t>
        </is>
      </c>
      <c r="D10" s="11" t="inlineStr">
        <is>
          <t>Kỳ vọng</t>
        </is>
      </c>
      <c r="E10" s="11" t="inlineStr">
        <is>
          <t>Ghi chú</t>
        </is>
      </c>
    </row>
    <row r="11">
      <c r="A11" s="44" t="inlineStr">
        <is>
          <t>file size</t>
        </is>
      </c>
      <c r="B11" s="44" t="inlineStr">
        <is>
          <t>5MB (5242880 bytes)</t>
        </is>
      </c>
      <c r="C11" s="44" t="inlineStr"/>
      <c r="D11" s="44" t="inlineStr">
        <is>
          <t>Chấp nhận (=max)</t>
        </is>
      </c>
      <c r="E11" s="44" t="inlineStr">
        <is>
          <t>max</t>
        </is>
      </c>
    </row>
    <row r="12">
      <c r="A12" s="44" t="inlineStr">
        <is>
          <t>file size</t>
        </is>
      </c>
      <c r="B12" s="44" t="inlineStr">
        <is>
          <t>5MB + 1 byte</t>
        </is>
      </c>
      <c r="C12" s="44" t="inlineStr"/>
      <c r="D12" s="44" t="inlineStr">
        <is>
          <t>Reject (413/400 quá lớn)</t>
        </is>
      </c>
      <c r="E12" s="44" t="inlineStr">
        <is>
          <t>max+1</t>
        </is>
      </c>
    </row>
    <row r="13">
      <c r="A13" s="44" t="inlineStr">
        <is>
          <t>file size</t>
        </is>
      </c>
      <c r="B13" s="44" t="inlineStr">
        <is>
          <t>0 byte</t>
        </is>
      </c>
      <c r="C13" s="44" t="inlineStr"/>
      <c r="D13" s="44" t="inlineStr">
        <is>
          <t>Reject .docx không hợp lệ</t>
        </is>
      </c>
      <c r="E13" s="44" t="inlineStr">
        <is>
          <t>min-1</t>
        </is>
      </c>
    </row>
    <row r="14">
      <c r="A14" s="44" t="inlineStr">
        <is>
          <t>code length</t>
        </is>
      </c>
      <c r="B14" s="44" t="inlineStr">
        <is>
          <t>50 ký tự</t>
        </is>
      </c>
      <c r="C14" s="44" t="inlineStr"/>
      <c r="D14" s="44" t="inlineStr">
        <is>
          <t>Chấp nhận (=MaxLength)</t>
        </is>
      </c>
      <c r="E14" s="44" t="inlineStr">
        <is>
          <t>max</t>
        </is>
      </c>
    </row>
    <row r="15">
      <c r="A15" s="44" t="inlineStr">
        <is>
          <t>code length</t>
        </is>
      </c>
      <c r="B15" s="44" t="inlineStr">
        <is>
          <t>51 ký tự</t>
        </is>
      </c>
      <c r="C15" s="44" t="inlineStr"/>
      <c r="D15" s="44" t="inlineStr">
        <is>
          <t>Reject 400 MaxLength</t>
        </is>
      </c>
      <c r="E15" s="44" t="inlineStr">
        <is>
          <t>max+1</t>
        </is>
      </c>
    </row>
    <row r="16">
      <c r="A16" s="44" t="inlineStr">
        <is>
          <t>name length</t>
        </is>
      </c>
      <c r="B16" s="44" t="inlineStr">
        <is>
          <t>255 ký tự</t>
        </is>
      </c>
      <c r="C16" s="44" t="inlineStr"/>
      <c r="D16" s="44" t="inlineStr">
        <is>
          <t>Chấp nhận</t>
        </is>
      </c>
      <c r="E16" s="44" t="inlineStr">
        <is>
          <t>max</t>
        </is>
      </c>
    </row>
    <row r="17">
      <c r="A17" s="44" t="inlineStr">
        <is>
          <t>name length</t>
        </is>
      </c>
      <c r="B17" s="44" t="inlineStr">
        <is>
          <t>256 ký tự</t>
        </is>
      </c>
      <c r="C17" s="44" t="inlineStr"/>
      <c r="D17" s="44" t="inlineStr">
        <is>
          <t>Reject 400</t>
        </is>
      </c>
      <c r="E17" s="44" t="inlineStr">
        <is>
          <t>max+1</t>
        </is>
      </c>
    </row>
    <row r="18">
      <c r="A18" s="44" t="inlineStr">
        <is>
          <t>sortOrder</t>
        </is>
      </c>
      <c r="B18" s="44" t="inlineStr">
        <is>
          <t>0</t>
        </is>
      </c>
      <c r="C18" s="44" t="inlineStr"/>
      <c r="D18" s="44" t="inlineStr">
        <is>
          <t>Chấp nhận (Min 0)</t>
        </is>
      </c>
      <c r="E18" s="44" t="inlineStr">
        <is>
          <t>min</t>
        </is>
      </c>
    </row>
    <row r="19">
      <c r="A19" s="44" t="inlineStr">
        <is>
          <t>sortOrder</t>
        </is>
      </c>
      <c r="B19" s="44" t="inlineStr">
        <is>
          <t>-1</t>
        </is>
      </c>
      <c r="C19" s="44" t="inlineStr"/>
      <c r="D19" s="44" t="inlineStr">
        <is>
          <t>Reject 400 Min</t>
        </is>
      </c>
      <c r="E19" s="44" t="inlineStr">
        <is>
          <t>min-1</t>
        </is>
      </c>
    </row>
    <row r="20">
      <c r="A20" s="44" t="inlineStr">
        <is>
          <t>templateIds</t>
        </is>
      </c>
      <c r="B20" s="44" t="inlineStr">
        <is>
          <t>[] (rỗng)</t>
        </is>
      </c>
      <c r="C20" s="44" t="inlineStr"/>
      <c r="D20" s="44" t="inlineStr">
        <is>
          <t>Reject 400 ArrayNotEmpty + nút disabled</t>
        </is>
      </c>
      <c r="E20" s="44" t="inlineStr">
        <is>
          <t>min-1</t>
        </is>
      </c>
    </row>
    <row r="21">
      <c r="A21" s="44" t="inlineStr">
        <is>
          <t>templateIds</t>
        </is>
      </c>
      <c r="B21" s="44" t="inlineStr">
        <is>
          <t>1 phần tử</t>
        </is>
      </c>
      <c r="C21" s="44" t="inlineStr"/>
      <c r="D21" s="44" t="inlineStr">
        <is>
          <t>Chấp nhận</t>
        </is>
      </c>
      <c r="E21" s="44" t="inlineStr">
        <is>
          <t>min</t>
        </is>
      </c>
    </row>
    <row r="22">
      <c r="A22" s="44" t="inlineStr">
        <is>
          <t>export Throttle</t>
        </is>
      </c>
      <c r="B22" s="44" t="inlineStr">
        <is>
          <t>6 request/60s</t>
        </is>
      </c>
      <c r="C22" s="44" t="inlineStr"/>
      <c r="D22" s="44" t="inlineStr">
        <is>
          <t>Request thứ 6 → 429</t>
        </is>
      </c>
      <c r="E22" s="44" t="inlineStr">
        <is>
          <t>max+1 throttle 5/60s</t>
        </is>
      </c>
    </row>
    <row r="25" ht="25" customHeight="1">
      <c r="A25" s="59" t="inlineStr">
        <is>
          <t>3. SECURITY PAYLOADS (OWASP)</t>
        </is>
      </c>
    </row>
    <row r="26">
      <c r="A26" s="11" t="inlineStr">
        <is>
          <t>Field/Endpoint</t>
        </is>
      </c>
      <c r="B26" s="11" t="inlineStr">
        <is>
          <t>Payload</t>
        </is>
      </c>
      <c r="C26" s="11" t="inlineStr">
        <is>
          <t>Loại tấn công</t>
        </is>
      </c>
      <c r="D26" s="11" t="inlineStr">
        <is>
          <t>Kỳ vọng</t>
        </is>
      </c>
      <c r="E26" s="11" t="inlineStr">
        <is>
          <t>OWASP Reference</t>
        </is>
      </c>
    </row>
    <row r="27">
      <c r="A27" s="44" t="inlineStr">
        <is>
          <t>POST /cases/:id/export-documents</t>
        </is>
      </c>
      <c r="B27" s="44" t="inlineStr">
        <is>
          <t>manualValues.ghiChu = "{soVuAn}{#x}{/x}"</t>
        </is>
      </c>
      <c r="C27" s="44" t="inlineStr">
        <is>
          <t>Docxtemplater template injection</t>
        </is>
      </c>
      <c r="D27" s="44" t="inlineStr">
        <is>
          <t>esc() escape { } &lt; &gt; → render literal, KHÔNG thực thi tag</t>
        </is>
      </c>
      <c r="E27" s="44" t="inlineStr">
        <is>
          <t>A03 Injection</t>
        </is>
      </c>
    </row>
    <row r="28">
      <c r="A28" s="44" t="inlineStr">
        <is>
          <t>export endpoint</t>
        </is>
      </c>
      <c r="B28" s="44" t="inlineStr">
        <is>
          <t>officer1 POST /incidents/&lt;id-thuộc-tổ-B&gt;/export-documents</t>
        </is>
      </c>
      <c r="C28" s="44" t="inlineStr">
        <is>
          <t>IDOR cross-scope</t>
        </is>
      </c>
      <c r="D28" s="44" t="inlineStr">
        <is>
          <t>403 Forbidden (DataScope chặn)</t>
        </is>
      </c>
      <c r="E28" s="44" t="inlineStr">
        <is>
          <t>A01 Broken Access Control</t>
        </is>
      </c>
    </row>
    <row r="29">
      <c r="A29" s="44" t="inlineStr">
        <is>
          <t>admin endpoint</t>
        </is>
      </c>
      <c r="B29" s="44" t="inlineStr">
        <is>
          <t>officer1 POST /document-templates (upload mẫu)</t>
        </is>
      </c>
      <c r="C29" s="44" t="inlineStr">
        <is>
          <t>Privilege escalation</t>
        </is>
      </c>
      <c r="D29" s="44" t="inlineStr">
        <is>
          <t>403 (thiếu quyền write Setting)</t>
        </is>
      </c>
      <c r="E29" s="44" t="inlineStr">
        <is>
          <t>A01</t>
        </is>
      </c>
    </row>
    <row r="30">
      <c r="A30" s="44" t="inlineStr">
        <is>
          <t>POST /document-templates</t>
        </is>
      </c>
      <c r="B30" s="44" t="inlineStr">
        <is>
          <t>file .exe đổi tên .docx + Content-Type docx</t>
        </is>
      </c>
      <c r="C30" s="44" t="inlineStr">
        <is>
          <t>Fake .docx (MIME spoof)</t>
        </is>
      </c>
      <c r="D30" s="44" t="inlineStr">
        <is>
          <t>400 assertValidDocx (thiếu word/document.xml)</t>
        </is>
      </c>
      <c r="E30" s="44" t="inlineStr">
        <is>
          <t>A08 Software/Data Integrity</t>
        </is>
      </c>
    </row>
    <row r="31">
      <c r="A31" s="44" t="inlineStr">
        <is>
          <t>upload</t>
        </is>
      </c>
      <c r="B31" s="44" t="inlineStr">
        <is>
          <t>.docx nén phình &gt; giới hạn</t>
        </is>
      </c>
      <c r="C31" s="44" t="inlineStr">
        <is>
          <t>Zip bomb / oversized</t>
        </is>
      </c>
      <c r="D31" s="44" t="inlineStr">
        <is>
          <t>Reject 5MB cap / xử lý có kiểm soát</t>
        </is>
      </c>
      <c r="E31" s="44" t="inlineStr">
        <is>
          <t>A05 Misconfig</t>
        </is>
      </c>
    </row>
    <row r="32">
      <c r="A32" s="44" t="inlineStr">
        <is>
          <t>export</t>
        </is>
      </c>
      <c r="B32" s="44" t="inlineStr">
        <is>
          <t>POST /cases/1' OR '1'='1/export-documents</t>
        </is>
      </c>
      <c r="C32" s="44" t="inlineStr">
        <is>
          <t>SQL injection entityId</t>
        </is>
      </c>
      <c r="D32" s="44" t="inlineStr">
        <is>
          <t>404/400 (id không tồn tại), $1 param-bind an toàn</t>
        </is>
      </c>
      <c r="E32" s="44" t="inlineStr">
        <is>
          <t>A03</t>
        </is>
      </c>
    </row>
    <row r="33">
      <c r="A33" s="44" t="inlineStr">
        <is>
          <t>POST /document-templates → hiển thị list</t>
        </is>
      </c>
      <c r="B33" s="44" t="inlineStr">
        <is>
          <t>name = "&lt;script&gt;alert(1)&lt;/script&gt;"</t>
        </is>
      </c>
      <c r="C33" s="44" t="inlineStr">
        <is>
          <t>XSS qua tên mẫu</t>
        </is>
      </c>
      <c r="D33" s="44" t="inlineStr">
        <is>
          <t>React escape, không thực thi script</t>
        </is>
      </c>
      <c r="E33" s="44" t="inlineStr">
        <is>
          <t>A03 XSS</t>
        </is>
      </c>
    </row>
    <row r="34">
      <c r="A34" s="44" t="inlineStr">
        <is>
          <t>DTO whitelist</t>
        </is>
      </c>
      <c r="B34" s="44" t="inlineStr">
        <is>
          <t>POST export-documents kèm field lạ (createdById, status)</t>
        </is>
      </c>
      <c r="C34" s="44" t="inlineStr">
        <is>
          <t>Mass assignment</t>
        </is>
      </c>
      <c r="D34" s="44" t="inlineStr">
        <is>
          <t>ValidationPipe whitelist loại field thừa</t>
        </is>
      </c>
      <c r="E34" s="44" t="inlineStr">
        <is>
          <t>A08</t>
        </is>
      </c>
    </row>
    <row r="35">
      <c r="A35" s="44" t="inlineStr">
        <is>
          <t>JwtAuthGuard</t>
        </is>
      </c>
      <c r="B35" s="44" t="inlineStr">
        <is>
          <t>POST export-documents không Authorization</t>
        </is>
      </c>
      <c r="C35" s="44" t="inlineStr">
        <is>
          <t>Token thiếu/sai</t>
        </is>
      </c>
      <c r="D35" s="44" t="inlineStr">
        <is>
          <t>401 Unauthorized</t>
        </is>
      </c>
      <c r="E35" s="44" t="inlineStr">
        <is>
          <t>A07 Auth Failures</t>
        </is>
      </c>
    </row>
    <row r="36">
      <c r="A36" s="44" t="inlineStr">
        <is>
          <t>export</t>
        </is>
      </c>
      <c r="B36" s="44" t="inlineStr">
        <is>
          <t>manualValues = {x: {a:1}}</t>
        </is>
      </c>
      <c r="C36" s="44" t="inlineStr">
        <is>
          <t>manualValues non-string</t>
        </is>
      </c>
      <c r="D36" s="44" t="inlineStr">
        <is>
          <t>esc(s(v)) coerce an toàn → '[object Object]', không injection</t>
        </is>
      </c>
      <c r="E36" s="44" t="inlineStr">
        <is>
          <t>A03</t>
        </is>
      </c>
    </row>
  </sheetData>
  <mergeCells count="3">
    <mergeCell ref="A1:G1"/>
    <mergeCell ref="A25:G25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0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 ht="50" customHeight="1">
      <c r="A4" s="44" t="inlineStr">
        <is>
          <t>template.vuan.active.D0</t>
        </is>
      </c>
      <c r="B4" s="61" t="inlineStr">
        <is>
          <t>DocumentTemplate</t>
        </is>
      </c>
      <c r="C4" s="41" t="inlineStr">
        <is>
          <t>active</t>
        </is>
      </c>
      <c r="D4" s="41" t="inlineStr">
        <is>
          <t>D0</t>
        </is>
      </c>
      <c r="E4" s="41" t="inlineStr">
        <is>
          <t>single</t>
        </is>
      </c>
      <c r="F4" s="44" t="inlineStr">
        <is>
          <t>Mẫu VU_AN active, category Quyết định, không cấp số, biến trong catalog (soVuAn,tenVuAn)</t>
        </is>
      </c>
      <c r="G4" s="41" t="inlineStr"/>
      <c r="H4" s="44" t="inlineStr">
        <is>
          <t>"POST /document-templates multipart {code:'QD-KT-{{random}}',name:'QĐ khởi tố',entityType:'VU_AN',category:'Quyết định',needsNumber:false,file:qd.docx} as ADMIN"</t>
        </is>
      </c>
      <c r="I4" s="44" t="inlineStr">
        <is>
          <t>"DELETE /document-templates/{{id}} as ADMIN"</t>
        </is>
      </c>
      <c r="J4" s="44" t="inlineStr">
        <is>
          <t>{"$.id": "tpl_vuan_id"}</t>
        </is>
      </c>
      <c r="K4" s="44" t="inlineStr">
        <is>
          <t>TC-004, TC-005, TC-006, TC-007, TC-016, TC-020, TC-024, TC-027, TC-028, TC-035, TC-038, TC-045, TC-046, TC-049, TC-060, TC-065, TC-066, TC-067, TC-068, TC-072, TC-073, TC-075, TC-076, TC-084, TC-089, TC-093, TC-097, TC-099, TC-103, TC-108, TC-110, TC-112, TC-118, TC-119, TC-123, TC-128</t>
        </is>
      </c>
    </row>
    <row r="5" ht="50" customHeight="1">
      <c r="A5" s="44" t="inlineStr">
        <is>
          <t>template.vuan.needsnumber.D0</t>
        </is>
      </c>
      <c r="B5" s="61" t="inlineStr">
        <is>
          <t>DocumentTemplate</t>
        </is>
      </c>
      <c r="C5" s="41" t="inlineStr">
        <is>
          <t>active</t>
        </is>
      </c>
      <c r="D5" s="41" t="inlineStr">
        <is>
          <t>D0</t>
        </is>
      </c>
      <c r="E5" s="41" t="inlineStr">
        <is>
          <t>single</t>
        </is>
      </c>
      <c r="F5" s="44" t="inlineStr">
        <is>
          <t>Mẫu VU_AN bật cấp số có numberSeriesId hợp lệ</t>
        </is>
      </c>
      <c r="G5" s="41" t="inlineStr"/>
      <c r="H5" s="44" t="inlineStr">
        <is>
          <t>"POST /document-templates {...,needsNumber:true,numberSeriesId:'CASE'} as ADMIN"</t>
        </is>
      </c>
      <c r="I5" s="44" t="inlineStr">
        <is>
          <t>"DELETE /document-templates/{{id}}"</t>
        </is>
      </c>
      <c r="J5" s="44" t="inlineStr">
        <is>
          <t>{"$.id": "tpl_num_id"}</t>
        </is>
      </c>
      <c r="K5" s="44" t="inlineStr">
        <is>
          <t>TC-015, TC-077, TC-101, TC-114</t>
        </is>
      </c>
    </row>
    <row r="6" ht="50" customHeight="1">
      <c r="A6" s="44" t="inlineStr">
        <is>
          <t>template.vuviec.active.D0</t>
        </is>
      </c>
      <c r="B6" s="61" t="inlineStr">
        <is>
          <t>DocumentTemplate</t>
        </is>
      </c>
      <c r="C6" s="41" t="inlineStr">
        <is>
          <t>active</t>
        </is>
      </c>
      <c r="D6" s="41" t="inlineStr">
        <is>
          <t>D0</t>
        </is>
      </c>
      <c r="E6" s="41" t="inlineStr">
        <is>
          <t>single</t>
        </is>
      </c>
      <c r="F6" s="44" t="inlineStr">
        <is>
          <t>Mẫu VU_VIEC active category Biên bản</t>
        </is>
      </c>
      <c r="G6" s="41" t="inlineStr"/>
      <c r="H6" s="44" t="inlineStr">
        <is>
          <t>"POST /document-templates {entityType:'VU_VIEC',category:'Biên bản',needsNumber:false,file:bb.docx} as ADMIN"</t>
        </is>
      </c>
      <c r="I6" s="44" t="inlineStr">
        <is>
          <t>"DELETE /document-templates/{{id}}"</t>
        </is>
      </c>
      <c r="J6" s="44" t="inlineStr">
        <is>
          <t>{"$.id": "tpl_vuviec_id"}</t>
        </is>
      </c>
      <c r="K6" s="44" t="inlineStr">
        <is>
          <t>TC-010, TC-011, TC-023, TC-097, TC-098</t>
        </is>
      </c>
    </row>
    <row r="7" ht="50" customHeight="1">
      <c r="A7" s="44" t="inlineStr">
        <is>
          <t>template.vuan.manualvar.D0</t>
        </is>
      </c>
      <c r="B7" s="61" t="inlineStr">
        <is>
          <t>DocumentTemplate</t>
        </is>
      </c>
      <c r="C7" s="41" t="inlineStr">
        <is>
          <t>active</t>
        </is>
      </c>
      <c r="D7" s="41" t="inlineStr">
        <is>
          <t>D0</t>
        </is>
      </c>
      <c r="E7" s="41" t="inlineStr">
        <is>
          <t>single</t>
        </is>
      </c>
      <c r="F7" s="44" t="inlineStr">
        <is>
          <t>Mẫu VU_AN có placeholder ngoài catalog ({hoTenBiCan}) → biến source=manual</t>
        </is>
      </c>
      <c r="G7" s="41" t="inlineStr"/>
      <c r="H7" s="44" t="inlineStr">
        <is>
          <t>"POST /document-templates {entityType:'VU_AN',file:docx_chua_{hoTenBiCan}}"</t>
        </is>
      </c>
      <c r="I7" s="44" t="inlineStr">
        <is>
          <t>"DELETE /document-templates/{{id}}"</t>
        </is>
      </c>
      <c r="J7" s="44" t="inlineStr">
        <is>
          <t>{"$.id": "tpl_manual_id"}</t>
        </is>
      </c>
      <c r="K7" s="44" t="inlineStr">
        <is>
          <t>TC-014, TC-032, TC-036, TC-069, TC-070, TC-071, TC-092, TC-107</t>
        </is>
      </c>
    </row>
    <row r="8" ht="50" customHeight="1">
      <c r="A8" s="44" t="inlineStr">
        <is>
          <t>template.vuan.deleted.D0</t>
        </is>
      </c>
      <c r="B8" s="61" t="inlineStr">
        <is>
          <t>DocumentTemplate</t>
        </is>
      </c>
      <c r="C8" s="41" t="inlineStr">
        <is>
          <t>deleted</t>
        </is>
      </c>
      <c r="D8" s="41" t="inlineStr">
        <is>
          <t>D0</t>
        </is>
      </c>
      <c r="E8" s="41" t="inlineStr">
        <is>
          <t>single</t>
        </is>
      </c>
      <c r="F8" s="44" t="inlineStr">
        <is>
          <t>Mẫu VU_AN đã soft-delete (deletedAt set)</t>
        </is>
      </c>
      <c r="G8" s="41" t="inlineStr"/>
      <c r="H8" s="44" t="inlineStr">
        <is>
          <t>"POST tạo rồi DELETE /document-templates/{{id}}"</t>
        </is>
      </c>
      <c r="I8" s="44" t="inlineStr">
        <is>
          <t>"n/a"</t>
        </is>
      </c>
      <c r="J8" s="44" t="inlineStr">
        <is>
          <t>{"$.id": "tpl_deleted_id"}</t>
        </is>
      </c>
      <c r="K8" s="44" t="inlineStr">
        <is>
          <t>TC-047, TC-048, TC-100</t>
        </is>
      </c>
    </row>
    <row r="9" ht="50" customHeight="1">
      <c r="A9" s="44" t="inlineStr">
        <is>
          <t>templates.vuan.empty</t>
        </is>
      </c>
      <c r="B9" s="61" t="inlineStr">
        <is>
          <t>DocumentTemplate</t>
        </is>
      </c>
      <c r="C9" s="41" t="inlineStr">
        <is>
          <t>active</t>
        </is>
      </c>
      <c r="D9" s="41" t="inlineStr">
        <is>
          <t>D0</t>
        </is>
      </c>
      <c r="E9" s="41" t="inlineStr">
        <is>
          <t>empty</t>
        </is>
      </c>
      <c r="F9" s="44" t="inlineStr">
        <is>
          <t>Không có mẫu VU_AN nào active (list rỗng)</t>
        </is>
      </c>
      <c r="G9" s="41" t="inlineStr"/>
      <c r="H9" s="44" t="inlineStr">
        <is>
          <t>"Soft-delete toàn bộ mẫu VU_AN"</t>
        </is>
      </c>
      <c r="I9" s="44" t="inlineStr">
        <is>
          <t>"restore/seed lại"</t>
        </is>
      </c>
      <c r="J9" s="44" t="inlineStr"/>
      <c r="K9" s="44" t="inlineStr">
        <is>
          <t>TC-082</t>
        </is>
      </c>
    </row>
    <row r="10" ht="50" customHeight="1">
      <c r="A10" s="44" t="inlineStr">
        <is>
          <t>case.toA.active.D0</t>
        </is>
      </c>
      <c r="B10" s="61" t="inlineStr">
        <is>
          <t>Case</t>
        </is>
      </c>
      <c r="C10" s="41" t="inlineStr">
        <is>
          <t>active</t>
        </is>
      </c>
      <c r="D10" s="41" t="inlineStr">
        <is>
          <t>D0</t>
        </is>
      </c>
      <c r="E10" s="41" t="inlineStr">
        <is>
          <t>normal</t>
        </is>
      </c>
      <c r="F10" s="44" t="inlineStr">
        <is>
          <t>Vụ án thuộc Tổ A (officer1 scope), đủ field catalog</t>
        </is>
      </c>
      <c r="G10" s="41" t="inlineStr"/>
      <c r="H10" s="44" t="inlineStr">
        <is>
          <t>"POST /cases {caseProvenance:'DIRECT_DISCOVERY',caseTitle:'VA UAT',handler:officer1,assignedTeamId:'team-A'} as OFF1"</t>
        </is>
      </c>
      <c r="I10" s="44" t="inlineStr">
        <is>
          <t>"DELETE /cases/{{id}} as ADMIN"</t>
        </is>
      </c>
      <c r="J10" s="44" t="inlineStr">
        <is>
          <t>{"$.data.id": "case_A_id"}</t>
        </is>
      </c>
      <c r="K10" s="44" t="inlineStr">
        <is>
          <t>TC-004, TC-005, TC-006, TC-009, TC-014, TC-015, TC-021, TC-022, TC-023, TC-024, TC-025, TC-030, TC-032, TC-035, TC-036, TC-045, TC-047, TC-060, TC-061, TC-065, TC-066, TC-067, TC-068, TC-069, TC-070, TC-071, TC-072, TC-073, TC-074, TC-075, TC-077, TC-080, TC-081, TC-082, TC-083, TC-091, TC-092, TC-093, TC-095, TC-101, TC-102, TC-106, TC-107, TC-108, TC-109, TC-112, TC-113, TC-114, TC-116, TC-117, TC-118, TC-119, TC-120, TC-121, TC-123, TC-124, TC-125, TC-126, TC-127, TC-128, TC-129</t>
        </is>
      </c>
    </row>
    <row r="11" ht="50" customHeight="1">
      <c r="A11" s="44" t="inlineStr">
        <is>
          <t>case.toB.active.D0</t>
        </is>
      </c>
      <c r="B11" s="61" t="inlineStr">
        <is>
          <t>Case</t>
        </is>
      </c>
      <c r="C11" s="41" t="inlineStr">
        <is>
          <t>active</t>
        </is>
      </c>
      <c r="D11" s="41" t="inlineStr">
        <is>
          <t>D0</t>
        </is>
      </c>
      <c r="E11" s="41" t="inlineStr">
        <is>
          <t>normal</t>
        </is>
      </c>
      <c r="F11" s="44" t="inlineStr">
        <is>
          <t>Vụ án thuộc Tổ B (ngoài scope officer1) — test IDOR</t>
        </is>
      </c>
      <c r="G11" s="41" t="inlineStr"/>
      <c r="H11" s="44" t="inlineStr">
        <is>
          <t>"POST /cases {assignedTeamId:'team-B'} as OFF2"</t>
        </is>
      </c>
      <c r="I11" s="44" t="inlineStr">
        <is>
          <t>"DELETE /cases/{{id}} as ADMIN"</t>
        </is>
      </c>
      <c r="J11" s="44" t="inlineStr">
        <is>
          <t>{"$.data.id": "case_B_id"}</t>
        </is>
      </c>
      <c r="K11" s="44" t="inlineStr">
        <is>
          <t>TC-028</t>
        </is>
      </c>
    </row>
    <row r="12" ht="50" customHeight="1">
      <c r="A12" s="44" t="inlineStr">
        <is>
          <t>incident.toA.active.D0</t>
        </is>
      </c>
      <c r="B12" s="61" t="inlineStr">
        <is>
          <t>Incident</t>
        </is>
      </c>
      <c r="C12" s="41" t="inlineStr">
        <is>
          <t>active</t>
        </is>
      </c>
      <c r="D12" s="41" t="inlineStr">
        <is>
          <t>D0</t>
        </is>
      </c>
      <c r="E12" s="41" t="inlineStr">
        <is>
          <t>normal</t>
        </is>
      </c>
      <c r="F12" s="44" t="inlineStr">
        <is>
          <t>Vụ việc thuộc Tổ A</t>
        </is>
      </c>
      <c r="G12" s="41" t="inlineStr"/>
      <c r="H12" s="44" t="inlineStr">
        <is>
          <t>"POST /incidents {name:'VV UAT',assignedTeamId:'team-A',investigatorId:officer1} as OFF1"</t>
        </is>
      </c>
      <c r="I12" s="44" t="inlineStr">
        <is>
          <t>"DELETE /incidents/{{id}} as ADMIN"</t>
        </is>
      </c>
      <c r="J12" s="44" t="inlineStr">
        <is>
          <t>{"$.data.id": "incident_A_id"}</t>
        </is>
      </c>
      <c r="K12" s="44" t="inlineStr">
        <is>
          <t>TC-010, TC-029, TC-080</t>
        </is>
      </c>
    </row>
    <row r="13" ht="50" customHeight="1">
      <c r="A13" s="44" t="inlineStr">
        <is>
          <t>petition.toA.active.D0</t>
        </is>
      </c>
      <c r="B13" s="61" t="inlineStr">
        <is>
          <t>Petition</t>
        </is>
      </c>
      <c r="C13" s="41" t="inlineStr">
        <is>
          <t>active</t>
        </is>
      </c>
      <c r="D13" s="41" t="inlineStr">
        <is>
          <t>D0</t>
        </is>
      </c>
      <c r="E13" s="41" t="inlineStr">
        <is>
          <t>normal</t>
        </is>
      </c>
      <c r="F13" s="44" t="inlineStr">
        <is>
          <t>Đơn thư Tổ A để test nút In chứng từ</t>
        </is>
      </c>
      <c r="G13" s="41" t="inlineStr"/>
      <c r="H13" s="44" t="inlineStr">
        <is>
          <t>"POST /petitions {senderName:'A',...} as OFF1"</t>
        </is>
      </c>
      <c r="I13" s="44" t="inlineStr">
        <is>
          <t>"DELETE /petitions/{{id}}"</t>
        </is>
      </c>
      <c r="J13" s="44" t="inlineStr">
        <is>
          <t>{"$.data.id": "petition_A_id"}</t>
        </is>
      </c>
      <c r="K13" s="44" t="inlineStr">
        <is>
          <t>TC-012, TC-013</t>
        </is>
      </c>
    </row>
    <row r="14" ht="50" customHeight="1">
      <c r="A14" s="44" t="inlineStr">
        <is>
          <t>series.case.active</t>
        </is>
      </c>
      <c r="B14" s="61" t="inlineStr">
        <is>
          <t>DocumentNumberTemplate</t>
        </is>
      </c>
      <c r="C14" s="41" t="inlineStr">
        <is>
          <t>active</t>
        </is>
      </c>
      <c r="D14" s="41" t="inlineStr">
        <is>
          <t>D0</t>
        </is>
      </c>
      <c r="E14" s="41" t="inlineStr">
        <is>
          <t>single</t>
        </is>
      </c>
      <c r="F14" s="44" t="inlineStr">
        <is>
          <t>Chuỗi số documentType=CASE để gán numberSeriesId</t>
        </is>
      </c>
      <c r="G14" s="41" t="inlineStr"/>
      <c r="H14" s="44" t="inlineStr">
        <is>
          <t>"Seed sẵn (db:seed) hoặc POST /document-numbers/templates"</t>
        </is>
      </c>
      <c r="I14" s="44" t="inlineStr">
        <is>
          <t>"n/a"</t>
        </is>
      </c>
      <c r="J14" s="44" t="inlineStr">
        <is>
          <t>{"$.documentType": "series_case"}</t>
        </is>
      </c>
      <c r="K14" s="44" t="inlineStr">
        <is>
          <t>TC-001, TC-003, TC-079</t>
        </is>
      </c>
    </row>
  </sheetData>
  <autoFilter ref="A3:K14"/>
  <mergeCells count="2">
    <mergeCell ref="A2:K2"/>
    <mergeCell ref="A1:K1"/>
  </mergeCells>
  <dataValidations count="1">
    <dataValidation sqref="G4:G14" showDropDown="0" showInputMessage="0" showErrorMessage="0" allowBlank="1" type="list">
      <formula1>"api,sql,factory"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2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3" t="inlineStr">
        <is>
          <t>⚠️ REGRESSION LOG — Theo dõi lỗi level down (TC từng Đạt nay Không đạt)</t>
        </is>
      </c>
    </row>
    <row r="2" ht="35" customHeight="1">
      <c r="A2" s="60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4" t="inlineStr">
        <is>
          <t>Reg ID</t>
        </is>
      </c>
      <c r="B3" s="64" t="inlineStr">
        <is>
          <t>TC ID</t>
        </is>
      </c>
      <c r="C3" s="64" t="inlineStr">
        <is>
          <t>Module</t>
        </is>
      </c>
      <c r="D3" s="64" t="inlineStr">
        <is>
          <t>Lần phát hiện</t>
        </is>
      </c>
      <c r="E3" s="64" t="inlineStr">
        <is>
          <t>Bug gốc gây regression</t>
        </is>
      </c>
      <c r="F3" s="64" t="inlineStr">
        <is>
          <t>Status trước retest</t>
        </is>
      </c>
      <c r="G3" s="64" t="inlineStr">
        <is>
          <t>Status sau retest</t>
        </is>
      </c>
      <c r="H3" s="64" t="inlineStr">
        <is>
          <t>Severity gốc</t>
        </is>
      </c>
      <c r="I3" s="64" t="inlineStr">
        <is>
          <t>Severity regression</t>
        </is>
      </c>
      <c r="J3" s="64" t="inlineStr">
        <is>
          <t>Mô tả regression</t>
        </is>
      </c>
      <c r="K3" s="64" t="inlineStr">
        <is>
          <t>Đã fix?</t>
        </is>
      </c>
      <c r="L3" s="64" t="inlineStr">
        <is>
          <t>Ngày verify lại</t>
        </is>
      </c>
      <c r="M3" s="64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2026-06-27T19:28:37Z</dcterms:created>
  <dcterms:modified xmlns:dcterms="http://purl.org/dc/terms/" xmlns:xsi="http://www.w3.org/2001/XMLSchema-instance" xsi:type="dcterms:W3CDTF">2026-06-27T19:28:38Z</dcterms:modified>
</cp:coreProperties>
</file>