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AT Result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Test Cases" sheetId="3" state="visible" r:id="rId3"/>
    <sheet xmlns:r="http://schemas.openxmlformats.org/officeDocument/2006/relationships" name="Test Data" sheetId="4" state="visible" r:id="rId4"/>
    <sheet xmlns:r="http://schemas.openxmlformats.org/officeDocument/2006/relationships" name="Data Matrix" sheetId="5" state="visible" r:id="rId5"/>
    <sheet xmlns:r="http://schemas.openxmlformats.org/officeDocument/2006/relationships" name="Bug Tracker" sheetId="6" state="visible" r:id="rId6"/>
    <sheet xmlns:r="http://schemas.openxmlformats.org/officeDocument/2006/relationships" name="Regression Log" sheetId="7" state="visible" r:id="rId7"/>
  </sheets>
  <definedNames>
    <definedName name="_xlnm._FilterDatabase" localSheetId="2" hidden="1">'Test Cases'!$A$3:$X$318</definedName>
    <definedName name="_xlnm._FilterDatabase" localSheetId="4" hidden="1">'Data Matrix'!$A$3:$K$42</definedName>
    <definedName name="_xlnm._FilterDatabase" localSheetId="5" hidden="1">'Bug Tracker'!$A$3:$I$53</definedName>
    <definedName name="_xlnm._FilterDatabase" localSheetId="6" hidden="1">'Regression Log'!$A$3:$M$33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C00000"/>
      <sz val="10"/>
    </font>
    <font>
      <name val="Arial"/>
      <b val="1"/>
      <color rgb="00ED7D31"/>
      <sz val="10"/>
    </font>
    <font>
      <name val="Arial"/>
      <b val="1"/>
      <color rgb="00FFC000"/>
      <sz val="10"/>
    </font>
    <font>
      <name val="Arial"/>
      <b val="1"/>
      <color rgb="00FFFFFF"/>
      <sz val="12"/>
    </font>
    <font>
      <name val="Arial"/>
      <b val="1"/>
      <color rgb="00FFFFFF"/>
      <sz val="16"/>
    </font>
    <font>
      <name val="Arial"/>
      <b val="1"/>
      <sz val="12"/>
    </font>
    <font>
      <name val="Arial"/>
      <b val="1"/>
      <color rgb="00FFFFFF"/>
    </font>
    <font>
      <name val="Arial"/>
      <b val="1"/>
      <sz val="11"/>
    </font>
    <font>
      <name val="Arial"/>
      <b val="1"/>
      <color rgb="001F4E78"/>
      <sz val="12"/>
    </font>
    <font>
      <name val="Arial"/>
      <b val="1"/>
      <color rgb="00009900"/>
      <sz val="14"/>
    </font>
    <font>
      <name val="Arial"/>
      <i val="1"/>
      <sz val="9"/>
    </font>
    <font>
      <name val="Arial"/>
      <b val="1"/>
      <sz val="14"/>
    </font>
    <font>
      <name val="Arial"/>
      <b val="1"/>
      <sz val="10"/>
    </font>
    <font>
      <name val="Arial"/>
      <b val="1"/>
      <color rgb="0070AD47"/>
      <sz val="10"/>
    </font>
    <font>
      <name val="Arial"/>
      <b val="1"/>
      <color rgb="00C00000"/>
    </font>
  </fonts>
  <fills count="23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FFD966"/>
      </patternFill>
    </fill>
    <fill>
      <patternFill patternType="solid">
        <fgColor rgb="00FFB6C1"/>
      </patternFill>
    </fill>
    <fill>
      <patternFill patternType="solid">
        <fgColor rgb="00DDEBF7"/>
      </patternFill>
    </fill>
    <fill>
      <patternFill patternType="solid">
        <fgColor rgb="00F4B084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B4A7D6"/>
      </patternFill>
    </fill>
    <fill>
      <patternFill patternType="solid">
        <fgColor rgb="00A9D08E"/>
      </patternFill>
    </fill>
    <fill>
      <patternFill patternType="solid">
        <fgColor rgb="009BC2E6"/>
      </patternFill>
    </fill>
    <fill>
      <patternFill patternType="solid">
        <fgColor rgb="00F8CBAD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FE699"/>
      </patternFill>
    </fill>
    <fill>
      <patternFill patternType="solid">
        <fgColor rgb="00C9C9C9"/>
      </patternFill>
    </fill>
    <fill>
      <patternFill patternType="solid">
        <fgColor rgb="00BDD7EE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9" fillId="2" borderId="0" applyAlignment="1" pivotButton="0" quotePrefix="0" xfId="0">
      <alignment horizontal="center" vertical="center"/>
    </xf>
    <xf numFmtId="0" fontId="11" fillId="17" borderId="0" applyAlignment="1" pivotButton="0" quotePrefix="0" xfId="0">
      <alignment horizontal="left" vertical="center" indent="1"/>
    </xf>
    <xf numFmtId="0" fontId="12" fillId="0" borderId="1" pivotButton="0" quotePrefix="0" xfId="0"/>
    <xf numFmtId="0" fontId="13" fillId="0" borderId="1" pivotButton="0" quotePrefix="0" xfId="0"/>
    <xf numFmtId="0" fontId="2" fillId="0" borderId="1" pivotButton="0" quotePrefix="0" xfId="0"/>
    <xf numFmtId="164" fontId="14" fillId="0" borderId="1" pivotButton="0" quotePrefix="0" xfId="0"/>
    <xf numFmtId="0" fontId="15" fillId="0" borderId="1" pivotButton="0" quotePrefix="0" xfId="0"/>
    <xf numFmtId="164" fontId="10" fillId="0" borderId="1" pivotButton="0" quotePrefix="0" xfId="0"/>
    <xf numFmtId="164" fontId="16" fillId="0" borderId="1" pivotButton="0" quotePrefix="0" xfId="0"/>
    <xf numFmtId="0" fontId="8" fillId="17" borderId="0" applyAlignment="1" pivotButton="0" quotePrefix="0" xfId="0">
      <alignment horizontal="left" vertical="center" indent="1"/>
    </xf>
    <xf numFmtId="0" fontId="3" fillId="17" borderId="1" applyAlignment="1" pivotButton="0" quotePrefix="0" xfId="0">
      <alignment horizontal="center" vertical="center" wrapText="1"/>
    </xf>
    <xf numFmtId="0" fontId="17" fillId="3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17" fillId="4" borderId="1" applyAlignment="1" pivotButton="0" quotePrefix="0" xfId="0">
      <alignment horizontal="left"/>
    </xf>
    <xf numFmtId="0" fontId="17" fillId="5" borderId="1" applyAlignment="1" pivotButton="0" quotePrefix="0" xfId="0">
      <alignment horizontal="left"/>
    </xf>
    <xf numFmtId="0" fontId="17" fillId="8" borderId="1" applyAlignment="1" pivotButton="0" quotePrefix="0" xfId="0">
      <alignment horizontal="left"/>
    </xf>
    <xf numFmtId="0" fontId="17" fillId="12" borderId="1" applyAlignment="1" pivotButton="0" quotePrefix="0" xfId="0">
      <alignment horizontal="left"/>
    </xf>
    <xf numFmtId="0" fontId="17" fillId="10" borderId="1" applyAlignment="1" pivotButton="0" quotePrefix="0" xfId="0">
      <alignment horizontal="left"/>
    </xf>
    <xf numFmtId="0" fontId="17" fillId="11" borderId="1" applyAlignment="1" pivotButton="0" quotePrefix="0" xfId="0">
      <alignment horizontal="left"/>
    </xf>
    <xf numFmtId="0" fontId="17" fillId="7" borderId="1" applyAlignment="1" pivotButton="0" quotePrefix="0" xfId="0">
      <alignment horizontal="left"/>
    </xf>
    <xf numFmtId="0" fontId="17" fillId="9" borderId="1" applyAlignment="1" pivotButton="0" quotePrefix="0" xfId="0">
      <alignment horizontal="left"/>
    </xf>
    <xf numFmtId="0" fontId="17" fillId="6" borderId="1" applyAlignment="1" pivotButton="0" quotePrefix="0" xfId="0">
      <alignment horizontal="left"/>
    </xf>
    <xf numFmtId="0" fontId="17" fillId="13" borderId="1" applyAlignment="1" pivotButton="0" quotePrefix="0" xfId="0">
      <alignment horizontal="left"/>
    </xf>
    <xf numFmtId="0" fontId="17" fillId="14" borderId="1" applyAlignment="1" pivotButton="0" quotePrefix="0" xfId="0">
      <alignment horizontal="left"/>
    </xf>
    <xf numFmtId="0" fontId="17" fillId="15" borderId="1" applyAlignment="1" pivotButton="0" quotePrefix="0" xfId="0">
      <alignment horizontal="left"/>
    </xf>
    <xf numFmtId="0" fontId="17" fillId="19" borderId="1" applyAlignment="1" pivotButton="0" quotePrefix="0" xfId="0">
      <alignment horizontal="left"/>
    </xf>
    <xf numFmtId="0" fontId="17" fillId="16" borderId="1" applyAlignment="1" pivotButton="0" quotePrefix="0" xfId="0">
      <alignment horizontal="left"/>
    </xf>
    <xf numFmtId="0" fontId="17" fillId="20" borderId="1" applyAlignment="1" pivotButton="0" quotePrefix="0" xfId="0">
      <alignment horizontal="left"/>
    </xf>
    <xf numFmtId="0" fontId="17" fillId="21" borderId="1" applyAlignment="1" pivotButton="0" quotePrefix="0" xfId="0">
      <alignment horizontal="left"/>
    </xf>
    <xf numFmtId="0" fontId="5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left"/>
    </xf>
    <xf numFmtId="0" fontId="7" fillId="0" borderId="1" applyAlignment="1" pivotButton="0" quotePrefix="0" xfId="0">
      <alignment horizontal="left"/>
    </xf>
    <xf numFmtId="0" fontId="18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19" fillId="0" borderId="1" applyAlignment="1" pivotButton="0" quotePrefix="0" xfId="0">
      <alignment horizontal="left"/>
    </xf>
    <xf numFmtId="0" fontId="8" fillId="2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horizontal="center" vertical="top" wrapText="1"/>
    </xf>
    <xf numFmtId="0" fontId="4" fillId="8" borderId="1" applyAlignment="1" pivotButton="0" quotePrefix="0" xfId="0">
      <alignment horizontal="center" vertical="top" wrapText="1"/>
    </xf>
    <xf numFmtId="0" fontId="4" fillId="9" borderId="1" applyAlignment="1" pivotButton="0" quotePrefix="0" xfId="0">
      <alignment horizontal="center" vertical="top" wrapText="1"/>
    </xf>
    <xf numFmtId="0" fontId="4" fillId="10" borderId="1" applyAlignment="1" pivotButton="0" quotePrefix="0" xfId="0">
      <alignment horizontal="center" vertical="top" wrapText="1"/>
    </xf>
    <xf numFmtId="0" fontId="4" fillId="11" borderId="1" applyAlignment="1" pivotButton="0" quotePrefix="0" xfId="0">
      <alignment horizontal="center" vertical="top" wrapText="1"/>
    </xf>
    <xf numFmtId="0" fontId="4" fillId="12" borderId="1" applyAlignment="1" pivotButton="0" quotePrefix="0" xfId="0">
      <alignment horizontal="center" vertical="top" wrapText="1"/>
    </xf>
    <xf numFmtId="0" fontId="4" fillId="13" borderId="1" applyAlignment="1" pivotButton="0" quotePrefix="0" xfId="0">
      <alignment horizontal="center" vertical="top" wrapText="1"/>
    </xf>
    <xf numFmtId="0" fontId="4" fillId="14" borderId="1" applyAlignment="1" pivotButton="0" quotePrefix="0" xfId="0">
      <alignment horizontal="center" vertical="top" wrapText="1"/>
    </xf>
    <xf numFmtId="0" fontId="4" fillId="15" borderId="1" applyAlignment="1" pivotButton="0" quotePrefix="0" xfId="0">
      <alignment horizontal="center" vertical="top" wrapText="1"/>
    </xf>
    <xf numFmtId="0" fontId="4" fillId="16" borderId="1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center" wrapText="1"/>
    </xf>
    <xf numFmtId="0" fontId="4" fillId="18" borderId="1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/>
    </xf>
    <xf numFmtId="0" fontId="1" fillId="22" borderId="0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2">
    <dxf>
      <font>
        <name val="Arial"/>
        <b val="1"/>
        <color rgb="00FFFFFF"/>
      </font>
      <fill>
        <patternFill patternType="solid">
          <fgColor rgb="00C00000"/>
        </patternFill>
      </fill>
    </dxf>
    <dxf>
      <font>
        <name val="Arial"/>
        <b val="1"/>
        <color rgb="00FFFFFF"/>
        <sz val="14"/>
      </font>
      <fill>
        <patternFill patternType="solid">
          <fgColor rgb="00C00000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D9D9D9"/>
        </patternFill>
      </fill>
    </dxf>
    <dxf>
      <font>
        <name val="Arial"/>
        <b val="1"/>
        <color rgb="00FFFFFF"/>
        <sz val="10"/>
      </font>
      <fill>
        <patternFill patternType="solid">
          <fgColor rgb="00C00000"/>
        </patternFill>
      </fill>
    </dxf>
    <dxf>
      <fill>
        <patternFill patternType="solid">
          <fgColor rgb="00B4C7E7"/>
        </patternFill>
      </fill>
    </dxf>
    <dxf>
      <fill>
        <patternFill patternType="solid">
          <fgColor rgb="00FFB6C1"/>
        </patternFill>
      </fill>
    </dxf>
    <dxf>
      <fill>
        <patternFill patternType="solid">
          <fgColor rgb="00ED7D31"/>
        </patternFill>
      </fill>
    </dxf>
    <dxf>
      <fill>
        <patternFill patternType="solid">
          <fgColor rgb="00FFC000"/>
        </patternFill>
      </fill>
    </dxf>
    <dxf>
      <fill>
        <patternFill patternType="solid">
          <fgColor rgb="0070AD4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22" customWidth="1" min="3" max="3"/>
  </cols>
  <sheetData>
    <row r="1">
      <c r="A1" t="inlineStr">
        <is>
          <t>TỔNG KẾT UAT — Document Numbers</t>
        </is>
      </c>
      <c r="B1" t="inlineStr"/>
      <c r="C1" t="inlineStr"/>
    </row>
    <row r="2">
      <c r="A2" t="inlineStr">
        <is>
          <t>Cập nhật lúc: 26/05/2026 02:10</t>
        </is>
      </c>
      <c r="B2" t="inlineStr"/>
      <c r="C2" t="inlineStr"/>
    </row>
    <row r="3">
      <c r="A3" t="inlineStr">
        <is>
          <t>Modules: A11Y — Color Contrast, A11Y — Color Independent, A11Y — Destructive Action, A11Y — DocNumberPreviewField, A11Y — DocNumberPreviewField OVERRIDE, A11Y — Error Messages, A11Y — Focus Visible, A11Y — Full Keyboard Nav, A11Y — Keyboard Drag, A11Y — Live Region, A11Y — Modal Announce, A11Y — Sort, A11Y — Table, A11Y — TemplateFormModal, Atomic Transaction RED, Audit Log, Audit Log — Fields, Audit Log — Filter, Audit Log — Filter Date, Auth RED, Auth Role Tamper RED, Auth — Forbidden, Auth — RED, Auth — Suspended User RED, Auth — Token Expired, Auth — Unauthorized, Boundary INT Max RED, Boundary — Pagination, Boundary — Pagination Negative, Boundary — Template Name Length, Boundary — maxValue Minimum, COMPAT — Android, COMPAT — Brave, COMPAT — Browser, COMPAT — Drag Drop Chrome, COMPAT — Edge Accessibility, COMPAT — Firefox, COMPAT — High Contrast, COMPAT — Mobile, COMPAT — NVDA, COMPAT — Safari, COMPAT — Tablet, COMPAT — Text Zoom, COMPAT — Windows 10, COMPAT — iOS, Commit Number, Commit Number — Incident Integration, Commit Number — Petition Integration, Commit Number — RED, Commit RED, Commit Validation, Commit Validation RED, Commit — Max Retry RED, Commit — No Template RED, Commit — RED, Commit — draftPreview RED, Concurrency Stress P0, Concurrency — Basic, Concurrency — Exhaust RED, Concurrency — Reset RED, Concurrency — Reset+Commit RED, Concurrency — Row Lock, Concurrency — Stress, Content Negotiation — RED, Counter Cold Start, Counter Cold Start RED, Counter Config Change RED, Counter Exhausted WEEKLY, Counter Exhausted — MONTHLY, Counter Exhausted — NEVER, Counter Padding, Counter — Cold Start, Data — Empty Separator, Data — Special Chars, Data — XSS Stored, Data — i18n, Deploy — RED, Draft Log Accumulation RED, Draft Number, Draft Number — RED, Draft — Concurrent RED, Draft — Inactive Template RED, Draft — No Template, Draft — RED, EP — documentType, EP — inputMode, EP — resetPeriod, Filter — Date Format RED, Filter — RED, Formula Engine, Formula Engine — Context, Formula Engine — Segments, HTTP Method — RED, IDOR — Log Update RED, Infrastructure RED, Infrastructure — RED, Integration — Case List, Integration — Case atomic commit, Integration — Case from Petition with Incident, Integration — Delegation atomic commit, Integration — Incident, Integration — Incident atomic commit, Integration — Petition, Integration — Petition atomic commit, Integration — Proposal atomic commit, Log Filter — RED, Log Immutability RED, Log Update, Log Update — Immutable RED, Log Update — RED, No-Counter Template Commit RED, Pagination — RED, Performance — Commit, Performance — Draft, Performance — Draft Concurrency, Performance — UI, Period Key, Period Key — Year Boundary, Recovery — Backend Restart, Recovery — DB Rollback, Regression — Case List caseCode, Regression — Incident Create, Regression — Incident List, Regression — Petition Create, Regression — Sidebar, Regression — Uniqueness, Reset Counter, Reset Counter RED, Role × Endpoint Matrix, Security Account Delete P0, Security Authorization P0, Security Enumeration P0, Security Forced Browse P0, Security Header — RED, Security Input — RED, Security JWT Alg None P0, Security Mass Delete P0, Security Path Traversal — RED, Security Replay P0, Security SQL Injection P0, Security XSS Stored — RED, Security — Auth, Security — CORS, Security — CSRF, Security — Content Type, Security — Data Exposure, Security — Data Isolation, Security — Error Handling, Security — IDOR, Security — Info Leak, Security — Input, Security — Long Payload, Security — Mass Assignment, Security — Null Byte, Security — Privilege Escalation, Security — Prototype Pollution, Security — Rate Limit, Security — Replay, Security — Stats IDOR, Security — Timing, Security — Token Revocation, Security — Token Role, Security — XSS, Settings Page, Settings Page — Create, Settings Page — Edit, Stats After Reset RED, Stats Freshness RED, Template CRUD, Template CRUD — RED, Template Config Change RED, Template Constraint — RED, Template Default RED, Template Delete Constraint RED, Template Delete — RED, Template Minimal Segments RED, Template Preview, Template Preview — RED, Template State, Template State — Active Constraint, Template State — Commit RED, Template State — Counter Reset, Template State — Delete, Template Stats, Template Stats — RED, Template Uniqueness Constraint RED, Template Update Consistency RED, Template Update — RED, Template Validation, Template Validation RED, Template Validation — Case Sensitive RED, Template Validation — Duplicate COUNTER RED, Template Validation — Edge, Template Validation — NaN RED, Template Validation — RED, Template Validation — Segments Limit RED, Template Validation — Separator RED, Template Validation — documentType enum RED, Transaction Isolation RED, UI — DocNumberPreviewField, UI — SegmentBuilder, UI — SegmentBuilder — Preview, UI — Settings Page, UI — Settings Page — Role, UI — TemplateFormModal, Usability — Changed Toast, Usability — Live Preview, Usability — Loading State, Usability — Reset Confirm</t>
        </is>
      </c>
      <c r="B3" t="inlineStr"/>
      <c r="C3" t="inlineStr"/>
    </row>
    <row r="4">
      <c r="A4" t="inlineStr"/>
      <c r="B4" t="inlineStr"/>
      <c r="C4" t="inlineStr"/>
    </row>
    <row r="5">
      <c r="A5" t="inlineStr">
        <is>
          <t>Chỉ tiêu</t>
        </is>
      </c>
      <c r="B5" t="inlineStr">
        <is>
          <t>Giá trị</t>
        </is>
      </c>
      <c r="C5" t="inlineStr">
        <is>
          <t>Ghi chú</t>
        </is>
      </c>
    </row>
    <row r="6">
      <c r="A6" t="inlineStr">
        <is>
          <t>Tổng số TC</t>
        </is>
      </c>
      <c r="B6" t="n">
        <v>315</v>
      </c>
      <c r="C6" t="inlineStr"/>
    </row>
    <row r="7">
      <c r="A7" t="inlineStr">
        <is>
          <t>✅ Đạt (cả 2 layer)</t>
        </is>
      </c>
      <c r="B7" t="n">
        <v>22</v>
      </c>
      <c r="C7" t="inlineStr">
        <is>
          <t>7.0%</t>
        </is>
      </c>
    </row>
    <row r="8">
      <c r="A8" t="inlineStr"/>
      <c r="B8" t="inlineStr"/>
      <c r="C8" t="inlineStr"/>
    </row>
    <row r="9">
      <c r="A9" t="inlineStr">
        <is>
          <t>Layer 1 — API smoke</t>
        </is>
      </c>
      <c r="B9" t="inlineStr"/>
      <c r="C9" t="inlineStr"/>
    </row>
    <row r="10">
      <c r="A10" t="inlineStr">
        <is>
          <t xml:space="preserve">  API Pass</t>
        </is>
      </c>
      <c r="B10" t="n">
        <v>179</v>
      </c>
      <c r="C10" t="inlineStr">
        <is>
          <t>56.8%</t>
        </is>
      </c>
    </row>
    <row r="11">
      <c r="A11" t="inlineStr">
        <is>
          <t xml:space="preserve">  API Fail</t>
        </is>
      </c>
      <c r="B11" t="n">
        <v>100</v>
      </c>
      <c r="C11" t="inlineStr"/>
    </row>
    <row r="12">
      <c r="A12" t="inlineStr">
        <is>
          <t xml:space="preserve">  API Skip/Blocked</t>
        </is>
      </c>
      <c r="B12" t="n">
        <v>4</v>
      </c>
      <c r="C12" t="inlineStr"/>
    </row>
    <row r="13">
      <c r="A13" t="inlineStr"/>
      <c r="B13" t="inlineStr"/>
      <c r="C13" t="inlineStr"/>
    </row>
    <row r="14">
      <c r="A14" t="inlineStr">
        <is>
          <t>Layer 2 — UI E2E</t>
        </is>
      </c>
      <c r="B14" t="inlineStr"/>
      <c r="C14" t="inlineStr"/>
    </row>
    <row r="15">
      <c r="A15" t="inlineStr">
        <is>
          <t xml:space="preserve">  E2E Pass</t>
        </is>
      </c>
      <c r="B15" t="n">
        <v>28</v>
      </c>
      <c r="C15" t="inlineStr">
        <is>
          <t>8.9%</t>
        </is>
      </c>
    </row>
    <row r="16">
      <c r="A16" t="inlineStr">
        <is>
          <t xml:space="preserve">  E2E Fail</t>
        </is>
      </c>
      <c r="B16" t="n">
        <v>9</v>
      </c>
      <c r="C16" t="inlineStr"/>
    </row>
    <row r="17">
      <c r="A17" t="inlineStr">
        <is>
          <t xml:space="preserve">  E2E Skip (API gate)</t>
        </is>
      </c>
      <c r="B17" t="n">
        <v>0</v>
      </c>
      <c r="C17" t="inlineStr"/>
    </row>
    <row r="18">
      <c r="A18" t="inlineStr"/>
      <c r="B18" t="inlineStr"/>
      <c r="C18" t="inlineStr"/>
    </row>
    <row r="19">
      <c r="A19" t="inlineStr">
        <is>
          <t>Bug phát hiện</t>
        </is>
      </c>
      <c r="B19" t="inlineStr"/>
      <c r="C19" t="inlineStr"/>
    </row>
    <row r="20">
      <c r="A20" t="inlineStr">
        <is>
          <t xml:space="preserve">  P0/Critical fail</t>
        </is>
      </c>
      <c r="B20" t="n">
        <v>35</v>
      </c>
      <c r="C20" t="inlineStr">
        <is>
          <t>🚨 BLOCKER</t>
        </is>
      </c>
    </row>
    <row r="21">
      <c r="A21" t="inlineStr">
        <is>
          <t xml:space="preserve">  P1/High fail</t>
        </is>
      </c>
      <c r="B21" t="n">
        <v>52</v>
      </c>
      <c r="C21" t="inlineStr">
        <is>
          <t>⚠️ High priority</t>
        </is>
      </c>
    </row>
    <row r="22">
      <c r="A22" t="inlineStr"/>
      <c r="B22" t="inlineStr"/>
      <c r="C22" t="inlineStr"/>
    </row>
    <row r="23">
      <c r="A23" t="inlineStr">
        <is>
          <t>Exit Criteria</t>
        </is>
      </c>
      <c r="B23" t="inlineStr"/>
      <c r="C23" t="inlineStr"/>
    </row>
    <row r="24">
      <c r="A24" t="inlineStr">
        <is>
          <t xml:space="preserve">  P0 100% pass</t>
        </is>
      </c>
      <c r="B24" t="inlineStr">
        <is>
          <t>❌ FAIL</t>
        </is>
      </c>
      <c r="C24" t="inlineStr"/>
    </row>
    <row r="25">
      <c r="A25" t="inlineStr">
        <is>
          <t xml:space="preserve">  P1 &gt;= 95% pass</t>
        </is>
      </c>
      <c r="B25" t="inlineStr">
        <is>
          <t>❌ FAIL</t>
        </is>
      </c>
      <c r="C25" t="inlineStr"/>
    </row>
    <row r="26">
      <c r="A26" t="inlineStr">
        <is>
          <t xml:space="preserve">  Overall &gt;= 80%</t>
        </is>
      </c>
      <c r="B26" t="inlineStr">
        <is>
          <t>❌ FAIL</t>
        </is>
      </c>
      <c r="C26" t="inlineStr">
        <is>
          <t>7.0%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4" customWidth="1" min="4" max="4"/>
    <col width="14" customWidth="1" min="5" max="5"/>
    <col width="14" customWidth="1" min="6" max="6"/>
  </cols>
  <sheetData>
    <row r="1" ht="35" customHeight="1">
      <c r="A1" s="1" t="inlineStr">
        <is>
          <t>📊 DASHBOARD - UAT EXECUTION SUMMARY</t>
        </is>
      </c>
    </row>
    <row r="3">
      <c r="A3" s="2" t="inlineStr">
        <is>
          <t>TỔNG QUAN</t>
        </is>
      </c>
    </row>
    <row r="4">
      <c r="A4" s="3" t="inlineStr">
        <is>
          <t>Tổng số TC</t>
        </is>
      </c>
      <c r="B4" s="4" t="n">
        <v>315</v>
      </c>
      <c r="C4" s="5" t="inlineStr">
        <is>
          <t>Số test case đã viết</t>
        </is>
      </c>
    </row>
    <row r="5">
      <c r="A5" s="3" t="inlineStr">
        <is>
          <t>✅ Đạt (cả 2 layer)</t>
        </is>
      </c>
      <c r="B5" s="4">
        <f>SUMPRODUCT(('Test Cases'!R4:R318="Đạt")*('Test Cases'!S4:S318="Đạt"))</f>
        <v/>
      </c>
      <c r="C5" s="5" t="inlineStr">
        <is>
          <t>TC pass cả API VÀ E2E</t>
        </is>
      </c>
    </row>
    <row r="6">
      <c r="A6" s="3" t="inlineStr">
        <is>
          <t>❌ Không đạt</t>
        </is>
      </c>
      <c r="B6" s="4">
        <f>SUMPRODUCT((('Test Cases'!R4:R318="Không đạt")+('Test Cases'!S4:S318="Không đạt"))&gt;0)*1</f>
        <v/>
      </c>
      <c r="C6" s="5" t="inlineStr">
        <is>
          <t>TC fail ít nhất 1 layer</t>
        </is>
      </c>
    </row>
    <row r="7">
      <c r="A7" s="3" t="inlineStr">
        <is>
          <t>API Đạt</t>
        </is>
      </c>
      <c r="B7" s="4">
        <f>COUNTIF('Test Cases'!R4:R318,"Đạt")</f>
        <v/>
      </c>
      <c r="C7" s="5" t="inlineStr">
        <is>
          <t>Layer 1 — API smoke</t>
        </is>
      </c>
    </row>
    <row r="8">
      <c r="A8" s="3" t="inlineStr">
        <is>
          <t>API Không đạt</t>
        </is>
      </c>
      <c r="B8" s="4">
        <f>COUNTIF('Test Cases'!R4:R318,"Không đạt")</f>
        <v/>
      </c>
      <c r="C8" s="5" t="inlineStr">
        <is>
          <t>API fail</t>
        </is>
      </c>
    </row>
    <row r="9">
      <c r="A9" s="3" t="inlineStr">
        <is>
          <t>E2E Đạt</t>
        </is>
      </c>
      <c r="B9" s="4">
        <f>COUNTIF('Test Cases'!S4:S318,"Đạt")</f>
        <v/>
      </c>
      <c r="C9" s="5" t="inlineStr">
        <is>
          <t>Layer 2 — UI E2E</t>
        </is>
      </c>
    </row>
    <row r="10">
      <c r="A10" s="3" t="inlineStr">
        <is>
          <t>E2E Không đạt</t>
        </is>
      </c>
      <c r="B10" s="4">
        <f>COUNTIF('Test Cases'!S4:S318,"Không đạt")</f>
        <v/>
      </c>
      <c r="C10" s="5" t="inlineStr">
        <is>
          <t>E2E fail</t>
        </is>
      </c>
    </row>
    <row r="11">
      <c r="A11" s="3" t="inlineStr">
        <is>
          <t>E2E Bỏ qua</t>
        </is>
      </c>
      <c r="B11" s="4">
        <f>COUNTIF('Test Cases'!S4:S318,"Bỏ qua")</f>
        <v/>
      </c>
      <c r="C11" s="5" t="inlineStr">
        <is>
          <t>Skip do API smoke fail</t>
        </is>
      </c>
    </row>
    <row r="12">
      <c r="A12" s="3" t="inlineStr">
        <is>
          <t>Chưa chạy</t>
        </is>
      </c>
      <c r="B12" s="4">
        <f>COUNTBLANK('Test Cases'!R4:R318)+COUNTIF('Test Cases'!R4:R318,"Chưa chạy")</f>
        <v/>
      </c>
      <c r="C12" s="5" t="inlineStr">
        <is>
          <t>Còn lại</t>
        </is>
      </c>
    </row>
    <row r="14">
      <c r="A14" s="3" t="inlineStr">
        <is>
          <t>Tỷ lệ đạt (cả 2 layer)</t>
        </is>
      </c>
      <c r="B14" s="6">
        <f>IFERROR(SUMPRODUCT(('Test Cases'!R4:R318="Đạt")*('Test Cases'!S4:S318="Đạt"))/(SUMPRODUCT(('Test Cases'!R4:R318="Đạt")*('Test Cases'!S4:S318="Đạt"))+SUMPRODUCT((('Test Cases'!R4:R318="Không đạt")+('Test Cases'!S4:S318="Không đạt"))&gt;0)),0)</f>
        <v/>
      </c>
      <c r="C14" s="7" t="inlineStr">
        <is>
          <t>API+E2E đều Đạt / Tổng đã chạy</t>
        </is>
      </c>
    </row>
    <row r="15">
      <c r="A15" s="3" t="inlineStr">
        <is>
          <t>API pass rate</t>
        </is>
      </c>
      <c r="B15" s="8">
        <f>IFERROR(COUNTIF('Test Cases'!R4:R318,"Đạt")/(COUNTIF('Test Cases'!R4:R318,"Đạt")+COUNTIF('Test Cases'!R4:R318,"Không đạt")),0)</f>
        <v/>
      </c>
      <c r="C15" s="7" t="inlineStr">
        <is>
          <t>Layer 1</t>
        </is>
      </c>
    </row>
    <row r="16">
      <c r="A16" s="3" t="inlineStr">
        <is>
          <t>E2E pass rate</t>
        </is>
      </c>
      <c r="B16" s="8">
        <f>IFERROR(COUNTIF('Test Cases'!S4:S318,"Đạt")/(COUNTIF('Test Cases'!S4:S318,"Đạt")+COUNTIF('Test Cases'!S4:S318,"Không đạt")),0)</f>
        <v/>
      </c>
      <c r="C16" s="7" t="inlineStr">
        <is>
          <t>Layer 2 (UI Chromium)</t>
        </is>
      </c>
    </row>
    <row r="17">
      <c r="A17" s="3" t="inlineStr">
        <is>
          <t>Tỷ lệ hoàn thành</t>
        </is>
      </c>
      <c r="B17" s="9">
        <f>IFERROR((COUNTIF('Test Cases'!R4:R318,"Đạt")+COUNTIF('Test Cases'!R4:R318,"Không đạt")+COUNTIF('Test Cases'!R4:R318,"Bị chặn"))/315,0)</f>
        <v/>
      </c>
      <c r="C17" s="7" t="inlineStr">
        <is>
          <t>API đã chạy / Tổng</t>
        </is>
      </c>
    </row>
    <row r="19">
      <c r="A19" s="10" t="inlineStr">
        <is>
          <t>ĐỘ PHỦ THEO LOẠI</t>
        </is>
      </c>
    </row>
    <row r="20">
      <c r="A20" s="11" t="inlineStr">
        <is>
          <t>Loại</t>
        </is>
      </c>
      <c r="B20" s="11" t="inlineStr">
        <is>
          <t>Số TC</t>
        </is>
      </c>
      <c r="C20" s="11" t="inlineStr">
        <is>
          <t>Tỷ lệ</t>
        </is>
      </c>
      <c r="D20" s="11" t="inlineStr">
        <is>
          <t>Pass</t>
        </is>
      </c>
      <c r="E20" s="11" t="inlineStr">
        <is>
          <t>Fail</t>
        </is>
      </c>
      <c r="F20" s="11" t="inlineStr">
        <is>
          <t>Pass rate</t>
        </is>
      </c>
    </row>
    <row r="21">
      <c r="A21" s="12" t="inlineStr">
        <is>
          <t>GREEN</t>
        </is>
      </c>
      <c r="B21" s="13">
        <f>COUNTIF('Test Cases'!B4:B318,"GREEN")</f>
        <v/>
      </c>
      <c r="C21" s="14">
        <f>IFERROR(B21/315,0)</f>
        <v/>
      </c>
      <c r="D21" s="13">
        <f>COUNTIFS('Test Cases'!B4:B318,"GREEN",'Test Cases'!S4:S318,"Đạt")</f>
        <v/>
      </c>
      <c r="E21" s="13">
        <f>COUNTIFS('Test Cases'!B4:B318,"GREEN",'Test Cases'!S4:S318,"Không đạt")</f>
        <v/>
      </c>
      <c r="F21" s="14">
        <f>IFERROR(D21/(D21+E21),0)</f>
        <v/>
      </c>
    </row>
    <row r="22">
      <c r="A22" s="15" t="inlineStr">
        <is>
          <t>RED</t>
        </is>
      </c>
      <c r="B22" s="13">
        <f>COUNTIF('Test Cases'!B4:B318,"RED")</f>
        <v/>
      </c>
      <c r="C22" s="14">
        <f>IFERROR(B22/315,0)</f>
        <v/>
      </c>
      <c r="D22" s="13">
        <f>COUNTIFS('Test Cases'!B4:B318,"RED",'Test Cases'!S4:S318,"Đạt")</f>
        <v/>
      </c>
      <c r="E22" s="13">
        <f>COUNTIFS('Test Cases'!B4:B318,"RED",'Test Cases'!S4:S318,"Không đạt")</f>
        <v/>
      </c>
      <c r="F22" s="14">
        <f>IFERROR(D22/(D22+E22),0)</f>
        <v/>
      </c>
    </row>
    <row r="23">
      <c r="A23" s="16" t="inlineStr">
        <is>
          <t>EDGE</t>
        </is>
      </c>
      <c r="B23" s="13">
        <f>COUNTIF('Test Cases'!B4:B318,"EDGE")</f>
        <v/>
      </c>
      <c r="C23" s="14">
        <f>IFERROR(B23/315,0)</f>
        <v/>
      </c>
      <c r="D23" s="13">
        <f>COUNTIFS('Test Cases'!B4:B318,"EDGE",'Test Cases'!S4:S318,"Đạt")</f>
        <v/>
      </c>
      <c r="E23" s="13">
        <f>COUNTIFS('Test Cases'!B4:B318,"EDGE",'Test Cases'!S4:S318,"Không đạt")</f>
        <v/>
      </c>
      <c r="F23" s="14">
        <f>IFERROR(D23/(D23+E23),0)</f>
        <v/>
      </c>
    </row>
    <row r="24">
      <c r="A24" s="17" t="inlineStr">
        <is>
          <t>BOUNDARY</t>
        </is>
      </c>
      <c r="B24" s="13">
        <f>COUNTIF('Test Cases'!B4:B318,"BOUNDARY")</f>
        <v/>
      </c>
      <c r="C24" s="14">
        <f>IFERROR(B24/315,0)</f>
        <v/>
      </c>
      <c r="D24" s="13">
        <f>COUNTIFS('Test Cases'!B4:B318,"BOUNDARY",'Test Cases'!S4:S318,"Đạt")</f>
        <v/>
      </c>
      <c r="E24" s="13">
        <f>COUNTIFS('Test Cases'!B4:B318,"BOUNDARY",'Test Cases'!S4:S318,"Không đạt")</f>
        <v/>
      </c>
      <c r="F24" s="14">
        <f>IFERROR(D24/(D24+E24),0)</f>
        <v/>
      </c>
    </row>
    <row r="25">
      <c r="A25" s="18" t="inlineStr">
        <is>
          <t>EP</t>
        </is>
      </c>
      <c r="B25" s="13">
        <f>COUNTIF('Test Cases'!B4:B318,"EP")</f>
        <v/>
      </c>
      <c r="C25" s="14">
        <f>IFERROR(B25/315,0)</f>
        <v/>
      </c>
      <c r="D25" s="13">
        <f>COUNTIFS('Test Cases'!B4:B318,"EP",'Test Cases'!S4:S318,"Đạt")</f>
        <v/>
      </c>
      <c r="E25" s="13">
        <f>COUNTIFS('Test Cases'!B4:B318,"EP",'Test Cases'!S4:S318,"Không đạt")</f>
        <v/>
      </c>
      <c r="F25" s="14">
        <f>IFERROR(D25/(D25+E25),0)</f>
        <v/>
      </c>
    </row>
    <row r="26">
      <c r="A26" s="19" t="inlineStr">
        <is>
          <t>STATE</t>
        </is>
      </c>
      <c r="B26" s="13">
        <f>COUNTIF('Test Cases'!B4:B318,"STATE")</f>
        <v/>
      </c>
      <c r="C26" s="14">
        <f>IFERROR(B26/315,0)</f>
        <v/>
      </c>
      <c r="D26" s="13">
        <f>COUNTIFS('Test Cases'!B4:B318,"STATE",'Test Cases'!S4:S318,"Đạt")</f>
        <v/>
      </c>
      <c r="E26" s="13">
        <f>COUNTIFS('Test Cases'!B4:B318,"STATE",'Test Cases'!S4:S318,"Không đạt")</f>
        <v/>
      </c>
      <c r="F26" s="14">
        <f>IFERROR(D26/(D26+E26),0)</f>
        <v/>
      </c>
    </row>
    <row r="27">
      <c r="A27" s="20" t="inlineStr">
        <is>
          <t>DECISION</t>
        </is>
      </c>
      <c r="B27" s="13">
        <f>COUNTIF('Test Cases'!B4:B318,"DECISION")</f>
        <v/>
      </c>
      <c r="C27" s="14">
        <f>IFERROR(B27/315,0)</f>
        <v/>
      </c>
      <c r="D27" s="13">
        <f>COUNTIFS('Test Cases'!B4:B318,"DECISION",'Test Cases'!S4:S318,"Đạt")</f>
        <v/>
      </c>
      <c r="E27" s="13">
        <f>COUNTIFS('Test Cases'!B4:B318,"DECISION",'Test Cases'!S4:S318,"Không đạt")</f>
        <v/>
      </c>
      <c r="F27" s="14">
        <f>IFERROR(D27/(D27+E27),0)</f>
        <v/>
      </c>
    </row>
    <row r="28">
      <c r="A28" s="21" t="inlineStr">
        <is>
          <t>SECURITY</t>
        </is>
      </c>
      <c r="B28" s="13">
        <f>COUNTIF('Test Cases'!B4:B318,"SECURITY")</f>
        <v/>
      </c>
      <c r="C28" s="14">
        <f>IFERROR(B28/315,0)</f>
        <v/>
      </c>
      <c r="D28" s="13">
        <f>COUNTIFS('Test Cases'!B4:B318,"SECURITY",'Test Cases'!S4:S318,"Đạt")</f>
        <v/>
      </c>
      <c r="E28" s="13">
        <f>COUNTIFS('Test Cases'!B4:B318,"SECURITY",'Test Cases'!S4:S318,"Không đạt")</f>
        <v/>
      </c>
      <c r="F28" s="14">
        <f>IFERROR(D28/(D28+E28),0)</f>
        <v/>
      </c>
    </row>
    <row r="29">
      <c r="A29" s="22" t="inlineStr">
        <is>
          <t>DATA</t>
        </is>
      </c>
      <c r="B29" s="13">
        <f>COUNTIF('Test Cases'!B4:B318,"DATA")</f>
        <v/>
      </c>
      <c r="C29" s="14">
        <f>IFERROR(B29/315,0)</f>
        <v/>
      </c>
      <c r="D29" s="13">
        <f>COUNTIFS('Test Cases'!B4:B318,"DATA",'Test Cases'!S4:S318,"Đạt")</f>
        <v/>
      </c>
      <c r="E29" s="13">
        <f>COUNTIFS('Test Cases'!B4:B318,"DATA",'Test Cases'!S4:S318,"Không đạt")</f>
        <v/>
      </c>
      <c r="F29" s="14">
        <f>IFERROR(D29/(D29+E29),0)</f>
        <v/>
      </c>
    </row>
    <row r="30">
      <c r="A30" s="23" t="inlineStr">
        <is>
          <t>PERFORMANCE</t>
        </is>
      </c>
      <c r="B30" s="13">
        <f>COUNTIF('Test Cases'!B4:B318,"PERFORMANCE")</f>
        <v/>
      </c>
      <c r="C30" s="14">
        <f>IFERROR(B30/315,0)</f>
        <v/>
      </c>
      <c r="D30" s="13">
        <f>COUNTIFS('Test Cases'!B4:B318,"PERFORMANCE",'Test Cases'!S4:S318,"Đạt")</f>
        <v/>
      </c>
      <c r="E30" s="13">
        <f>COUNTIFS('Test Cases'!B4:B318,"PERFORMANCE",'Test Cases'!S4:S318,"Không đạt")</f>
        <v/>
      </c>
      <c r="F30" s="14">
        <f>IFERROR(D30/(D30+E30),0)</f>
        <v/>
      </c>
    </row>
    <row r="31">
      <c r="A31" s="24" t="inlineStr">
        <is>
          <t>A11Y</t>
        </is>
      </c>
      <c r="B31" s="13">
        <f>COUNTIF('Test Cases'!B4:B318,"A11Y")</f>
        <v/>
      </c>
      <c r="C31" s="14">
        <f>IFERROR(B31/315,0)</f>
        <v/>
      </c>
      <c r="D31" s="13">
        <f>COUNTIFS('Test Cases'!B4:B318,"A11Y",'Test Cases'!S4:S318,"Đạt")</f>
        <v/>
      </c>
      <c r="E31" s="13">
        <f>COUNTIFS('Test Cases'!B4:B318,"A11Y",'Test Cases'!S4:S318,"Không đạt")</f>
        <v/>
      </c>
      <c r="F31" s="14">
        <f>IFERROR(D31/(D31+E31),0)</f>
        <v/>
      </c>
    </row>
    <row r="32">
      <c r="A32" s="25" t="inlineStr">
        <is>
          <t>COMPAT</t>
        </is>
      </c>
      <c r="B32" s="13">
        <f>COUNTIF('Test Cases'!B4:B318,"COMPAT")</f>
        <v/>
      </c>
      <c r="C32" s="14">
        <f>IFERROR(B32/315,0)</f>
        <v/>
      </c>
      <c r="D32" s="13">
        <f>COUNTIFS('Test Cases'!B4:B318,"COMPAT",'Test Cases'!S4:S318,"Đạt")</f>
        <v/>
      </c>
      <c r="E32" s="13">
        <f>COUNTIFS('Test Cases'!B4:B318,"COMPAT",'Test Cases'!S4:S318,"Không đạt")</f>
        <v/>
      </c>
      <c r="F32" s="14">
        <f>IFERROR(D32/(D32+E32),0)</f>
        <v/>
      </c>
    </row>
    <row r="33">
      <c r="A33" s="26" t="inlineStr">
        <is>
          <t>INTEGRATION</t>
        </is>
      </c>
      <c r="B33" s="13">
        <f>COUNTIF('Test Cases'!B4:B318,"INTEGRATION")</f>
        <v/>
      </c>
      <c r="C33" s="14">
        <f>IFERROR(B33/315,0)</f>
        <v/>
      </c>
      <c r="D33" s="13">
        <f>COUNTIFS('Test Cases'!B4:B318,"INTEGRATION",'Test Cases'!S4:S318,"Đạt")</f>
        <v/>
      </c>
      <c r="E33" s="13">
        <f>COUNTIFS('Test Cases'!B4:B318,"INTEGRATION",'Test Cases'!S4:S318,"Không đạt")</f>
        <v/>
      </c>
      <c r="F33" s="14">
        <f>IFERROR(D33/(D33+E33),0)</f>
        <v/>
      </c>
    </row>
    <row r="34">
      <c r="A34" s="27" t="inlineStr">
        <is>
          <t>REGRESSION</t>
        </is>
      </c>
      <c r="B34" s="13">
        <f>COUNTIF('Test Cases'!B4:B318,"REGRESSION")</f>
        <v/>
      </c>
      <c r="C34" s="14">
        <f>IFERROR(B34/315,0)</f>
        <v/>
      </c>
      <c r="D34" s="13">
        <f>COUNTIFS('Test Cases'!B4:B318,"REGRESSION",'Test Cases'!S4:S318,"Đạt")</f>
        <v/>
      </c>
      <c r="E34" s="13">
        <f>COUNTIFS('Test Cases'!B4:B318,"REGRESSION",'Test Cases'!S4:S318,"Không đạt")</f>
        <v/>
      </c>
      <c r="F34" s="14">
        <f>IFERROR(D34/(D34+E34),0)</f>
        <v/>
      </c>
    </row>
    <row r="35">
      <c r="A35" s="28" t="inlineStr">
        <is>
          <t>RECOVERY</t>
        </is>
      </c>
      <c r="B35" s="13">
        <f>COUNTIF('Test Cases'!B4:B318,"RECOVERY")</f>
        <v/>
      </c>
      <c r="C35" s="14">
        <f>IFERROR(B35/315,0)</f>
        <v/>
      </c>
      <c r="D35" s="13">
        <f>COUNTIFS('Test Cases'!B4:B318,"RECOVERY",'Test Cases'!S4:S318,"Đạt")</f>
        <v/>
      </c>
      <c r="E35" s="13">
        <f>COUNTIFS('Test Cases'!B4:B318,"RECOVERY",'Test Cases'!S4:S318,"Không đạt")</f>
        <v/>
      </c>
      <c r="F35" s="14">
        <f>IFERROR(D35/(D35+E35),0)</f>
        <v/>
      </c>
    </row>
    <row r="36">
      <c r="A36" s="29" t="inlineStr">
        <is>
          <t>AUDIT</t>
        </is>
      </c>
      <c r="B36" s="13">
        <f>COUNTIF('Test Cases'!B4:B318,"AUDIT")</f>
        <v/>
      </c>
      <c r="C36" s="14">
        <f>IFERROR(B36/315,0)</f>
        <v/>
      </c>
      <c r="D36" s="13">
        <f>COUNTIFS('Test Cases'!B4:B318,"AUDIT",'Test Cases'!S4:S318,"Đạt")</f>
        <v/>
      </c>
      <c r="E36" s="13">
        <f>COUNTIFS('Test Cases'!B4:B318,"AUDIT",'Test Cases'!S4:S318,"Không đạt")</f>
        <v/>
      </c>
      <c r="F36" s="14">
        <f>IFERROR(D36/(D36+E36),0)</f>
        <v/>
      </c>
    </row>
    <row r="37">
      <c r="A37" s="30" t="inlineStr">
        <is>
          <t>USABILITY</t>
        </is>
      </c>
      <c r="B37" s="13">
        <f>COUNTIF('Test Cases'!B4:B318,"USABILITY")</f>
        <v/>
      </c>
      <c r="C37" s="14">
        <f>IFERROR(B37/315,0)</f>
        <v/>
      </c>
      <c r="D37" s="13">
        <f>COUNTIFS('Test Cases'!B4:B318,"USABILITY",'Test Cases'!S4:S318,"Đạt")</f>
        <v/>
      </c>
      <c r="E37" s="13">
        <f>COUNTIFS('Test Cases'!B4:B318,"USABILITY",'Test Cases'!S4:S318,"Không đạt")</f>
        <v/>
      </c>
      <c r="F37" s="14">
        <f>IFERROR(D37/(D37+E37),0)</f>
        <v/>
      </c>
    </row>
    <row r="39">
      <c r="A39" s="10" t="inlineStr">
        <is>
          <t>THEO ĐỘ ƯU TIÊN</t>
        </is>
      </c>
    </row>
    <row r="40">
      <c r="A40" s="11" t="inlineStr">
        <is>
          <t>Priority</t>
        </is>
      </c>
      <c r="B40" s="11" t="inlineStr">
        <is>
          <t>Số TC</t>
        </is>
      </c>
      <c r="C40" s="11" t="inlineStr">
        <is>
          <t>Tỷ lệ</t>
        </is>
      </c>
      <c r="D40" s="11" t="inlineStr">
        <is>
          <t>Pass</t>
        </is>
      </c>
      <c r="E40" s="11" t="inlineStr">
        <is>
          <t>Fail</t>
        </is>
      </c>
      <c r="F40" s="11" t="inlineStr">
        <is>
          <t>Pass rate</t>
        </is>
      </c>
    </row>
    <row r="41">
      <c r="A41" s="31" t="inlineStr">
        <is>
          <t>P0</t>
        </is>
      </c>
      <c r="B41" s="13">
        <f>COUNTIF('Test Cases'!C4:C318,"P0")</f>
        <v/>
      </c>
      <c r="C41" s="14">
        <f>IFERROR(B41/315,0)</f>
        <v/>
      </c>
      <c r="D41" s="13">
        <f>COUNTIFS('Test Cases'!C4:C318,"P0",'Test Cases'!S4:S318,"Đạt")</f>
        <v/>
      </c>
      <c r="E41" s="13">
        <f>COUNTIFS('Test Cases'!C4:C318,"P0",'Test Cases'!S4:S318,"Không đạt")</f>
        <v/>
      </c>
      <c r="F41" s="14">
        <f>IFERROR(D41/(D41+E41),0)</f>
        <v/>
      </c>
    </row>
    <row r="42">
      <c r="A42" s="32" t="inlineStr">
        <is>
          <t>P1</t>
        </is>
      </c>
      <c r="B42" s="13">
        <f>COUNTIF('Test Cases'!C4:C318,"P1")</f>
        <v/>
      </c>
      <c r="C42" s="14">
        <f>IFERROR(B42/315,0)</f>
        <v/>
      </c>
      <c r="D42" s="13">
        <f>COUNTIFS('Test Cases'!C4:C318,"P1",'Test Cases'!S4:S318,"Đạt")</f>
        <v/>
      </c>
      <c r="E42" s="13">
        <f>COUNTIFS('Test Cases'!C4:C318,"P1",'Test Cases'!S4:S318,"Không đạt")</f>
        <v/>
      </c>
      <c r="F42" s="14">
        <f>IFERROR(D42/(D42+E42),0)</f>
        <v/>
      </c>
    </row>
    <row r="43">
      <c r="A43" s="33" t="inlineStr">
        <is>
          <t>P2</t>
        </is>
      </c>
      <c r="B43" s="13">
        <f>COUNTIF('Test Cases'!C4:C318,"P2")</f>
        <v/>
      </c>
      <c r="C43" s="14">
        <f>IFERROR(B43/315,0)</f>
        <v/>
      </c>
      <c r="D43" s="13">
        <f>COUNTIFS('Test Cases'!C4:C318,"P2",'Test Cases'!S4:S318,"Đạt")</f>
        <v/>
      </c>
      <c r="E43" s="13">
        <f>COUNTIFS('Test Cases'!C4:C318,"P2",'Test Cases'!S4:S318,"Không đạt")</f>
        <v/>
      </c>
      <c r="F43" s="14">
        <f>IFERROR(D43/(D43+E43),0)</f>
        <v/>
      </c>
    </row>
    <row r="44">
      <c r="A44" s="34" t="inlineStr">
        <is>
          <t>P3</t>
        </is>
      </c>
      <c r="B44" s="13">
        <f>COUNTIF('Test Cases'!C4:C318,"P3")</f>
        <v/>
      </c>
      <c r="C44" s="14">
        <f>IFERROR(B44/315,0)</f>
        <v/>
      </c>
      <c r="D44" s="13">
        <f>COUNTIFS('Test Cases'!C4:C318,"P3",'Test Cases'!S4:S318,"Đạt")</f>
        <v/>
      </c>
      <c r="E44" s="13">
        <f>COUNTIFS('Test Cases'!C4:C318,"P3",'Test Cases'!S4:S318,"Không đạt")</f>
        <v/>
      </c>
      <c r="F44" s="14">
        <f>IFERROR(D44/(D44+E44),0)</f>
        <v/>
      </c>
    </row>
    <row r="46">
      <c r="A46" s="10" t="inlineStr">
        <is>
          <t>EXIT CRITERIA</t>
        </is>
      </c>
    </row>
    <row r="47">
      <c r="A47" s="11" t="inlineStr">
        <is>
          <t>Tiêu chí</t>
        </is>
      </c>
      <c r="B47" s="11" t="inlineStr">
        <is>
          <t>Yêu cầu</t>
        </is>
      </c>
      <c r="C47" s="11" t="inlineStr">
        <is>
          <t>Thực tế</t>
        </is>
      </c>
      <c r="D47" s="11" t="inlineStr">
        <is>
          <t>Trạng thái</t>
        </is>
      </c>
    </row>
    <row r="48">
      <c r="A48" s="35" t="inlineStr">
        <is>
          <t>P0 pass rate</t>
        </is>
      </c>
      <c r="B48" s="13" t="inlineStr">
        <is>
          <t>≥ 100%</t>
        </is>
      </c>
      <c r="C48" s="14">
        <f>IFERROR(COUNTIFS('Test Cases'!C4:C318,"P0",'Test Cases'!S4:S318,"Đạt")/COUNTIF('Test Cases'!C4:C318,"P0"),0)</f>
        <v/>
      </c>
      <c r="D48" s="13">
        <f>IF(C48&gt;=1,"✅ Đạt","❌ Chưa đạt")</f>
        <v/>
      </c>
    </row>
    <row r="49">
      <c r="A49" s="35" t="inlineStr">
        <is>
          <t>P1 pass rate</t>
        </is>
      </c>
      <c r="B49" s="13" t="inlineStr">
        <is>
          <t>≥ 95%</t>
        </is>
      </c>
      <c r="C49" s="14">
        <f>IFERROR(COUNTIFS('Test Cases'!C4:C318,"P1",'Test Cases'!S4:S318,"Đạt")/COUNTIF('Test Cases'!C4:C318,"P1"),0)</f>
        <v/>
      </c>
      <c r="D49" s="13">
        <f>IF(C49&gt;=0.95,"✅ Đạt","❌ Chưa đạt")</f>
        <v/>
      </c>
    </row>
    <row r="50">
      <c r="A50" s="35" t="inlineStr">
        <is>
          <t>P2 pass rate</t>
        </is>
      </c>
      <c r="B50" s="13" t="inlineStr">
        <is>
          <t>≥ 85%</t>
        </is>
      </c>
      <c r="C50" s="14">
        <f>IFERROR(COUNTIFS('Test Cases'!C4:C318,"P2",'Test Cases'!S4:S318,"Đạt")/MAX(COUNTIF('Test Cases'!C4:C318,"P2"),1),1)</f>
        <v/>
      </c>
      <c r="D50" s="13">
        <f>IF(C50&gt;=0.85,"✅ Đạt","❌ Chưa đạt")</f>
        <v/>
      </c>
    </row>
    <row r="51">
      <c r="A51" s="35" t="inlineStr">
        <is>
          <t>Bug Critical mở</t>
        </is>
      </c>
      <c r="B51" s="13">
        <f> 0</f>
        <v/>
      </c>
      <c r="C51" s="13">
        <f>COUNTIFS('Bug Tracker'!D:D,"Critical",'Bug Tracker'!E:E,"Open")+COUNTIFS('Bug Tracker'!D:D,"Critical",'Bug Tracker'!E:E,"Fixing")+COUNTIFS('Bug Tracker'!D:D,"Critical",'Bug Tracker'!E:E,"Fixed")</f>
        <v/>
      </c>
      <c r="D51" s="13">
        <f>IF(C51=0,"✅ Đạt","❌ Chưa đạt")</f>
        <v/>
      </c>
    </row>
    <row r="52">
      <c r="A52" s="36" t="inlineStr">
        <is>
          <t>TC bị regression</t>
        </is>
      </c>
      <c r="B52" s="13">
        <f> 0</f>
        <v/>
      </c>
      <c r="C52" s="13">
        <f>COUNTIF('Test Cases'!U:U,"⚠️ REGRESSION")</f>
        <v/>
      </c>
      <c r="D52" s="13">
        <f>IF(C52=0,"✅ Không có","🚨 BLOCK RELEASE")</f>
        <v/>
      </c>
    </row>
    <row r="53">
      <c r="A53" s="36" t="inlineStr">
        <is>
          <t>Regression chưa fix</t>
        </is>
      </c>
      <c r="B53" s="13">
        <f> 0</f>
        <v/>
      </c>
      <c r="C53" s="13">
        <f>COUNTIF('Regression Log'!K:K,"No")+COUNTIF('Regression Log'!K:K,"Verifying")</f>
        <v/>
      </c>
      <c r="D53" s="13">
        <f>IF(C53=0,"✅ Không có","🚨 BLOCK RELEASE")</f>
        <v/>
      </c>
    </row>
    <row r="55" ht="40" customHeight="1">
      <c r="A55" s="37">
        <f>IF(OR(C52&gt;0,C53&gt;0),"🚨 CẢNH BÁO REGRESSION: "&amp;C52&amp;" TC level-down, "&amp;C53&amp;" bug regression chưa fix - XEM Regression Log sheet","")</f>
        <v/>
      </c>
    </row>
    <row r="57" ht="30" customHeight="1">
      <c r="A57" s="38">
        <f>IF(AND(C48&gt;=1,C49&gt;=0.95,C50&gt;=0.85,C51=0,C52=0,C53=0),"🎉 SẴN SÀNG RELEASE",IF(OR(C52&gt;0,C53&gt;0),"⛔ BLOCK RELEASE — CÓ REGRESSION (LEVEL DOWN)","⛔ CHƯA SẴN SÀNG RELEASE"))</f>
        <v/>
      </c>
    </row>
  </sheetData>
  <mergeCells count="7">
    <mergeCell ref="A46:F46"/>
    <mergeCell ref="A19:F19"/>
    <mergeCell ref="A1:F1"/>
    <mergeCell ref="A3:F3"/>
    <mergeCell ref="A39:F39"/>
    <mergeCell ref="A55:F55"/>
    <mergeCell ref="A57:F57"/>
  </mergeCells>
  <conditionalFormatting sqref="D52">
    <cfRule type="cellIs" priority="1" operator="equal" dxfId="0">
      <formula>"🚨 BLOCK RELEASE"</formula>
    </cfRule>
  </conditionalFormatting>
  <conditionalFormatting sqref="D53">
    <cfRule type="cellIs" priority="2" operator="equal" dxfId="0">
      <formula>"🚨 BLOCK RELEASE"</formula>
    </cfRule>
  </conditionalFormatting>
  <conditionalFormatting sqref="A57">
    <cfRule type="expression" priority="3" dxfId="1">
      <formula>OR(C52&gt;0,C53&gt;0)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18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5" customWidth="1" min="4" max="4"/>
    <col width="35" customWidth="1" min="5" max="5"/>
    <col width="14" customWidth="1" min="6" max="6"/>
    <col width="18" customWidth="1" min="7" max="7"/>
    <col width="13" customWidth="1" min="8" max="8"/>
    <col width="30" customWidth="1" min="9" max="9"/>
    <col width="40" customWidth="1" min="10" max="10"/>
    <col width="25" customWidth="1" min="11" max="11"/>
    <col width="22" customWidth="1" min="12" max="12"/>
    <col width="35" customWidth="1" min="13" max="13"/>
    <col width="30" customWidth="1" min="14" max="14"/>
    <col width="30" customWidth="1" min="15" max="15"/>
    <col width="14" customWidth="1" min="16" max="16"/>
    <col width="35" customWidth="1" min="17" max="17"/>
    <col width="14" customWidth="1" min="18" max="18"/>
    <col width="14" customWidth="1" min="19" max="19"/>
    <col width="14" customWidth="1" min="20" max="20"/>
    <col width="16" customWidth="1" min="21" max="21"/>
    <col width="22" customWidth="1" min="22" max="22"/>
    <col width="14" customWidth="1" min="23" max="23"/>
    <col width="25" customWidth="1" min="24" max="24"/>
  </cols>
  <sheetData>
    <row r="1" ht="30" customHeight="1">
      <c r="A1" s="38" t="inlineStr">
        <is>
          <t>BỘ TEST CASE UAT: Document Number Engine v0.42</t>
        </is>
      </c>
    </row>
    <row r="2">
      <c r="A2" s="39" t="inlineStr">
        <is>
          <t>Tổng số TC: 315 | Ngày tạo: 25/05/2026 | Generated by uat-test-writer skill</t>
        </is>
      </c>
    </row>
    <row r="3" ht="40" customHeight="1">
      <c r="A3" s="40" t="inlineStr">
        <is>
          <t>TC-ID</t>
        </is>
      </c>
      <c r="B3" s="40" t="inlineStr">
        <is>
          <t>Loại</t>
        </is>
      </c>
      <c r="C3" s="40" t="inlineStr">
        <is>
          <t>Độ ưu tiên</t>
        </is>
      </c>
      <c r="D3" s="40" t="inlineStr">
        <is>
          <t>Module</t>
        </is>
      </c>
      <c r="E3" s="40" t="inlineStr">
        <is>
          <t>Tiêu đề</t>
        </is>
      </c>
      <c r="F3" s="40" t="inlineStr">
        <is>
          <t>Yêu cầu</t>
        </is>
      </c>
      <c r="G3" s="40" t="inlineStr">
        <is>
          <t>Kỹ thuật test</t>
        </is>
      </c>
      <c r="H3" s="40" t="inlineStr">
        <is>
          <t>Mức độ rủi ro</t>
        </is>
      </c>
      <c r="I3" s="40" t="inlineStr">
        <is>
          <t>Điều kiện tiên quyết</t>
        </is>
      </c>
      <c r="J3" s="40" t="inlineStr">
        <is>
          <t>Các bước kiểm thử</t>
        </is>
      </c>
      <c r="K3" s="40" t="inlineStr">
        <is>
          <t>Dữ liệu kiểm thử</t>
        </is>
      </c>
      <c r="L3" s="40" t="inlineStr">
        <is>
          <t>Data fixtures cần</t>
        </is>
      </c>
      <c r="M3" s="40" t="inlineStr">
        <is>
          <t>Kết quả mong đợi - UI</t>
        </is>
      </c>
      <c r="N3" s="40" t="inlineStr">
        <is>
          <t>Kết quả mong đợi - API</t>
        </is>
      </c>
      <c r="O3" s="40" t="inlineStr">
        <is>
          <t>Kết quả mong đợi - Side effects</t>
        </is>
      </c>
      <c r="P3" s="40" t="inlineStr">
        <is>
          <t>Severity nếu fail</t>
        </is>
      </c>
      <c r="Q3" s="40" t="inlineStr">
        <is>
          <t>Kết quả thực tế</t>
        </is>
      </c>
      <c r="R3" s="40" t="inlineStr">
        <is>
          <t>Trạng thái API</t>
        </is>
      </c>
      <c r="S3" s="40" t="inlineStr">
        <is>
          <t>Trạng thái E2E</t>
        </is>
      </c>
      <c r="T3" s="40" t="inlineStr">
        <is>
          <t>Bug ID</t>
        </is>
      </c>
      <c r="U3" s="40" t="inlineStr">
        <is>
          <t>Lần chạy cuối</t>
        </is>
      </c>
      <c r="V3" s="40" t="inlineStr">
        <is>
          <t>Lịch sử chạy</t>
        </is>
      </c>
      <c r="W3" s="40" t="inlineStr">
        <is>
          <t>Cờ regression</t>
        </is>
      </c>
      <c r="X3" s="40" t="inlineStr">
        <is>
          <t>Ghi chú</t>
        </is>
      </c>
    </row>
    <row r="4" ht="80" customHeight="1">
      <c r="A4" s="41" t="inlineStr">
        <is>
          <t>TC-001</t>
        </is>
      </c>
      <c r="B4" s="42" t="inlineStr">
        <is>
          <t>GREEN</t>
        </is>
      </c>
      <c r="C4" s="43" t="inlineStr">
        <is>
          <t>P0</t>
        </is>
      </c>
      <c r="D4" s="44" t="inlineStr">
        <is>
          <t>Draft Number</t>
        </is>
      </c>
      <c r="E4" s="44" t="inlineStr">
        <is>
          <t>GREEN: POST /draft INCIDENT — officer nhận preview mã vụ việc</t>
        </is>
      </c>
      <c r="F4" s="41" t="inlineStr">
        <is>
          <t>REQ-FUNC-001</t>
        </is>
      </c>
      <c r="G4" s="41" t="inlineStr">
        <is>
          <t>Happy Path</t>
        </is>
      </c>
      <c r="H4" s="41" t="inlineStr">
        <is>
          <t>Cao</t>
        </is>
      </c>
      <c r="I4" s="44" t="inlineStr">
        <is>
          <t>Đăng nhập officer. Template INCIDENT active.</t>
        </is>
      </c>
      <c r="J4" s="44" t="inlineStr">
        <is>
          <t>1. POST /api/v1/document-numbers/draft
2. Body: {documentType:'INCIDENT'}</t>
        </is>
      </c>
      <c r="K4" s="44" t="inlineStr">
        <is>
          <t>user.officer, template.incident.active</t>
        </is>
      </c>
      <c r="L4" s="44" t="inlineStr">
        <is>
          <t>user.officer, template.incident.active</t>
        </is>
      </c>
      <c r="M4" s="44" t="inlineStr">
        <is>
          <t>200 OK. {previewNumber:'VV-2026-000XX', isDraft:true}. Counter không tăng.</t>
        </is>
      </c>
      <c r="N4" s="44" t="inlineStr"/>
      <c r="O4" s="44" t="inlineStr"/>
      <c r="P4" s="41" t="inlineStr">
        <is>
          <t>[API] Đạt như expected. Thời gian: 0ms</t>
        </is>
      </c>
      <c r="Q4" s="44" t="inlineStr">
        <is>
          <t>Đạt</t>
        </is>
      </c>
      <c r="R4" s="41" t="inlineStr"/>
      <c r="S4" s="41" t="inlineStr"/>
      <c r="T4" s="41" t="inlineStr">
        <is>
          <t>26/05/2026 02:10</t>
        </is>
      </c>
      <c r="U4" s="41" t="inlineStr"/>
      <c r="V4" s="44" t="inlineStr"/>
      <c r="W4" s="41" t="inlineStr"/>
      <c r="X4" s="44" t="inlineStr"/>
    </row>
    <row r="5" ht="80" customHeight="1">
      <c r="A5" s="41" t="inlineStr">
        <is>
          <t>TC-002</t>
        </is>
      </c>
      <c r="B5" s="42" t="inlineStr">
        <is>
          <t>GREEN</t>
        </is>
      </c>
      <c r="C5" s="43" t="inlineStr">
        <is>
          <t>P0</t>
        </is>
      </c>
      <c r="D5" s="44" t="inlineStr">
        <is>
          <t>Commit Number</t>
        </is>
      </c>
      <c r="E5" s="44" t="inlineStr">
        <is>
          <t>GREEN: POST /commit INCIDENT — counter tăng, log ghi isDraft=false</t>
        </is>
      </c>
      <c r="F5" s="41" t="inlineStr">
        <is>
          <t>REQ-FUNC-002</t>
        </is>
      </c>
      <c r="G5" s="41" t="inlineStr">
        <is>
          <t>Happy Path</t>
        </is>
      </c>
      <c r="H5" s="41" t="inlineStr">
        <is>
          <t>Cao</t>
        </is>
      </c>
      <c r="I5" s="44" t="inlineStr">
        <is>
          <t>Officer. Template INCIDENT active. Counter = N.</t>
        </is>
      </c>
      <c r="J5" s="44" t="inlineStr">
        <is>
          <t>1. POST /commit {documentType:'INCIDENT'}
2. Kiểm tra counter</t>
        </is>
      </c>
      <c r="K5" s="44" t="inlineStr">
        <is>
          <t>user.officer, template.incident.active, counter.incident.value_50</t>
        </is>
      </c>
      <c r="L5" s="44" t="inlineStr">
        <is>
          <t>user.officer, template.incident.active, counter.incident.value_50</t>
        </is>
      </c>
      <c r="M5" s="44" t="inlineStr">
        <is>
          <t>200. {number:'VV-2026-NNNXX', logId, changed}. Counter=N+1. Log isDraft=false.</t>
        </is>
      </c>
      <c r="N5" s="44" t="inlineStr"/>
      <c r="O5" s="44" t="inlineStr"/>
      <c r="P5" s="41" t="inlineStr">
        <is>
          <t>[API] Đạt như expected. Thời gian: 0ms</t>
        </is>
      </c>
      <c r="Q5" s="44" t="inlineStr">
        <is>
          <t>Đạt</t>
        </is>
      </c>
      <c r="R5" s="41" t="inlineStr"/>
      <c r="S5" s="41" t="inlineStr"/>
      <c r="T5" s="41" t="inlineStr">
        <is>
          <t>26/05/2026 02:10</t>
        </is>
      </c>
      <c r="U5" s="41" t="inlineStr"/>
      <c r="V5" s="44" t="inlineStr"/>
      <c r="W5" s="41" t="inlineStr"/>
      <c r="X5" s="44" t="inlineStr"/>
    </row>
    <row r="6" ht="80" customHeight="1">
      <c r="A6" s="41" t="inlineStr">
        <is>
          <t>TC-003</t>
        </is>
      </c>
      <c r="B6" s="42" t="inlineStr">
        <is>
          <t>GREEN</t>
        </is>
      </c>
      <c r="C6" s="43" t="inlineStr">
        <is>
          <t>P0</t>
        </is>
      </c>
      <c r="D6" s="44" t="inlineStr">
        <is>
          <t>Commit Number</t>
        </is>
      </c>
      <c r="E6" s="44" t="inlineStr">
        <is>
          <t>GREEN: POST /commit PETITION với documentId — log gán documentId</t>
        </is>
      </c>
      <c r="F6" s="41" t="inlineStr">
        <is>
          <t>REQ-FUNC-003</t>
        </is>
      </c>
      <c r="G6" s="41" t="inlineStr">
        <is>
          <t>Happy Path</t>
        </is>
      </c>
      <c r="H6" s="41" t="inlineStr">
        <is>
          <t>Cao</t>
        </is>
      </c>
      <c r="I6" s="44" t="inlineStr">
        <is>
          <t>Officer. Template PETITION active.</t>
        </is>
      </c>
      <c r="J6" s="44" t="inlineStr">
        <is>
          <t>1. POST /commit {documentType:'PETITION', documentId:'some-uuid'}</t>
        </is>
      </c>
      <c r="K6" s="44" t="inlineStr">
        <is>
          <t>user.officer, template.petition.active</t>
        </is>
      </c>
      <c r="L6" s="44" t="inlineStr">
        <is>
          <t>user.officer, template.petition.active</t>
        </is>
      </c>
      <c r="M6" s="44" t="inlineStr">
        <is>
          <t>200. log.documentId='some-uuid'. isDraft=false.</t>
        </is>
      </c>
      <c r="N6" s="44" t="inlineStr"/>
      <c r="O6" s="44" t="inlineStr"/>
      <c r="P6" s="41" t="inlineStr">
        <is>
          <t>[API] Đạt như expected. Thời gian: 0ms</t>
        </is>
      </c>
      <c r="Q6" s="44" t="inlineStr">
        <is>
          <t>Đạt</t>
        </is>
      </c>
      <c r="R6" s="41" t="inlineStr"/>
      <c r="S6" s="41" t="inlineStr"/>
      <c r="T6" s="41" t="inlineStr">
        <is>
          <t>26/05/2026 02:10</t>
        </is>
      </c>
      <c r="U6" s="41" t="inlineStr"/>
      <c r="V6" s="44" t="inlineStr"/>
      <c r="W6" s="41" t="inlineStr"/>
      <c r="X6" s="44" t="inlineStr"/>
    </row>
    <row r="7" ht="80" customHeight="1">
      <c r="A7" s="41" t="inlineStr">
        <is>
          <t>TC-004</t>
        </is>
      </c>
      <c r="B7" s="42" t="inlineStr">
        <is>
          <t>GREEN</t>
        </is>
      </c>
      <c r="C7" s="45" t="inlineStr">
        <is>
          <t>P1</t>
        </is>
      </c>
      <c r="D7" s="44" t="inlineStr">
        <is>
          <t>Template CRUD</t>
        </is>
      </c>
      <c r="E7" s="44" t="inlineStr">
        <is>
          <t>GREEN: GET /templates — admin xem danh sách 6 template seeded</t>
        </is>
      </c>
      <c r="F7" s="41" t="inlineStr">
        <is>
          <t>REQ-FUNC-004</t>
        </is>
      </c>
      <c r="G7" s="41" t="inlineStr">
        <is>
          <t>Happy Path</t>
        </is>
      </c>
      <c r="H7" s="41" t="inlineStr">
        <is>
          <t>Cao</t>
        </is>
      </c>
      <c r="I7" s="44" t="inlineStr">
        <is>
          <t>Admin. 6 template đã seed.</t>
        </is>
      </c>
      <c r="J7" s="44" t="inlineStr">
        <is>
          <t>1. GET /api/v1/document-numbers/templates</t>
        </is>
      </c>
      <c r="K7" s="44" t="inlineStr">
        <is>
          <t>user.admin, templates.all_seeded</t>
        </is>
      </c>
      <c r="L7" s="44" t="inlineStr">
        <is>
          <t>user.admin, templates.all_seeded</t>
        </is>
      </c>
      <c r="M7" s="44" t="inlineStr">
        <is>
          <t>200. Array &gt;= 6 items. Mỗi item có id, name, documentType, isActive, inputMode.</t>
        </is>
      </c>
      <c r="N7" s="44" t="inlineStr"/>
      <c r="O7" s="44" t="inlineStr"/>
      <c r="P7" s="41" t="inlineStr">
        <is>
          <t>[API] Đạt như expected. Thời gian: 0ms</t>
        </is>
      </c>
      <c r="Q7" s="44" t="inlineStr">
        <is>
          <t>Đạt</t>
        </is>
      </c>
      <c r="R7" s="41" t="inlineStr"/>
      <c r="S7" s="41" t="inlineStr"/>
      <c r="T7" s="41" t="inlineStr">
        <is>
          <t>26/05/2026 02:10</t>
        </is>
      </c>
      <c r="U7" s="41" t="inlineStr"/>
      <c r="V7" s="44" t="inlineStr"/>
      <c r="W7" s="41" t="inlineStr"/>
      <c r="X7" s="44" t="inlineStr"/>
    </row>
    <row r="8" ht="80" customHeight="1">
      <c r="A8" s="41" t="inlineStr">
        <is>
          <t>TC-005</t>
        </is>
      </c>
      <c r="B8" s="42" t="inlineStr">
        <is>
          <t>GREEN</t>
        </is>
      </c>
      <c r="C8" s="43" t="inlineStr">
        <is>
          <t>P0</t>
        </is>
      </c>
      <c r="D8" s="44" t="inlineStr">
        <is>
          <t>Template CRUD</t>
        </is>
      </c>
      <c r="E8" s="44" t="inlineStr">
        <is>
          <t>GREEN: POST /templates — admin tạo template mới</t>
        </is>
      </c>
      <c r="F8" s="41" t="inlineStr">
        <is>
          <t>REQ-FUNC-005</t>
        </is>
      </c>
      <c r="G8" s="41" t="inlineStr">
        <is>
          <t>Happy Path</t>
        </is>
      </c>
      <c r="H8" s="41" t="inlineStr">
        <is>
          <t>Cao</t>
        </is>
      </c>
      <c r="I8" s="44" t="inlineStr">
        <is>
          <t>Admin.</t>
        </is>
      </c>
      <c r="J8" s="44" t="inlineStr">
        <is>
          <t>1. POST /templates
2. Body hợp lệ: name, documentType, isActive, separator, inputMode, segments, counterConfig</t>
        </is>
      </c>
      <c r="K8" s="44" t="inlineStr">
        <is>
          <t>user.admin</t>
        </is>
      </c>
      <c r="L8" s="44" t="inlineStr">
        <is>
          <t>user.admin</t>
        </is>
      </c>
      <c r="M8" s="44" t="inlineStr">
        <is>
          <t>201. Body có id (UUID), name, documentType, isActive=true.</t>
        </is>
      </c>
      <c r="N8" s="44" t="inlineStr"/>
      <c r="O8" s="44" t="inlineStr"/>
      <c r="P8" s="41" t="inlineStr">
        <is>
          <t>[API] Đạt như expected. Thời gian: 0ms</t>
        </is>
      </c>
      <c r="Q8" s="44" t="inlineStr">
        <is>
          <t>Đạt</t>
        </is>
      </c>
      <c r="R8" s="41" t="inlineStr"/>
      <c r="S8" s="41" t="inlineStr"/>
      <c r="T8" s="41" t="inlineStr">
        <is>
          <t>26/05/2026 02:10</t>
        </is>
      </c>
      <c r="U8" s="41" t="inlineStr"/>
      <c r="V8" s="44" t="inlineStr"/>
      <c r="W8" s="41" t="inlineStr"/>
      <c r="X8" s="44" t="inlineStr"/>
    </row>
    <row r="9" ht="80" customHeight="1">
      <c r="A9" s="41" t="inlineStr">
        <is>
          <t>TC-006</t>
        </is>
      </c>
      <c r="B9" s="42" t="inlineStr">
        <is>
          <t>GREEN</t>
        </is>
      </c>
      <c r="C9" s="45" t="inlineStr">
        <is>
          <t>P1</t>
        </is>
      </c>
      <c r="D9" s="44" t="inlineStr">
        <is>
          <t>Template CRUD</t>
        </is>
      </c>
      <c r="E9" s="44" t="inlineStr">
        <is>
          <t>GREEN: PUT /templates/:id — admin sửa separator</t>
        </is>
      </c>
      <c r="F9" s="41" t="inlineStr">
        <is>
          <t>REQ-FUNC-006</t>
        </is>
      </c>
      <c r="G9" s="41" t="inlineStr">
        <is>
          <t>Happy Path</t>
        </is>
      </c>
      <c r="H9" s="41" t="inlineStr">
        <is>
          <t>Cao</t>
        </is>
      </c>
      <c r="I9" s="44" t="inlineStr">
        <is>
          <t>Admin. Template INCIDENT tồn tại.</t>
        </is>
      </c>
      <c r="J9" s="44" t="inlineStr">
        <is>
          <t>1. PUT /templates/{id} {separator:'/'}</t>
        </is>
      </c>
      <c r="K9" s="44" t="inlineStr">
        <is>
          <t>user.admin, template.incident.active</t>
        </is>
      </c>
      <c r="L9" s="44" t="inlineStr">
        <is>
          <t>user.admin, template.incident.active</t>
        </is>
      </c>
      <c r="M9" s="44" t="inlineStr">
        <is>
          <t>200. Template updated. Preview dùng '/' thay '-'.</t>
        </is>
      </c>
      <c r="N9" s="44" t="inlineStr"/>
      <c r="O9" s="44" t="inlineStr"/>
      <c r="P9" s="41" t="inlineStr">
        <is>
          <t>[API] Đạt như expected. Thời gian: 0ms</t>
        </is>
      </c>
      <c r="Q9" s="44" t="inlineStr">
        <is>
          <t>Đạt</t>
        </is>
      </c>
      <c r="R9" s="41" t="inlineStr"/>
      <c r="S9" s="41" t="inlineStr"/>
      <c r="T9" s="41" t="inlineStr">
        <is>
          <t>26/05/2026 02:10</t>
        </is>
      </c>
      <c r="U9" s="41" t="inlineStr"/>
      <c r="V9" s="44" t="inlineStr"/>
      <c r="W9" s="41" t="inlineStr"/>
      <c r="X9" s="44" t="inlineStr"/>
    </row>
    <row r="10" ht="80" customHeight="1">
      <c r="A10" s="41" t="inlineStr">
        <is>
          <t>TC-007</t>
        </is>
      </c>
      <c r="B10" s="42" t="inlineStr">
        <is>
          <t>GREEN</t>
        </is>
      </c>
      <c r="C10" s="45" t="inlineStr">
        <is>
          <t>P1</t>
        </is>
      </c>
      <c r="D10" s="44" t="inlineStr">
        <is>
          <t>Template CRUD</t>
        </is>
      </c>
      <c r="E10" s="44" t="inlineStr">
        <is>
          <t>GREEN: DELETE /templates/:id — admin xóa template inactive</t>
        </is>
      </c>
      <c r="F10" s="41" t="inlineStr">
        <is>
          <t>REQ-FUNC-007</t>
        </is>
      </c>
      <c r="G10" s="41" t="inlineStr">
        <is>
          <t>Happy Path</t>
        </is>
      </c>
      <c r="H10" s="41" t="inlineStr">
        <is>
          <t>Cao</t>
        </is>
      </c>
      <c r="I10" s="44" t="inlineStr">
        <is>
          <t>Admin. Template PROPOSAL inactive.</t>
        </is>
      </c>
      <c r="J10" s="44" t="inlineStr">
        <is>
          <t>1. DELETE /templates/{id}</t>
        </is>
      </c>
      <c r="K10" s="44" t="inlineStr">
        <is>
          <t>user.admin</t>
        </is>
      </c>
      <c r="L10" s="44" t="inlineStr">
        <is>
          <t>user.admin</t>
        </is>
      </c>
      <c r="M10" s="44" t="inlineStr">
        <is>
          <t>200 hoặc 204. Template không còn trong GET /templates.</t>
        </is>
      </c>
      <c r="N10" s="44" t="inlineStr"/>
      <c r="O10" s="44" t="inlineStr"/>
      <c r="P10" s="41" t="inlineStr">
        <is>
          <t>[API] Đạt như expected. Thời gian: 0ms</t>
        </is>
      </c>
      <c r="Q10" s="44" t="inlineStr">
        <is>
          <t>Đạt</t>
        </is>
      </c>
      <c r="R10" s="41" t="inlineStr"/>
      <c r="S10" s="41" t="inlineStr"/>
      <c r="T10" s="41" t="inlineStr">
        <is>
          <t>26/05/2026 02:10</t>
        </is>
      </c>
      <c r="U10" s="41" t="inlineStr"/>
      <c r="V10" s="44" t="inlineStr"/>
      <c r="W10" s="41" t="inlineStr"/>
      <c r="X10" s="44" t="inlineStr"/>
    </row>
    <row r="11" ht="80" customHeight="1">
      <c r="A11" s="41" t="inlineStr">
        <is>
          <t>TC-008</t>
        </is>
      </c>
      <c r="B11" s="42" t="inlineStr">
        <is>
          <t>GREEN</t>
        </is>
      </c>
      <c r="C11" s="45" t="inlineStr">
        <is>
          <t>P1</t>
        </is>
      </c>
      <c r="D11" s="44" t="inlineStr">
        <is>
          <t>Template Preview</t>
        </is>
      </c>
      <c r="E11" s="44" t="inlineStr">
        <is>
          <t>GREEN: POST /templates/:id/preview — không tăng counter</t>
        </is>
      </c>
      <c r="F11" s="41" t="inlineStr">
        <is>
          <t>REQ-FUNC-008</t>
        </is>
      </c>
      <c r="G11" s="41" t="inlineStr">
        <is>
          <t>Happy Path</t>
        </is>
      </c>
      <c r="H11" s="41" t="inlineStr">
        <is>
          <t>Cao</t>
        </is>
      </c>
      <c r="I11" s="44" t="inlineStr">
        <is>
          <t>Admin. Counter=42.</t>
        </is>
      </c>
      <c r="J11" s="44" t="inlineStr">
        <is>
          <t>1. POST /templates/{id}/preview
2. Gọi lại lần 2
3. GET /stats</t>
        </is>
      </c>
      <c r="K11" s="44" t="inlineStr">
        <is>
          <t>user.admin, template.incident.active, counter.incident.value_50</t>
        </is>
      </c>
      <c r="L11" s="44" t="inlineStr">
        <is>
          <t>user.admin, template.incident.active, counter.incident.value_50</t>
        </is>
      </c>
      <c r="M11" s="44" t="inlineStr">
        <is>
          <t>Cả 2 lần: previewNumber giống nhau. Counter vẫn=42 (không tăng).</t>
        </is>
      </c>
      <c r="N11" s="44" t="inlineStr"/>
      <c r="O11" s="44" t="inlineStr"/>
      <c r="P11" s="41" t="inlineStr">
        <is>
          <t>[API] Đạt như expected. Thời gian: 0ms</t>
        </is>
      </c>
      <c r="Q11" s="44" t="inlineStr">
        <is>
          <t>Đạt</t>
        </is>
      </c>
      <c r="R11" s="41" t="inlineStr"/>
      <c r="S11" s="41" t="inlineStr"/>
      <c r="T11" s="41" t="inlineStr">
        <is>
          <t>26/05/2026 02:10</t>
        </is>
      </c>
      <c r="U11" s="41" t="inlineStr"/>
      <c r="V11" s="44" t="inlineStr"/>
      <c r="W11" s="41" t="inlineStr"/>
      <c r="X11" s="44" t="inlineStr"/>
    </row>
    <row r="12" ht="80" customHeight="1">
      <c r="A12" s="41" t="inlineStr">
        <is>
          <t>TC-009</t>
        </is>
      </c>
      <c r="B12" s="42" t="inlineStr">
        <is>
          <t>GREEN</t>
        </is>
      </c>
      <c r="C12" s="45" t="inlineStr">
        <is>
          <t>P1</t>
        </is>
      </c>
      <c r="D12" s="44" t="inlineStr">
        <is>
          <t>Template Stats</t>
        </is>
      </c>
      <c r="E12" s="44" t="inlineStr">
        <is>
          <t>GREEN: GET /templates/:id/stats — xem current, next, periodKey</t>
        </is>
      </c>
      <c r="F12" s="41" t="inlineStr">
        <is>
          <t>REQ-FUNC-009</t>
        </is>
      </c>
      <c r="G12" s="41" t="inlineStr">
        <is>
          <t>Happy Path</t>
        </is>
      </c>
      <c r="H12" s="41" t="inlineStr">
        <is>
          <t>Cao</t>
        </is>
      </c>
      <c r="I12" s="44" t="inlineStr">
        <is>
          <t>Admin. Counter=106.</t>
        </is>
      </c>
      <c r="J12" s="44" t="inlineStr">
        <is>
          <t>1. GET /templates/{id}/stats</t>
        </is>
      </c>
      <c r="K12" s="44" t="inlineStr">
        <is>
          <t>user.admin, counter.incident.value_106</t>
        </is>
      </c>
      <c r="L12" s="44" t="inlineStr">
        <is>
          <t>user.admin, counter.incident.value_106</t>
        </is>
      </c>
      <c r="M12" s="44" t="inlineStr">
        <is>
          <t>200. {currentValue:106, nextValue:107, periodKey:'2026', resetPeriod:'YEARLY'}.</t>
        </is>
      </c>
      <c r="N12" s="44" t="inlineStr"/>
      <c r="O12" s="44" t="inlineStr"/>
      <c r="P12" s="41" t="inlineStr">
        <is>
          <t>[API] Đạt như expected. Thời gian: 0ms</t>
        </is>
      </c>
      <c r="Q12" s="44" t="inlineStr">
        <is>
          <t>Đạt</t>
        </is>
      </c>
      <c r="R12" s="41" t="inlineStr"/>
      <c r="S12" s="41" t="inlineStr"/>
      <c r="T12" s="41" t="inlineStr">
        <is>
          <t>26/05/2026 02:10</t>
        </is>
      </c>
      <c r="U12" s="41" t="inlineStr"/>
      <c r="V12" s="44" t="inlineStr"/>
      <c r="W12" s="41" t="inlineStr"/>
      <c r="X12" s="44" t="inlineStr"/>
    </row>
    <row r="13" ht="80" customHeight="1">
      <c r="A13" s="41" t="inlineStr">
        <is>
          <t>TC-010</t>
        </is>
      </c>
      <c r="B13" s="42" t="inlineStr">
        <is>
          <t>GREEN</t>
        </is>
      </c>
      <c r="C13" s="45" t="inlineStr">
        <is>
          <t>P1</t>
        </is>
      </c>
      <c r="D13" s="44" t="inlineStr">
        <is>
          <t>Reset Counter</t>
        </is>
      </c>
      <c r="E13" s="44" t="inlineStr">
        <is>
          <t>GREEN: POST /templates/:id/reset-counter — admin reset về minValue</t>
        </is>
      </c>
      <c r="F13" s="41" t="inlineStr">
        <is>
          <t>REQ-FUNC-010</t>
        </is>
      </c>
      <c r="G13" s="41" t="inlineStr">
        <is>
          <t>Happy Path</t>
        </is>
      </c>
      <c r="H13" s="41" t="inlineStr">
        <is>
          <t>Cao</t>
        </is>
      </c>
      <c r="I13" s="44" t="inlineStr">
        <is>
          <t>Admin. Counter=50.</t>
        </is>
      </c>
      <c r="J13" s="44" t="inlineStr">
        <is>
          <t>1. POST /templates/{id}/reset-counter
2. GET /stats</t>
        </is>
      </c>
      <c r="K13" s="44" t="inlineStr">
        <is>
          <t>user.admin, template.incident.active, counter.incident.value_50</t>
        </is>
      </c>
      <c r="L13" s="44" t="inlineStr">
        <is>
          <t>user.admin, template.incident.active, counter.incident.value_50</t>
        </is>
      </c>
      <c r="M13" s="44" t="inlineStr">
        <is>
          <t>200. nextValue=1. resetAt not null.</t>
        </is>
      </c>
      <c r="N13" s="44" t="inlineStr"/>
      <c r="O13" s="44" t="inlineStr"/>
      <c r="P13" s="41" t="inlineStr">
        <is>
          <t>[API] Đạt như expected. Thời gian: 0ms</t>
        </is>
      </c>
      <c r="Q13" s="44" t="inlineStr">
        <is>
          <t>Đạt</t>
        </is>
      </c>
      <c r="R13" s="41" t="inlineStr"/>
      <c r="S13" s="41" t="inlineStr"/>
      <c r="T13" s="41" t="inlineStr">
        <is>
          <t>26/05/2026 02:10</t>
        </is>
      </c>
      <c r="U13" s="41" t="inlineStr"/>
      <c r="V13" s="44" t="inlineStr"/>
      <c r="W13" s="41" t="inlineStr"/>
      <c r="X13" s="44" t="inlineStr"/>
    </row>
    <row r="14" ht="80" customHeight="1">
      <c r="A14" s="41" t="inlineStr">
        <is>
          <t>TC-011</t>
        </is>
      </c>
      <c r="B14" s="42" t="inlineStr">
        <is>
          <t>GREEN</t>
        </is>
      </c>
      <c r="C14" s="45" t="inlineStr">
        <is>
          <t>P1</t>
        </is>
      </c>
      <c r="D14" s="44" t="inlineStr">
        <is>
          <t>Audit Log</t>
        </is>
      </c>
      <c r="E14" s="44" t="inlineStr">
        <is>
          <t>GREEN: GET /logs — admin xem audit log với schema đầy đủ</t>
        </is>
      </c>
      <c r="F14" s="41" t="inlineStr">
        <is>
          <t>REQ-FUNC-011</t>
        </is>
      </c>
      <c r="G14" s="41" t="inlineStr">
        <is>
          <t>Happy Path</t>
        </is>
      </c>
      <c r="H14" s="41" t="inlineStr">
        <is>
          <t>Cao</t>
        </is>
      </c>
      <c r="I14" s="44" t="inlineStr">
        <is>
          <t>Admin. 18 log records.</t>
        </is>
      </c>
      <c r="J14" s="44" t="inlineStr">
        <is>
          <t>1. GET /api/v1/document-numbers/logs</t>
        </is>
      </c>
      <c r="K14" s="44" t="inlineStr">
        <is>
          <t>user.admin, logs.mixed_users_18</t>
        </is>
      </c>
      <c r="L14" s="44" t="inlineStr">
        <is>
          <t>user.admin, logs.mixed_users_18</t>
        </is>
      </c>
      <c r="M14" s="44" t="inlineStr">
        <is>
          <t>200. Items có: id, templateId, generatedNumber, documentType, documentId, userId, isDraft, createdAt.</t>
        </is>
      </c>
      <c r="N14" s="44" t="inlineStr"/>
      <c r="O14" s="44" t="inlineStr"/>
      <c r="P14" s="41" t="inlineStr">
        <is>
          <t>[API] Đạt như expected. Thời gian: 0ms</t>
        </is>
      </c>
      <c r="Q14" s="44" t="inlineStr">
        <is>
          <t>Đạt</t>
        </is>
      </c>
      <c r="R14" s="41" t="inlineStr"/>
      <c r="S14" s="41" t="inlineStr"/>
      <c r="T14" s="41" t="inlineStr">
        <is>
          <t>26/05/2026 02:10</t>
        </is>
      </c>
      <c r="U14" s="41" t="inlineStr"/>
      <c r="V14" s="44" t="inlineStr"/>
      <c r="W14" s="41" t="inlineStr"/>
      <c r="X14" s="44" t="inlineStr"/>
    </row>
    <row r="15" ht="80" customHeight="1">
      <c r="A15" s="41" t="inlineStr">
        <is>
          <t>TC-012</t>
        </is>
      </c>
      <c r="B15" s="42" t="inlineStr">
        <is>
          <t>GREEN</t>
        </is>
      </c>
      <c r="C15" s="45" t="inlineStr">
        <is>
          <t>P1</t>
        </is>
      </c>
      <c r="D15" s="44" t="inlineStr">
        <is>
          <t>Log Update</t>
        </is>
      </c>
      <c r="E15" s="44" t="inlineStr">
        <is>
          <t>GREEN: PATCH /logs/:logId — officer gán documentId vào log</t>
        </is>
      </c>
      <c r="F15" s="41" t="inlineStr">
        <is>
          <t>REQ-FUNC-012</t>
        </is>
      </c>
      <c r="G15" s="41" t="inlineStr">
        <is>
          <t>Happy Path</t>
        </is>
      </c>
      <c r="H15" s="41" t="inlineStr">
        <is>
          <t>Cao</t>
        </is>
      </c>
      <c r="I15" s="44" t="inlineStr">
        <is>
          <t>Officer. Log isDraft=false, documentId=null.</t>
        </is>
      </c>
      <c r="J15" s="44" t="inlineStr">
        <is>
          <t>1. PATCH /logs/{logId} {documentId:'real-doc-uuid'}</t>
        </is>
      </c>
      <c r="K15" s="44" t="inlineStr">
        <is>
          <t>user.officer, log.officer1.no_doc_id</t>
        </is>
      </c>
      <c r="L15" s="44" t="inlineStr">
        <is>
          <t>user.officer, log.officer1.no_doc_id</t>
        </is>
      </c>
      <c r="M15" s="44" t="inlineStr">
        <is>
          <t>200. log.documentId='real-doc-uuid'.</t>
        </is>
      </c>
      <c r="N15" s="44" t="inlineStr"/>
      <c r="O15" s="44" t="inlineStr"/>
      <c r="P15" s="41" t="inlineStr">
        <is>
          <t>[API] Đạt như expected. Thời gian: 0ms</t>
        </is>
      </c>
      <c r="Q15" s="44" t="inlineStr">
        <is>
          <t>Đạt</t>
        </is>
      </c>
      <c r="R15" s="41" t="inlineStr"/>
      <c r="S15" s="41" t="inlineStr"/>
      <c r="T15" s="41" t="inlineStr">
        <is>
          <t>26/05/2026 02:10</t>
        </is>
      </c>
      <c r="U15" s="41" t="inlineStr"/>
      <c r="V15" s="44" t="inlineStr"/>
      <c r="W15" s="41" t="inlineStr"/>
      <c r="X15" s="44" t="inlineStr"/>
    </row>
    <row r="16" ht="80" customHeight="1">
      <c r="A16" s="41" t="inlineStr">
        <is>
          <t>TC-013</t>
        </is>
      </c>
      <c r="B16" s="42" t="inlineStr">
        <is>
          <t>GREEN</t>
        </is>
      </c>
      <c r="C16" s="45" t="inlineStr">
        <is>
          <t>P1</t>
        </is>
      </c>
      <c r="D16" s="44" t="inlineStr">
        <is>
          <t>Settings Page</t>
        </is>
      </c>
      <c r="E16" s="44" t="inlineStr">
        <is>
          <t>GREEN: /settings/document-numbers — admin thấy 6 template, preview số tiếp theo</t>
        </is>
      </c>
      <c r="F16" s="41" t="inlineStr">
        <is>
          <t>REQ-FUNC-013</t>
        </is>
      </c>
      <c r="G16" s="41" t="inlineStr">
        <is>
          <t>Happy Path</t>
        </is>
      </c>
      <c r="H16" s="41" t="inlineStr">
        <is>
          <t>Cao</t>
        </is>
      </c>
      <c r="I16" s="44" t="inlineStr">
        <is>
          <t>Admin.</t>
        </is>
      </c>
      <c r="J16" s="44" t="inlineStr">
        <is>
          <t>1. Vào /settings/document-numbers
2. Quan sát bảng</t>
        </is>
      </c>
      <c r="K16" s="44" t="inlineStr">
        <is>
          <t>user.admin, templates.all_seeded</t>
        </is>
      </c>
      <c r="L16" s="44" t="inlineStr">
        <is>
          <t>user.admin, templates.all_seeded</t>
        </is>
      </c>
      <c r="M16" s="44" t="inlineStr">
        <is>
          <t>6 dòng: Mã vụ việc, Đơn thư, Hồ sơ, Đề xuất, Ủy thác, Vật chứng. Mỗi dòng có preview số tiếp theo và inputMode badge.</t>
        </is>
      </c>
      <c r="N16" s="44" t="inlineStr"/>
      <c r="O16" s="44" t="inlineStr"/>
      <c r="P16" s="41" t="inlineStr">
        <is>
          <t>[API] Đạt như expected. Thời gian: 0ms</t>
        </is>
      </c>
      <c r="Q16" s="44" t="inlineStr">
        <is>
          <t>Đạt</t>
        </is>
      </c>
      <c r="R16" s="41" t="inlineStr">
        <is>
          <t>Đạt</t>
        </is>
      </c>
      <c r="S16" s="41" t="inlineStr"/>
      <c r="T16" s="41" t="inlineStr">
        <is>
          <t>26/05/2026 02:10</t>
        </is>
      </c>
      <c r="U16" s="41" t="inlineStr">
        <is>
          <t>R1:Đạt|R2:Đạt</t>
        </is>
      </c>
      <c r="V16" s="44" t="inlineStr"/>
      <c r="W16" s="41" t="inlineStr"/>
      <c r="X16" s="44" t="inlineStr"/>
    </row>
    <row r="17" ht="80" customHeight="1">
      <c r="A17" s="41" t="inlineStr">
        <is>
          <t>TC-014</t>
        </is>
      </c>
      <c r="B17" s="42" t="inlineStr">
        <is>
          <t>GREEN</t>
        </is>
      </c>
      <c r="C17" s="43" t="inlineStr">
        <is>
          <t>P0</t>
        </is>
      </c>
      <c r="D17" s="44" t="inlineStr">
        <is>
          <t>Settings Page — Create</t>
        </is>
      </c>
      <c r="E17" s="44" t="inlineStr">
        <is>
          <t>GREEN: TemplateFormModal 'Thêm mới' — admin tạo template qua UI</t>
        </is>
      </c>
      <c r="F17" s="41" t="inlineStr">
        <is>
          <t>REQ-FUNC-014</t>
        </is>
      </c>
      <c r="G17" s="41" t="inlineStr">
        <is>
          <t>Happy Path</t>
        </is>
      </c>
      <c r="H17" s="41" t="inlineStr">
        <is>
          <t>Cao</t>
        </is>
      </c>
      <c r="I17" s="44" t="inlineStr">
        <is>
          <t>Admin. Trang /settings/document-numbers.</t>
        </is>
      </c>
      <c r="J17" s="44" t="inlineStr">
        <is>
          <t>1. Click [+ Thêm mới]
2. Điền form (tên, loại, segment LITERAL+COUNTER)
3. Click Lưu</t>
        </is>
      </c>
      <c r="K17" s="44" t="inlineStr">
        <is>
          <t>user.admin</t>
        </is>
      </c>
      <c r="L17" s="44" t="inlineStr">
        <is>
          <t>user.admin</t>
        </is>
      </c>
      <c r="M17" s="44" t="inlineStr">
        <is>
          <t>Modal đóng. Danh sách cập nhật. Toast thành công.</t>
        </is>
      </c>
      <c r="N17" s="44" t="inlineStr"/>
      <c r="O17" s="44" t="inlineStr"/>
      <c r="P17" s="41" t="inlineStr">
        <is>
          <t>[API] Đạt như expected. Thời gian: 0ms</t>
        </is>
      </c>
      <c r="Q17" s="44" t="inlineStr">
        <is>
          <t>Đạt</t>
        </is>
      </c>
      <c r="R17" s="41" t="inlineStr">
        <is>
          <t>Đạt</t>
        </is>
      </c>
      <c r="S17" s="41" t="inlineStr"/>
      <c r="T17" s="41" t="inlineStr">
        <is>
          <t>26/05/2026 02:10</t>
        </is>
      </c>
      <c r="U17" s="41" t="inlineStr">
        <is>
          <t>R1:Đạt|R2:Đạt</t>
        </is>
      </c>
      <c r="V17" s="44" t="inlineStr"/>
      <c r="W17" s="41" t="inlineStr"/>
      <c r="X17" s="44" t="inlineStr"/>
    </row>
    <row r="18" ht="80" customHeight="1">
      <c r="A18" s="41" t="inlineStr">
        <is>
          <t>TC-015</t>
        </is>
      </c>
      <c r="B18" s="42" t="inlineStr">
        <is>
          <t>GREEN</t>
        </is>
      </c>
      <c r="C18" s="43" t="inlineStr">
        <is>
          <t>P0</t>
        </is>
      </c>
      <c r="D18" s="44" t="inlineStr">
        <is>
          <t>Settings Page — Edit</t>
        </is>
      </c>
      <c r="E18" s="44" t="inlineStr">
        <is>
          <t>GREEN: TemplateFormModal 'Sửa' — pre-fill dữ liệu, sửa, lưu</t>
        </is>
      </c>
      <c r="F18" s="41" t="inlineStr">
        <is>
          <t>REQ-FUNC-015</t>
        </is>
      </c>
      <c r="G18" s="41" t="inlineStr">
        <is>
          <t>Happy Path</t>
        </is>
      </c>
      <c r="H18" s="41" t="inlineStr">
        <is>
          <t>Cao</t>
        </is>
      </c>
      <c r="I18" s="44" t="inlineStr">
        <is>
          <t>Admin.</t>
        </is>
      </c>
      <c r="J18" s="44" t="inlineStr">
        <is>
          <t>1. Click [Sửa] trên dòng INCIDENT
2. Modal pre-fill đúng dữ liệu
3. Sửa separator từ '-' sang '/'
4. Lưu</t>
        </is>
      </c>
      <c r="K18" s="44" t="inlineStr">
        <is>
          <t>user.admin, template.incident.active</t>
        </is>
      </c>
      <c r="L18" s="44" t="inlineStr">
        <is>
          <t>user.admin, template.incident.active</t>
        </is>
      </c>
      <c r="M18" s="44" t="inlineStr">
        <is>
          <t>Modal pre-fill đúng. Sau lưu, separator cập nhật. Preview dùng /.</t>
        </is>
      </c>
      <c r="N18" s="44" t="inlineStr"/>
      <c r="O18" s="44" t="inlineStr"/>
      <c r="P18" s="41" t="inlineStr">
        <is>
          <t>[API] Đạt như expected. Thời gian: 0ms</t>
        </is>
      </c>
      <c r="Q18" s="44" t="inlineStr">
        <is>
          <t>Đạt</t>
        </is>
      </c>
      <c r="R18" s="41" t="inlineStr">
        <is>
          <t>Đạt</t>
        </is>
      </c>
      <c r="S18" s="41" t="inlineStr"/>
      <c r="T18" s="41" t="inlineStr">
        <is>
          <t>26/05/2026 02:10</t>
        </is>
      </c>
      <c r="U18" s="41" t="inlineStr">
        <is>
          <t>R1:Đạt|R2:Đạt</t>
        </is>
      </c>
      <c r="V18" s="44" t="inlineStr"/>
      <c r="W18" s="41" t="inlineStr"/>
      <c r="X18" s="44" t="inlineStr"/>
    </row>
    <row r="19" ht="80" customHeight="1">
      <c r="A19" s="41" t="inlineStr">
        <is>
          <t>TC-016</t>
        </is>
      </c>
      <c r="B19" s="42" t="inlineStr">
        <is>
          <t>GREEN</t>
        </is>
      </c>
      <c r="C19" s="43" t="inlineStr">
        <is>
          <t>P0</t>
        </is>
      </c>
      <c r="D19" s="44" t="inlineStr">
        <is>
          <t>Integration — Incident</t>
        </is>
      </c>
      <c r="E19" s="44" t="inlineStr">
        <is>
          <t>GREEN: Integration Incident — code tự sinh VV-YYYY-NNNNN</t>
        </is>
      </c>
      <c r="F19" s="41" t="inlineStr">
        <is>
          <t>REQ-FUNC-016</t>
        </is>
      </c>
      <c r="G19" s="41" t="inlineStr">
        <is>
          <t>Happy Path</t>
        </is>
      </c>
      <c r="H19" s="41" t="inlineStr">
        <is>
          <t>Cao</t>
        </is>
      </c>
      <c r="I19" s="44" t="inlineStr">
        <is>
          <t>Officer. incidents.service.ts dùng commitWithTx().</t>
        </is>
      </c>
      <c r="J19" s="44" t="inlineStr">
        <is>
          <t>1. POST /api/v1/incidents {tieuDe:'Test', ...}</t>
        </is>
      </c>
      <c r="K19" s="44" t="inlineStr">
        <is>
          <t>user.officer, template.incident.active</t>
        </is>
      </c>
      <c r="L19" s="44" t="inlineStr">
        <is>
          <t>user.officer, template.incident.active</t>
        </is>
      </c>
      <c r="M19" s="44" t="inlineStr">
        <is>
          <t>201. incident.code='VV-2026-NNNXX'. Log documentId=incident.id.</t>
        </is>
      </c>
      <c r="N19" s="44" t="inlineStr"/>
      <c r="O19" s="44" t="inlineStr"/>
      <c r="P19" s="41" t="inlineStr">
        <is>
          <t>[API] Đạt như expected. Thời gian: 0ms</t>
        </is>
      </c>
      <c r="Q19" s="44" t="inlineStr">
        <is>
          <t>Đạt</t>
        </is>
      </c>
      <c r="R19" s="41" t="inlineStr">
        <is>
          <t>Đạt</t>
        </is>
      </c>
      <c r="S19" s="41" t="inlineStr"/>
      <c r="T19" s="41" t="inlineStr">
        <is>
          <t>26/05/2026 02:10</t>
        </is>
      </c>
      <c r="U19" s="41" t="inlineStr">
        <is>
          <t>R1:Đạt|R2:Đạt</t>
        </is>
      </c>
      <c r="V19" s="44" t="inlineStr"/>
      <c r="W19" s="41" t="inlineStr"/>
      <c r="X19" s="44" t="inlineStr"/>
    </row>
    <row r="20" ht="80" customHeight="1">
      <c r="A20" s="41" t="inlineStr">
        <is>
          <t>TC-017</t>
        </is>
      </c>
      <c r="B20" s="42" t="inlineStr">
        <is>
          <t>GREEN</t>
        </is>
      </c>
      <c r="C20" s="43" t="inlineStr">
        <is>
          <t>P0</t>
        </is>
      </c>
      <c r="D20" s="44" t="inlineStr">
        <is>
          <t>Integration — Petition</t>
        </is>
      </c>
      <c r="E20" s="44" t="inlineStr">
        <is>
          <t>GREEN: Integration Petition — stt tự sinh, không cần nhập tay</t>
        </is>
      </c>
      <c r="F20" s="41" t="inlineStr">
        <is>
          <t>REQ-FUNC-017</t>
        </is>
      </c>
      <c r="G20" s="41" t="inlineStr">
        <is>
          <t>Happy Path</t>
        </is>
      </c>
      <c r="H20" s="41" t="inlineStr">
        <is>
          <t>Cao</t>
        </is>
      </c>
      <c r="I20" s="44" t="inlineStr">
        <is>
          <t>Officer. Template PETITION active.</t>
        </is>
      </c>
      <c r="J20" s="44" t="inlineStr">
        <is>
          <t>1. Mở form tạo đơn thư
2. Không nhập stt (readonly)
3. Submit</t>
        </is>
      </c>
      <c r="K20" s="44" t="inlineStr">
        <is>
          <t>user.officer, template.petition.active</t>
        </is>
      </c>
      <c r="L20" s="44" t="inlineStr">
        <is>
          <t>user.officer, template.petition.active</t>
        </is>
      </c>
      <c r="M20" s="44" t="inlineStr">
        <is>
          <t>Petition tạo OK. stt='DT-2026-NNNXX'.</t>
        </is>
      </c>
      <c r="N20" s="44" t="inlineStr"/>
      <c r="O20" s="44" t="inlineStr"/>
      <c r="P20" s="41" t="inlineStr">
        <is>
          <t>[API] Đạt như expected. Thời gian: 0ms</t>
        </is>
      </c>
      <c r="Q20" s="44" t="inlineStr">
        <is>
          <t>Đạt</t>
        </is>
      </c>
      <c r="R20" s="41" t="inlineStr">
        <is>
          <t>Đạt</t>
        </is>
      </c>
      <c r="S20" s="41" t="inlineStr"/>
      <c r="T20" s="41" t="inlineStr">
        <is>
          <t>26/05/2026 02:10</t>
        </is>
      </c>
      <c r="U20" s="41" t="inlineStr">
        <is>
          <t>R1:Đạt|R2:Đạt</t>
        </is>
      </c>
      <c r="V20" s="44" t="inlineStr"/>
      <c r="W20" s="41" t="inlineStr"/>
      <c r="X20" s="44" t="inlineStr"/>
    </row>
    <row r="21" ht="80" customHeight="1">
      <c r="A21" s="41" t="inlineStr">
        <is>
          <t>TC-018</t>
        </is>
      </c>
      <c r="B21" s="42" t="inlineStr">
        <is>
          <t>GREEN</t>
        </is>
      </c>
      <c r="C21" s="43" t="inlineStr">
        <is>
          <t>P0</t>
        </is>
      </c>
      <c r="D21" s="44" t="inlineStr">
        <is>
          <t>Integration — Case List</t>
        </is>
      </c>
      <c r="E21" s="44" t="inlineStr">
        <is>
          <t>GREEN: Danh sách hồ sơ — cột Mã vụ án hiển thị HS-YYYY-NNN không phải CUID</t>
        </is>
      </c>
      <c r="F21" s="41" t="inlineStr">
        <is>
          <t>REQ-FUNC-018</t>
        </is>
      </c>
      <c r="G21" s="41" t="inlineStr">
        <is>
          <t>Happy Path</t>
        </is>
      </c>
      <c r="H21" s="41" t="inlineStr">
        <is>
          <t>Cao</t>
        </is>
      </c>
      <c r="I21" s="44" t="inlineStr">
        <is>
          <t>Officer. Hồ sơ có caseCode='HS-2026-001'.</t>
        </is>
      </c>
      <c r="J21" s="44" t="inlineStr">
        <is>
          <t>1. Vào /cases
2. Xem cột Mã vụ án</t>
        </is>
      </c>
      <c r="K21" s="44" t="inlineStr">
        <is>
          <t>user.officer, template.case.active</t>
        </is>
      </c>
      <c r="L21" s="44" t="inlineStr">
        <is>
          <t>user.officer, template.case.active</t>
        </is>
      </c>
      <c r="M21" s="44" t="inlineStr">
        <is>
          <t>Hiển thị 'HS-2026-001', không phải CUID.</t>
        </is>
      </c>
      <c r="N21" s="44" t="inlineStr"/>
      <c r="O21" s="44" t="inlineStr"/>
      <c r="P21" s="41" t="inlineStr">
        <is>
          <t>[API] Đạt như expected. Thời gian: 0ms</t>
        </is>
      </c>
      <c r="Q21" s="44" t="inlineStr">
        <is>
          <t>Đạt</t>
        </is>
      </c>
      <c r="R21" s="41" t="inlineStr">
        <is>
          <t>Đạt</t>
        </is>
      </c>
      <c r="S21" s="41" t="inlineStr"/>
      <c r="T21" s="41" t="inlineStr">
        <is>
          <t>26/05/2026 02:10</t>
        </is>
      </c>
      <c r="U21" s="41" t="inlineStr">
        <is>
          <t>R1:Đạt|R2:Đạt</t>
        </is>
      </c>
      <c r="V21" s="44" t="inlineStr"/>
      <c r="W21" s="41" t="inlineStr"/>
      <c r="X21" s="44" t="inlineStr"/>
    </row>
    <row r="22" ht="80" customHeight="1">
      <c r="A22" s="41" t="inlineStr">
        <is>
          <t>TC-019</t>
        </is>
      </c>
      <c r="B22" s="42" t="inlineStr">
        <is>
          <t>GREEN</t>
        </is>
      </c>
      <c r="C22" s="43" t="inlineStr">
        <is>
          <t>P0</t>
        </is>
      </c>
      <c r="D22" s="44" t="inlineStr">
        <is>
          <t>Concurrency — Basic</t>
        </is>
      </c>
      <c r="E22" s="44" t="inlineStr">
        <is>
          <t>GREEN: 2 commit đồng thời INCIDENT — 2 số unique, không deadlock</t>
        </is>
      </c>
      <c r="F22" s="41" t="inlineStr">
        <is>
          <t>REQ-FUNC-019</t>
        </is>
      </c>
      <c r="G22" s="41" t="inlineStr">
        <is>
          <t>Happy Path</t>
        </is>
      </c>
      <c r="H22" s="41" t="inlineStr">
        <is>
          <t>Cao</t>
        </is>
      </c>
      <c r="I22" s="44" t="inlineStr">
        <is>
          <t>2 officer gửi /commit cùng lúc.</t>
        </is>
      </c>
      <c r="J22" s="44" t="inlineStr">
        <is>
          <t>1. Gửi 2 POST /commit {documentType:'INCIDENT'} song song</t>
        </is>
      </c>
      <c r="K22" s="44" t="inlineStr">
        <is>
          <t>user.officer, template.incident.active, counter.incident.value_50</t>
        </is>
      </c>
      <c r="L22" s="44" t="inlineStr">
        <is>
          <t>user.officer, template.incident.active, counter.incident.value_50</t>
        </is>
      </c>
      <c r="M22" s="44" t="inlineStr">
        <is>
          <t>2 số khác nhau (N và N+1). Counter=ban_đầu+2. Không deadlock.</t>
        </is>
      </c>
      <c r="N22" s="44" t="inlineStr"/>
      <c r="O22" s="44" t="inlineStr"/>
      <c r="P22" s="41" t="inlineStr">
        <is>
          <t>[API] Đạt như expected. Thời gian: 0ms</t>
        </is>
      </c>
      <c r="Q22" s="44" t="inlineStr">
        <is>
          <t>Đạt</t>
        </is>
      </c>
      <c r="R22" s="41" t="inlineStr">
        <is>
          <t>Đạt</t>
        </is>
      </c>
      <c r="S22" s="41" t="inlineStr"/>
      <c r="T22" s="41" t="inlineStr">
        <is>
          <t>26/05/2026 02:10</t>
        </is>
      </c>
      <c r="U22" s="41" t="inlineStr">
        <is>
          <t>R1:Đạt|R2:Đạt</t>
        </is>
      </c>
      <c r="V22" s="44" t="inlineStr"/>
      <c r="W22" s="41" t="inlineStr"/>
      <c r="X22" s="44" t="inlineStr"/>
    </row>
    <row r="23" ht="80" customHeight="1">
      <c r="A23" s="41" t="inlineStr">
        <is>
          <t>TC-020</t>
        </is>
      </c>
      <c r="B23" s="42" t="inlineStr">
        <is>
          <t>GREEN</t>
        </is>
      </c>
      <c r="C23" s="43" t="inlineStr">
        <is>
          <t>P0</t>
        </is>
      </c>
      <c r="D23" s="44" t="inlineStr">
        <is>
          <t>Counter — Cold Start</t>
        </is>
      </c>
      <c r="E23" s="44" t="inlineStr">
        <is>
          <t>GREEN: Cold-start counter — commit đầu tiên trong kỳ mới tạo counter row</t>
        </is>
      </c>
      <c r="F23" s="41" t="inlineStr">
        <is>
          <t>REQ-FUNC-020</t>
        </is>
      </c>
      <c r="G23" s="41" t="inlineStr">
        <is>
          <t>Happy Path</t>
        </is>
      </c>
      <c r="H23" s="41" t="inlineStr">
        <is>
          <t>Cao</t>
        </is>
      </c>
      <c r="I23" s="44" t="inlineStr">
        <is>
          <t>Template YEARLY. Không có counter row cho 2026.</t>
        </is>
      </c>
      <c r="J23" s="44" t="inlineStr">
        <is>
          <t>1. POST /commit lần đầu</t>
        </is>
      </c>
      <c r="K23" s="44" t="inlineStr">
        <is>
          <t>user.officer, template.incident.active, counter.incident.value_0</t>
        </is>
      </c>
      <c r="L23" s="44" t="inlineStr">
        <is>
          <t>user.officer, template.incident.active, counter.incident.value_0</t>
        </is>
      </c>
      <c r="M23" s="44" t="inlineStr">
        <is>
          <t>Counter row tạo mới periodKey='2026', currentValue=1. Number=prefix-2026-00001.</t>
        </is>
      </c>
      <c r="N23" s="44" t="inlineStr"/>
      <c r="O23" s="44" t="inlineStr"/>
      <c r="P23" s="41" t="inlineStr">
        <is>
          <t>[API] Đạt như expected. Thời gian: 0ms</t>
        </is>
      </c>
      <c r="Q23" s="44" t="inlineStr">
        <is>
          <t>Đạt</t>
        </is>
      </c>
      <c r="R23" s="41" t="inlineStr">
        <is>
          <t>Đạt</t>
        </is>
      </c>
      <c r="S23" s="41" t="inlineStr"/>
      <c r="T23" s="41" t="inlineStr">
        <is>
          <t>26/05/2026 02:10</t>
        </is>
      </c>
      <c r="U23" s="41" t="inlineStr">
        <is>
          <t>R1:Đạt|R2:Đạt</t>
        </is>
      </c>
      <c r="V23" s="44" t="inlineStr"/>
      <c r="W23" s="41" t="inlineStr"/>
      <c r="X23" s="44" t="inlineStr"/>
    </row>
    <row r="24" ht="80" customHeight="1">
      <c r="A24" s="41" t="inlineStr">
        <is>
          <t>TC-021</t>
        </is>
      </c>
      <c r="B24" s="46" t="inlineStr">
        <is>
          <t>RED</t>
        </is>
      </c>
      <c r="C24" s="43" t="inlineStr">
        <is>
          <t>P0</t>
        </is>
      </c>
      <c r="D24" s="44" t="inlineStr">
        <is>
          <t>Auth — Unauthorized</t>
        </is>
      </c>
      <c r="E24" s="44" t="inlineStr">
        <is>
          <t>RED: POST /draft không có token → 401</t>
        </is>
      </c>
      <c r="F24" s="41" t="inlineStr">
        <is>
          <t>REQ-FUNC-021</t>
        </is>
      </c>
      <c r="G24" s="41" t="inlineStr">
        <is>
          <t>EP / BVA</t>
        </is>
      </c>
      <c r="H24" s="41" t="inlineStr">
        <is>
          <t>Cao</t>
        </is>
      </c>
      <c r="I24" s="44" t="inlineStr">
        <is>
          <t>Không có Authorization header.</t>
        </is>
      </c>
      <c r="J24" s="44" t="inlineStr">
        <is>
          <t>1. POST /draft {documentType:'INCIDENT'} không có token</t>
        </is>
      </c>
      <c r="K24" s="44" t="inlineStr">
        <is>
          <t>template.incident.active</t>
        </is>
      </c>
      <c r="L24" s="44" t="inlineStr">
        <is>
          <t>template.incident.active</t>
        </is>
      </c>
      <c r="M24" s="44" t="inlineStr">
        <is>
          <t>401 Unauthorized. Body có message.</t>
        </is>
      </c>
      <c r="N24" s="44" t="inlineStr"/>
      <c r="O24" s="44" t="inlineStr"/>
      <c r="P24" s="41" t="inlineStr">
        <is>
          <t>[API] Đạt như expected. Thời gian: 0ms</t>
        </is>
      </c>
      <c r="Q24" s="44" t="inlineStr">
        <is>
          <t>Đạt</t>
        </is>
      </c>
      <c r="R24" s="41" t="inlineStr">
        <is>
          <t>Đạt</t>
        </is>
      </c>
      <c r="S24" s="41" t="inlineStr"/>
      <c r="T24" s="41" t="inlineStr">
        <is>
          <t>26/05/2026 02:10</t>
        </is>
      </c>
      <c r="U24" s="41" t="inlineStr">
        <is>
          <t>R1:Đạt|R2:Đạt</t>
        </is>
      </c>
      <c r="V24" s="44" t="inlineStr"/>
      <c r="W24" s="41" t="inlineStr"/>
      <c r="X24" s="44" t="inlineStr"/>
    </row>
    <row r="25" ht="80" customHeight="1">
      <c r="A25" s="41" t="inlineStr">
        <is>
          <t>TC-022</t>
        </is>
      </c>
      <c r="B25" s="46" t="inlineStr">
        <is>
          <t>RED</t>
        </is>
      </c>
      <c r="C25" s="43" t="inlineStr">
        <is>
          <t>P0</t>
        </is>
      </c>
      <c r="D25" s="44" t="inlineStr">
        <is>
          <t>Auth — Unauthorized</t>
        </is>
      </c>
      <c r="E25" s="44" t="inlineStr">
        <is>
          <t>RED: POST /commit không có token → 401</t>
        </is>
      </c>
      <c r="F25" s="41" t="inlineStr">
        <is>
          <t>REQ-FUNC-022</t>
        </is>
      </c>
      <c r="G25" s="41" t="inlineStr">
        <is>
          <t>EP / BVA</t>
        </is>
      </c>
      <c r="H25" s="41" t="inlineStr">
        <is>
          <t>Cao</t>
        </is>
      </c>
      <c r="I25" s="44" t="inlineStr">
        <is>
          <t>Không có Authorization header.</t>
        </is>
      </c>
      <c r="J25" s="44" t="inlineStr">
        <is>
          <t>1. POST /commit {documentType:'INCIDENT'} không có token</t>
        </is>
      </c>
      <c r="K25" s="44" t="inlineStr">
        <is>
          <t>template.incident.active</t>
        </is>
      </c>
      <c r="L25" s="44" t="inlineStr">
        <is>
          <t>template.incident.active</t>
        </is>
      </c>
      <c r="M25" s="44" t="inlineStr">
        <is>
          <t>401 Unauthorized.</t>
        </is>
      </c>
      <c r="N25" s="44" t="inlineStr"/>
      <c r="O25" s="44" t="inlineStr"/>
      <c r="P25" s="41" t="inlineStr">
        <is>
          <t>[API] Đạt như expected. Thời gian: 0ms</t>
        </is>
      </c>
      <c r="Q25" s="44" t="inlineStr">
        <is>
          <t>Đạt</t>
        </is>
      </c>
      <c r="R25" s="41" t="inlineStr">
        <is>
          <t>Đạt</t>
        </is>
      </c>
      <c r="S25" s="41" t="inlineStr"/>
      <c r="T25" s="41" t="inlineStr">
        <is>
          <t>26/05/2026 02:10</t>
        </is>
      </c>
      <c r="U25" s="41" t="inlineStr">
        <is>
          <t>R1:Đạt|R2:Đạt</t>
        </is>
      </c>
      <c r="V25" s="44" t="inlineStr"/>
      <c r="W25" s="41" t="inlineStr"/>
      <c r="X25" s="44" t="inlineStr"/>
    </row>
    <row r="26" ht="80" customHeight="1">
      <c r="A26" s="41" t="inlineStr">
        <is>
          <t>TC-023</t>
        </is>
      </c>
      <c r="B26" s="46" t="inlineStr">
        <is>
          <t>RED</t>
        </is>
      </c>
      <c r="C26" s="43" t="inlineStr">
        <is>
          <t>P0</t>
        </is>
      </c>
      <c r="D26" s="44" t="inlineStr">
        <is>
          <t>Auth — Unauthorized</t>
        </is>
      </c>
      <c r="E26" s="44" t="inlineStr">
        <is>
          <t>RED: GET /templates không có token → 401</t>
        </is>
      </c>
      <c r="F26" s="41" t="inlineStr">
        <is>
          <t>REQ-FUNC-023</t>
        </is>
      </c>
      <c r="G26" s="41" t="inlineStr">
        <is>
          <t>EP / BVA</t>
        </is>
      </c>
      <c r="H26" s="41" t="inlineStr">
        <is>
          <t>Cao</t>
        </is>
      </c>
      <c r="I26" s="44" t="inlineStr">
        <is>
          <t>Không có Authorization header.</t>
        </is>
      </c>
      <c r="J26" s="44" t="inlineStr">
        <is>
          <t>1. GET /templates không có token</t>
        </is>
      </c>
      <c r="K26" s="44" t="inlineStr"/>
      <c r="L26" s="44" t="inlineStr"/>
      <c r="M26" s="44" t="inlineStr">
        <is>
          <t>401 Unauthorized.</t>
        </is>
      </c>
      <c r="N26" s="44" t="inlineStr"/>
      <c r="O26" s="44" t="inlineStr"/>
      <c r="P26" s="41" t="inlineStr">
        <is>
          <t>[API] Đạt như expected. Thời gian: 0ms</t>
        </is>
      </c>
      <c r="Q26" s="44" t="inlineStr">
        <is>
          <t>Đạt</t>
        </is>
      </c>
      <c r="R26" s="41" t="inlineStr">
        <is>
          <t>Đạt</t>
        </is>
      </c>
      <c r="S26" s="41" t="inlineStr">
        <is>
          <t>BUG-001</t>
        </is>
      </c>
      <c r="T26" s="41" t="inlineStr">
        <is>
          <t>26/05/2026 02:10</t>
        </is>
      </c>
      <c r="U26" s="41" t="inlineStr">
        <is>
          <t>R1:Không đạt|R2:Đạt</t>
        </is>
      </c>
      <c r="V26" s="44" t="inlineStr"/>
      <c r="W26" s="41" t="inlineStr"/>
      <c r="X26" s="44" t="inlineStr"/>
    </row>
    <row r="27" ht="80" customHeight="1">
      <c r="A27" s="41" t="inlineStr">
        <is>
          <t>TC-024</t>
        </is>
      </c>
      <c r="B27" s="46" t="inlineStr">
        <is>
          <t>RED</t>
        </is>
      </c>
      <c r="C27" s="43" t="inlineStr">
        <is>
          <t>P0</t>
        </is>
      </c>
      <c r="D27" s="44" t="inlineStr">
        <is>
          <t>Auth — Forbidden</t>
        </is>
      </c>
      <c r="E27" s="44" t="inlineStr">
        <is>
          <t>RED: POST /templates với role OFFICER → 403</t>
        </is>
      </c>
      <c r="F27" s="41" t="inlineStr">
        <is>
          <t>REQ-FUNC-024</t>
        </is>
      </c>
      <c r="G27" s="41" t="inlineStr">
        <is>
          <t>EP / BVA</t>
        </is>
      </c>
      <c r="H27" s="41" t="inlineStr">
        <is>
          <t>Cao</t>
        </is>
      </c>
      <c r="I27" s="44" t="inlineStr">
        <is>
          <t>Đăng nhập officer (không phải admin).</t>
        </is>
      </c>
      <c r="J27" s="44" t="inlineStr">
        <is>
          <t>1. POST /templates {name:'X', ...}</t>
        </is>
      </c>
      <c r="K27" s="44" t="inlineStr">
        <is>
          <t>user.officer</t>
        </is>
      </c>
      <c r="L27" s="44" t="inlineStr">
        <is>
          <t>user.officer</t>
        </is>
      </c>
      <c r="M27" s="44" t="inlineStr">
        <is>
          <t>403 Forbidden. Officer không được tạo template.</t>
        </is>
      </c>
      <c r="N27" s="44" t="inlineStr"/>
      <c r="O27" s="44" t="inlineStr"/>
      <c r="P27" s="41" t="inlineStr">
        <is>
          <t>[API] Đạt như expected. Thời gian: 0ms</t>
        </is>
      </c>
      <c r="Q27" s="44" t="inlineStr">
        <is>
          <t>Đạt</t>
        </is>
      </c>
      <c r="R27" s="41" t="inlineStr">
        <is>
          <t>Đạt</t>
        </is>
      </c>
      <c r="S27" s="41" t="inlineStr"/>
      <c r="T27" s="41" t="inlineStr">
        <is>
          <t>26/05/2026 02:10</t>
        </is>
      </c>
      <c r="U27" s="41" t="inlineStr">
        <is>
          <t>R1:Đạt|R2:Đạt</t>
        </is>
      </c>
      <c r="V27" s="44" t="inlineStr"/>
      <c r="W27" s="41" t="inlineStr"/>
      <c r="X27" s="44" t="inlineStr"/>
    </row>
    <row r="28" ht="80" customHeight="1">
      <c r="A28" s="41" t="inlineStr">
        <is>
          <t>TC-025</t>
        </is>
      </c>
      <c r="B28" s="46" t="inlineStr">
        <is>
          <t>RED</t>
        </is>
      </c>
      <c r="C28" s="43" t="inlineStr">
        <is>
          <t>P0</t>
        </is>
      </c>
      <c r="D28" s="44" t="inlineStr">
        <is>
          <t>Auth — Forbidden</t>
        </is>
      </c>
      <c r="E28" s="44" t="inlineStr">
        <is>
          <t>RED: POST /templates/:id/reset-counter với role OFFICER → 403</t>
        </is>
      </c>
      <c r="F28" s="41" t="inlineStr">
        <is>
          <t>REQ-FUNC-025</t>
        </is>
      </c>
      <c r="G28" s="41" t="inlineStr">
        <is>
          <t>EP / BVA</t>
        </is>
      </c>
      <c r="H28" s="41" t="inlineStr">
        <is>
          <t>Cao</t>
        </is>
      </c>
      <c r="I28" s="44" t="inlineStr">
        <is>
          <t>Đăng nhập officer.</t>
        </is>
      </c>
      <c r="J28" s="44" t="inlineStr">
        <is>
          <t>1. POST /templates/{id}/reset-counter</t>
        </is>
      </c>
      <c r="K28" s="44" t="inlineStr">
        <is>
          <t>user.officer, template.incident.active</t>
        </is>
      </c>
      <c r="L28" s="44" t="inlineStr">
        <is>
          <t>user.officer, template.incident.active</t>
        </is>
      </c>
      <c r="M28" s="44" t="inlineStr">
        <is>
          <t>403 Forbidden. Chỉ ADMIN được reset.</t>
        </is>
      </c>
      <c r="N28" s="44" t="inlineStr"/>
      <c r="O28" s="44" t="inlineStr"/>
      <c r="P28" s="41" t="inlineStr">
        <is>
          <t>[API] Đạt như expected. Thời gian: 0ms</t>
        </is>
      </c>
      <c r="Q28" s="44" t="inlineStr">
        <is>
          <t>Đạt</t>
        </is>
      </c>
      <c r="R28" s="41" t="inlineStr"/>
      <c r="S28" s="41" t="inlineStr"/>
      <c r="T28" s="41" t="inlineStr">
        <is>
          <t>26/05/2026 02:10</t>
        </is>
      </c>
      <c r="U28" s="41" t="inlineStr"/>
      <c r="V28" s="44" t="inlineStr"/>
      <c r="W28" s="41" t="inlineStr"/>
      <c r="X28" s="44" t="inlineStr"/>
    </row>
    <row r="29" ht="80" customHeight="1">
      <c r="A29" s="41" t="inlineStr">
        <is>
          <t>TC-026</t>
        </is>
      </c>
      <c r="B29" s="46" t="inlineStr">
        <is>
          <t>RED</t>
        </is>
      </c>
      <c r="C29" s="43" t="inlineStr">
        <is>
          <t>P0</t>
        </is>
      </c>
      <c r="D29" s="44" t="inlineStr">
        <is>
          <t>Draft — No Template</t>
        </is>
      </c>
      <c r="E29" s="44" t="inlineStr">
        <is>
          <t>RED: POST /draft documentType không có template active → 404</t>
        </is>
      </c>
      <c r="F29" s="41" t="inlineStr">
        <is>
          <t>REQ-FUNC-026</t>
        </is>
      </c>
      <c r="G29" s="41" t="inlineStr">
        <is>
          <t>EP / BVA</t>
        </is>
      </c>
      <c r="H29" s="41" t="inlineStr">
        <is>
          <t>Cao</t>
        </is>
      </c>
      <c r="I29" s="44" t="inlineStr">
        <is>
          <t>Không có template active cho EVIDENCE.</t>
        </is>
      </c>
      <c r="J29" s="44" t="inlineStr">
        <is>
          <t>1. POST /draft {documentType:'EVIDENCE'}</t>
        </is>
      </c>
      <c r="K29" s="44" t="inlineStr">
        <is>
          <t>user.officer</t>
        </is>
      </c>
      <c r="L29" s="44" t="inlineStr">
        <is>
          <t>user.officer</t>
        </is>
      </c>
      <c r="M29" s="44" t="inlineStr">
        <is>
          <t>404. message='No active template for documentType: EVIDENCE'</t>
        </is>
      </c>
      <c r="N29" s="44" t="inlineStr"/>
      <c r="O29" s="44" t="inlineStr"/>
      <c r="P29" s="41" t="inlineStr">
        <is>
          <t>[API] Đạt như expected. Thời gian: 0ms</t>
        </is>
      </c>
      <c r="Q29" s="44" t="inlineStr">
        <is>
          <t>Đạt</t>
        </is>
      </c>
      <c r="R29" s="41" t="inlineStr"/>
      <c r="S29" s="41" t="inlineStr"/>
      <c r="T29" s="41" t="inlineStr">
        <is>
          <t>26/05/2026 02:10</t>
        </is>
      </c>
      <c r="U29" s="41" t="inlineStr"/>
      <c r="V29" s="44" t="inlineStr"/>
      <c r="W29" s="41" t="inlineStr"/>
      <c r="X29" s="44" t="inlineStr"/>
    </row>
    <row r="30" ht="80" customHeight="1">
      <c r="A30" s="41" t="inlineStr">
        <is>
          <t>TC-027</t>
        </is>
      </c>
      <c r="B30" s="46" t="inlineStr">
        <is>
          <t>RED</t>
        </is>
      </c>
      <c r="C30" s="43" t="inlineStr">
        <is>
          <t>P0</t>
        </is>
      </c>
      <c r="D30" s="44" t="inlineStr">
        <is>
          <t>Commit Validation</t>
        </is>
      </c>
      <c r="E30" s="44" t="inlineStr">
        <is>
          <t>RED: POST /commit documentType=null → 400</t>
        </is>
      </c>
      <c r="F30" s="41" t="inlineStr">
        <is>
          <t>REQ-FUNC-027</t>
        </is>
      </c>
      <c r="G30" s="41" t="inlineStr">
        <is>
          <t>EP / BVA</t>
        </is>
      </c>
      <c r="H30" s="41" t="inlineStr">
        <is>
          <t>Cao</t>
        </is>
      </c>
      <c r="I30" s="44" t="inlineStr">
        <is>
          <t>Đăng nhập officer.</t>
        </is>
      </c>
      <c r="J30" s="44" t="inlineStr">
        <is>
          <t>1. POST /commit {documentType:null}</t>
        </is>
      </c>
      <c r="K30" s="44" t="inlineStr">
        <is>
          <t>user.officer</t>
        </is>
      </c>
      <c r="L30" s="44" t="inlineStr">
        <is>
          <t>user.officer</t>
        </is>
      </c>
      <c r="M30" s="44" t="inlineStr">
        <is>
          <t>400 Bad Request. Validation error: documentType required.</t>
        </is>
      </c>
      <c r="N30" s="44" t="inlineStr"/>
      <c r="O30" s="44" t="inlineStr"/>
      <c r="P30" s="41" t="inlineStr">
        <is>
          <t>[API] Đạt như expected. Thời gian: 0ms</t>
        </is>
      </c>
      <c r="Q30" s="44" t="inlineStr">
        <is>
          <t>Đạt</t>
        </is>
      </c>
      <c r="R30" s="41" t="inlineStr">
        <is>
          <t>Đạt</t>
        </is>
      </c>
      <c r="S30" s="41" t="inlineStr"/>
      <c r="T30" s="41" t="inlineStr">
        <is>
          <t>26/05/2026 02:10</t>
        </is>
      </c>
      <c r="U30" s="41" t="inlineStr">
        <is>
          <t>R1:Đạt|R2:Đạt</t>
        </is>
      </c>
      <c r="V30" s="44" t="inlineStr"/>
      <c r="W30" s="41" t="inlineStr"/>
      <c r="X30" s="44" t="inlineStr"/>
    </row>
    <row r="31" ht="80" customHeight="1">
      <c r="A31" s="41" t="inlineStr">
        <is>
          <t>TC-028</t>
        </is>
      </c>
      <c r="B31" s="46" t="inlineStr">
        <is>
          <t>RED</t>
        </is>
      </c>
      <c r="C31" s="45" t="inlineStr">
        <is>
          <t>P1</t>
        </is>
      </c>
      <c r="D31" s="44" t="inlineStr">
        <is>
          <t>Commit Validation</t>
        </is>
      </c>
      <c r="E31" s="44" t="inlineStr">
        <is>
          <t>RED: POST /commit body rỗng {} → 400</t>
        </is>
      </c>
      <c r="F31" s="41" t="inlineStr">
        <is>
          <t>REQ-FUNC-028</t>
        </is>
      </c>
      <c r="G31" s="41" t="inlineStr">
        <is>
          <t>EP / BVA</t>
        </is>
      </c>
      <c r="H31" s="41" t="inlineStr">
        <is>
          <t>Cao</t>
        </is>
      </c>
      <c r="I31" s="44" t="inlineStr">
        <is>
          <t>Officer.</t>
        </is>
      </c>
      <c r="J31" s="44" t="inlineStr">
        <is>
          <t>1. POST /commit {}</t>
        </is>
      </c>
      <c r="K31" s="44" t="inlineStr">
        <is>
          <t>user.officer</t>
        </is>
      </c>
      <c r="L31" s="44" t="inlineStr">
        <is>
          <t>user.officer</t>
        </is>
      </c>
      <c r="M31" s="44" t="inlineStr">
        <is>
          <t>400. documentType is required.</t>
        </is>
      </c>
      <c r="N31" s="44" t="inlineStr"/>
      <c r="O31" s="44" t="inlineStr"/>
      <c r="P31" s="41" t="inlineStr">
        <is>
          <t>[API] Đạt như expected. Thời gian: 0ms</t>
        </is>
      </c>
      <c r="Q31" s="44" t="inlineStr">
        <is>
          <t>Đạt</t>
        </is>
      </c>
      <c r="R31" s="41" t="inlineStr">
        <is>
          <t>Không đạt</t>
        </is>
      </c>
      <c r="S31" s="41" t="inlineStr">
        <is>
          <t>BUG-002</t>
        </is>
      </c>
      <c r="T31" s="41" t="inlineStr">
        <is>
          <t>26/05/2026 02:10</t>
        </is>
      </c>
      <c r="U31" s="41" t="inlineStr">
        <is>
          <t>R1:Đạt|R2:Không đạt</t>
        </is>
      </c>
      <c r="V31" s="44" t="inlineStr">
        <is>
          <t>⚠️ REGRESSION</t>
        </is>
      </c>
      <c r="W31" s="41" t="inlineStr"/>
      <c r="X31" s="44" t="inlineStr"/>
    </row>
    <row r="32" ht="80" customHeight="1">
      <c r="A32" s="41" t="inlineStr">
        <is>
          <t>TC-029</t>
        </is>
      </c>
      <c r="B32" s="46" t="inlineStr">
        <is>
          <t>RED</t>
        </is>
      </c>
      <c r="C32" s="45" t="inlineStr">
        <is>
          <t>P1</t>
        </is>
      </c>
      <c r="D32" s="44" t="inlineStr">
        <is>
          <t>Template Validation</t>
        </is>
      </c>
      <c r="E32" s="44" t="inlineStr">
        <is>
          <t>RED: POST /templates thiếu name → 400</t>
        </is>
      </c>
      <c r="F32" s="41" t="inlineStr">
        <is>
          <t>REQ-FUNC-029</t>
        </is>
      </c>
      <c r="G32" s="41" t="inlineStr">
        <is>
          <t>EP / BVA</t>
        </is>
      </c>
      <c r="H32" s="41" t="inlineStr">
        <is>
          <t>Cao</t>
        </is>
      </c>
      <c r="I32" s="44" t="inlineStr">
        <is>
          <t>Admin.</t>
        </is>
      </c>
      <c r="J32" s="44" t="inlineStr">
        <is>
          <t>1. POST /templates {documentType:'PROPOSAL', isActive:true, segments:[], counterConfig:{}}</t>
        </is>
      </c>
      <c r="K32" s="44" t="inlineStr">
        <is>
          <t>user.admin</t>
        </is>
      </c>
      <c r="L32" s="44" t="inlineStr">
        <is>
          <t>user.admin</t>
        </is>
      </c>
      <c r="M32" s="44" t="inlineStr">
        <is>
          <t>400. name is required.</t>
        </is>
      </c>
      <c r="N32" s="44" t="inlineStr"/>
      <c r="O32" s="44" t="inlineStr"/>
      <c r="P32" s="41" t="inlineStr">
        <is>
          <t>[API] Đạt như expected. Thời gian: 0ms</t>
        </is>
      </c>
      <c r="Q32" s="44" t="inlineStr">
        <is>
          <t>Đạt</t>
        </is>
      </c>
      <c r="R32" s="41" t="inlineStr">
        <is>
          <t>Đạt</t>
        </is>
      </c>
      <c r="S32" s="41" t="inlineStr"/>
      <c r="T32" s="41" t="inlineStr">
        <is>
          <t>26/05/2026 02:10</t>
        </is>
      </c>
      <c r="U32" s="41" t="inlineStr">
        <is>
          <t>R1:Đạt|R2:Đạt</t>
        </is>
      </c>
      <c r="V32" s="44" t="inlineStr"/>
      <c r="W32" s="41" t="inlineStr"/>
      <c r="X32" s="44" t="inlineStr"/>
    </row>
    <row r="33" ht="80" customHeight="1">
      <c r="A33" s="41" t="inlineStr">
        <is>
          <t>TC-030</t>
        </is>
      </c>
      <c r="B33" s="46" t="inlineStr">
        <is>
          <t>RED</t>
        </is>
      </c>
      <c r="C33" s="45" t="inlineStr">
        <is>
          <t>P1</t>
        </is>
      </c>
      <c r="D33" s="44" t="inlineStr">
        <is>
          <t>Template Validation</t>
        </is>
      </c>
      <c r="E33" s="44" t="inlineStr">
        <is>
          <t>RED: POST /templates thiếu documentType → 400</t>
        </is>
      </c>
      <c r="F33" s="41" t="inlineStr">
        <is>
          <t>REQ-FUNC-030</t>
        </is>
      </c>
      <c r="G33" s="41" t="inlineStr">
        <is>
          <t>EP / BVA</t>
        </is>
      </c>
      <c r="H33" s="41" t="inlineStr">
        <is>
          <t>Cao</t>
        </is>
      </c>
      <c r="I33" s="44" t="inlineStr">
        <is>
          <t>Admin.</t>
        </is>
      </c>
      <c r="J33" s="44" t="inlineStr">
        <is>
          <t>1. POST /templates {name:'X', isActive:true, segments:[], counterConfig:{}}</t>
        </is>
      </c>
      <c r="K33" s="44" t="inlineStr">
        <is>
          <t>user.admin</t>
        </is>
      </c>
      <c r="L33" s="44" t="inlineStr">
        <is>
          <t>user.admin</t>
        </is>
      </c>
      <c r="M33" s="44" t="inlineStr">
        <is>
          <t>400. documentType is required.</t>
        </is>
      </c>
      <c r="N33" s="44" t="inlineStr"/>
      <c r="O33" s="44" t="inlineStr"/>
      <c r="P33" s="41" t="inlineStr">
        <is>
          <t>[API] Đạt như expected. Thời gian: 0ms</t>
        </is>
      </c>
      <c r="Q33" s="44" t="inlineStr">
        <is>
          <t>Đạt</t>
        </is>
      </c>
      <c r="R33" s="41" t="inlineStr">
        <is>
          <t>Đạt</t>
        </is>
      </c>
      <c r="S33" s="41" t="inlineStr"/>
      <c r="T33" s="41" t="inlineStr">
        <is>
          <t>26/05/2026 02:10</t>
        </is>
      </c>
      <c r="U33" s="41" t="inlineStr">
        <is>
          <t>R1:Đạt|R2:Đạt</t>
        </is>
      </c>
      <c r="V33" s="44" t="inlineStr"/>
      <c r="W33" s="41" t="inlineStr"/>
      <c r="X33" s="44" t="inlineStr"/>
    </row>
    <row r="34" ht="80" customHeight="1">
      <c r="A34" s="41" t="inlineStr">
        <is>
          <t>TC-031</t>
        </is>
      </c>
      <c r="B34" s="46" t="inlineStr">
        <is>
          <t>RED</t>
        </is>
      </c>
      <c r="C34" s="45" t="inlineStr">
        <is>
          <t>P1</t>
        </is>
      </c>
      <c r="D34" s="44" t="inlineStr">
        <is>
          <t>Template CRUD — RED</t>
        </is>
      </c>
      <c r="E34" s="44" t="inlineStr">
        <is>
          <t>RED: GET /templates/:id không tồn tại → 404</t>
        </is>
      </c>
      <c r="F34" s="41" t="inlineStr">
        <is>
          <t>REQ-FUNC-031</t>
        </is>
      </c>
      <c r="G34" s="41" t="inlineStr">
        <is>
          <t>EP / BVA</t>
        </is>
      </c>
      <c r="H34" s="41" t="inlineStr">
        <is>
          <t>Cao</t>
        </is>
      </c>
      <c r="I34" s="44" t="inlineStr">
        <is>
          <t>Admin.</t>
        </is>
      </c>
      <c r="J34" s="44" t="inlineStr">
        <is>
          <t>1. GET /templates/00000000-0000-0000-0000-000000000000/stats</t>
        </is>
      </c>
      <c r="K34" s="44" t="inlineStr">
        <is>
          <t>user.admin</t>
        </is>
      </c>
      <c r="L34" s="44" t="inlineStr">
        <is>
          <t>user.admin</t>
        </is>
      </c>
      <c r="M34" s="44" t="inlineStr">
        <is>
          <t>404. message='Template not found'</t>
        </is>
      </c>
      <c r="N34" s="44" t="inlineStr"/>
      <c r="O34" s="44" t="inlineStr"/>
      <c r="P34" s="41" t="inlineStr">
        <is>
          <t>[API] Đạt như expected. Thời gian: 0ms</t>
        </is>
      </c>
      <c r="Q34" s="44" t="inlineStr">
        <is>
          <t>Đạt</t>
        </is>
      </c>
      <c r="R34" s="41" t="inlineStr">
        <is>
          <t>Đạt</t>
        </is>
      </c>
      <c r="S34" s="41" t="inlineStr"/>
      <c r="T34" s="41" t="inlineStr">
        <is>
          <t>26/05/2026 02:10</t>
        </is>
      </c>
      <c r="U34" s="41" t="inlineStr">
        <is>
          <t>R1:Đạt|R2:Đạt</t>
        </is>
      </c>
      <c r="V34" s="44" t="inlineStr"/>
      <c r="W34" s="41" t="inlineStr"/>
      <c r="X34" s="44" t="inlineStr"/>
    </row>
    <row r="35" ht="80" customHeight="1">
      <c r="A35" s="41" t="inlineStr">
        <is>
          <t>TC-032</t>
        </is>
      </c>
      <c r="B35" s="46" t="inlineStr">
        <is>
          <t>RED</t>
        </is>
      </c>
      <c r="C35" s="45" t="inlineStr">
        <is>
          <t>P1</t>
        </is>
      </c>
      <c r="D35" s="44" t="inlineStr">
        <is>
          <t>Template CRUD — RED</t>
        </is>
      </c>
      <c r="E35" s="44" t="inlineStr">
        <is>
          <t>RED: DELETE /templates/:id đang active → 400 hoặc 409</t>
        </is>
      </c>
      <c r="F35" s="41" t="inlineStr">
        <is>
          <t>REQ-FUNC-032</t>
        </is>
      </c>
      <c r="G35" s="41" t="inlineStr">
        <is>
          <t>EP / BVA</t>
        </is>
      </c>
      <c r="H35" s="41" t="inlineStr">
        <is>
          <t>Cao</t>
        </is>
      </c>
      <c r="I35" s="44" t="inlineStr">
        <is>
          <t>Admin. Template INCIDENT isActive=true.</t>
        </is>
      </c>
      <c r="J35" s="44" t="inlineStr">
        <is>
          <t>1. DELETE /templates/{id} của template đang active</t>
        </is>
      </c>
      <c r="K35" s="44" t="inlineStr">
        <is>
          <t>user.admin, template.incident.active</t>
        </is>
      </c>
      <c r="L35" s="44" t="inlineStr">
        <is>
          <t>user.admin, template.incident.active</t>
        </is>
      </c>
      <c r="M35" s="44" t="inlineStr">
        <is>
          <t>400 hoặc 409. Không cho xóa template đang active. Phải deactivate trước.</t>
        </is>
      </c>
      <c r="N35" s="44" t="inlineStr"/>
      <c r="O35" s="44" t="inlineStr"/>
      <c r="P35" s="41" t="inlineStr">
        <is>
          <t>[API] Đạt như expected. Thời gian: 0ms</t>
        </is>
      </c>
      <c r="Q35" s="44" t="inlineStr">
        <is>
          <t>Đạt</t>
        </is>
      </c>
      <c r="R35" s="41" t="inlineStr">
        <is>
          <t>Đạt</t>
        </is>
      </c>
      <c r="S35" s="41" t="inlineStr"/>
      <c r="T35" s="41" t="inlineStr">
        <is>
          <t>26/05/2026 02:10</t>
        </is>
      </c>
      <c r="U35" s="41" t="inlineStr">
        <is>
          <t>R1:Đạt|R2:Đạt</t>
        </is>
      </c>
      <c r="V35" s="44" t="inlineStr"/>
      <c r="W35" s="41" t="inlineStr"/>
      <c r="X35" s="44" t="inlineStr"/>
    </row>
    <row r="36" ht="80" customHeight="1">
      <c r="A36" s="41" t="inlineStr">
        <is>
          <t>TC-033</t>
        </is>
      </c>
      <c r="B36" s="46" t="inlineStr">
        <is>
          <t>RED</t>
        </is>
      </c>
      <c r="C36" s="45" t="inlineStr">
        <is>
          <t>P1</t>
        </is>
      </c>
      <c r="D36" s="44" t="inlineStr">
        <is>
          <t>Log Update — RED</t>
        </is>
      </c>
      <c r="E36" s="44" t="inlineStr">
        <is>
          <t>RED: PATCH /logs không tồn tại logId → 404</t>
        </is>
      </c>
      <c r="F36" s="41" t="inlineStr">
        <is>
          <t>REQ-FUNC-033</t>
        </is>
      </c>
      <c r="G36" s="41" t="inlineStr">
        <is>
          <t>EP / BVA</t>
        </is>
      </c>
      <c r="H36" s="41" t="inlineStr">
        <is>
          <t>Cao</t>
        </is>
      </c>
      <c r="I36" s="44" t="inlineStr">
        <is>
          <t>Officer.</t>
        </is>
      </c>
      <c r="J36" s="44" t="inlineStr">
        <is>
          <t>1. PATCH /logs/00000000-0000-0000-0000-000000000000 {documentId:'uuid'}</t>
        </is>
      </c>
      <c r="K36" s="44" t="inlineStr">
        <is>
          <t>user.officer</t>
        </is>
      </c>
      <c r="L36" s="44" t="inlineStr">
        <is>
          <t>user.officer</t>
        </is>
      </c>
      <c r="M36" s="44" t="inlineStr">
        <is>
          <t>404. Log not found.</t>
        </is>
      </c>
      <c r="N36" s="44" t="inlineStr"/>
      <c r="O36" s="44" t="inlineStr"/>
      <c r="P36" s="41" t="inlineStr">
        <is>
          <t>[API] Đạt như expected. Thời gian: 0ms</t>
        </is>
      </c>
      <c r="Q36" s="44" t="inlineStr">
        <is>
          <t>Đạt</t>
        </is>
      </c>
      <c r="R36" s="41" t="inlineStr">
        <is>
          <t>Đạt</t>
        </is>
      </c>
      <c r="S36" s="41" t="inlineStr"/>
      <c r="T36" s="41" t="inlineStr">
        <is>
          <t>26/05/2026 02:10</t>
        </is>
      </c>
      <c r="U36" s="41" t="inlineStr">
        <is>
          <t>R1:Đạt|R2:Đạt</t>
        </is>
      </c>
      <c r="V36" s="44" t="inlineStr"/>
      <c r="W36" s="41" t="inlineStr"/>
      <c r="X36" s="44" t="inlineStr"/>
    </row>
    <row r="37" ht="80" customHeight="1">
      <c r="A37" s="41" t="inlineStr">
        <is>
          <t>TC-034</t>
        </is>
      </c>
      <c r="B37" s="46" t="inlineStr">
        <is>
          <t>RED</t>
        </is>
      </c>
      <c r="C37" s="45" t="inlineStr">
        <is>
          <t>P1</t>
        </is>
      </c>
      <c r="D37" s="44" t="inlineStr">
        <is>
          <t>Template Validation — RED</t>
        </is>
      </c>
      <c r="E37" s="44" t="inlineStr">
        <is>
          <t>RED: PUT /templates/:id với admin — segments=[] → 400</t>
        </is>
      </c>
      <c r="F37" s="41" t="inlineStr">
        <is>
          <t>REQ-FUNC-034</t>
        </is>
      </c>
      <c r="G37" s="41" t="inlineStr">
        <is>
          <t>EP / BVA</t>
        </is>
      </c>
      <c r="H37" s="41" t="inlineStr">
        <is>
          <t>Cao</t>
        </is>
      </c>
      <c r="I37" s="44" t="inlineStr">
        <is>
          <t>Admin. Template tồn tại.</t>
        </is>
      </c>
      <c r="J37" s="44" t="inlineStr">
        <is>
          <t>1. PUT /templates/{id} {segments:[]}</t>
        </is>
      </c>
      <c r="K37" s="44" t="inlineStr">
        <is>
          <t>user.admin, template.incident.active</t>
        </is>
      </c>
      <c r="L37" s="44" t="inlineStr">
        <is>
          <t>user.admin, template.incident.active</t>
        </is>
      </c>
      <c r="M37" s="44" t="inlineStr">
        <is>
          <t>400. segments không được rỗng (phải có ít nhất 1 segment).</t>
        </is>
      </c>
      <c r="N37" s="44" t="inlineStr"/>
      <c r="O37" s="44" t="inlineStr"/>
      <c r="P37" s="41" t="inlineStr">
        <is>
          <t>[API] Đạt như expected. Thời gian: 0ms</t>
        </is>
      </c>
      <c r="Q37" s="44" t="inlineStr">
        <is>
          <t>Đạt</t>
        </is>
      </c>
      <c r="R37" s="41" t="inlineStr">
        <is>
          <t>Đạt</t>
        </is>
      </c>
      <c r="S37" s="41" t="inlineStr"/>
      <c r="T37" s="41" t="inlineStr">
        <is>
          <t>26/05/2026 02:10</t>
        </is>
      </c>
      <c r="U37" s="41" t="inlineStr">
        <is>
          <t>R1:Đạt|R2:Đạt</t>
        </is>
      </c>
      <c r="V37" s="44" t="inlineStr"/>
      <c r="W37" s="41" t="inlineStr"/>
      <c r="X37" s="44" t="inlineStr"/>
    </row>
    <row r="38" ht="80" customHeight="1">
      <c r="A38" s="41" t="inlineStr">
        <is>
          <t>TC-035</t>
        </is>
      </c>
      <c r="B38" s="46" t="inlineStr">
        <is>
          <t>RED</t>
        </is>
      </c>
      <c r="C38" s="43" t="inlineStr">
        <is>
          <t>P0</t>
        </is>
      </c>
      <c r="D38" s="44" t="inlineStr">
        <is>
          <t>Auth — Token Expired</t>
        </is>
      </c>
      <c r="E38" s="44" t="inlineStr">
        <is>
          <t>RED: POST /draft với JWT expired → 401</t>
        </is>
      </c>
      <c r="F38" s="41" t="inlineStr">
        <is>
          <t>REQ-FUNC-035</t>
        </is>
      </c>
      <c r="G38" s="41" t="inlineStr">
        <is>
          <t>EP / BVA</t>
        </is>
      </c>
      <c r="H38" s="41" t="inlineStr">
        <is>
          <t>Cao</t>
        </is>
      </c>
      <c r="I38" s="44" t="inlineStr">
        <is>
          <t>Token hết hạn (exp &lt; now).</t>
        </is>
      </c>
      <c r="J38" s="44" t="inlineStr">
        <is>
          <t>1. POST /draft {documentType:'INCIDENT'} với expired token</t>
        </is>
      </c>
      <c r="K38" s="44" t="inlineStr">
        <is>
          <t>user.expired_token, template.incident.active</t>
        </is>
      </c>
      <c r="L38" s="44" t="inlineStr">
        <is>
          <t>user.expired_token, template.incident.active</t>
        </is>
      </c>
      <c r="M38" s="44" t="inlineStr">
        <is>
          <t>401. TokenExpiredError. Không trả draft number.</t>
        </is>
      </c>
      <c r="N38" s="44" t="inlineStr"/>
      <c r="O38" s="44" t="inlineStr"/>
      <c r="P38" s="41" t="inlineStr">
        <is>
          <t>[API] Đạt như expected. Thời gian: 0ms</t>
        </is>
      </c>
      <c r="Q38" s="44" t="inlineStr">
        <is>
          <t>Đạt</t>
        </is>
      </c>
      <c r="R38" s="41" t="inlineStr">
        <is>
          <t>Đạt</t>
        </is>
      </c>
      <c r="S38" s="41" t="inlineStr"/>
      <c r="T38" s="41" t="inlineStr">
        <is>
          <t>26/05/2026 02:10</t>
        </is>
      </c>
      <c r="U38" s="41" t="inlineStr">
        <is>
          <t>R1:Đạt|R2:Đạt</t>
        </is>
      </c>
      <c r="V38" s="44" t="inlineStr"/>
      <c r="W38" s="41" t="inlineStr"/>
      <c r="X38" s="44" t="inlineStr"/>
    </row>
    <row r="39" ht="80" customHeight="1">
      <c r="A39" s="41" t="inlineStr">
        <is>
          <t>TC-036</t>
        </is>
      </c>
      <c r="B39" s="42" t="inlineStr">
        <is>
          <t>GREEN</t>
        </is>
      </c>
      <c r="C39" s="43" t="inlineStr">
        <is>
          <t>P0</t>
        </is>
      </c>
      <c r="D39" s="44" t="inlineStr">
        <is>
          <t>Formula Engine</t>
        </is>
      </c>
      <c r="E39" s="44" t="inlineStr">
        <is>
          <t>Formula YYYY — năm hiện tại đúng trong mã sinh</t>
        </is>
      </c>
      <c r="F39" s="41" t="inlineStr">
        <is>
          <t>REQ-FUNC-036</t>
        </is>
      </c>
      <c r="G39" s="41" t="inlineStr">
        <is>
          <t>Happy Path</t>
        </is>
      </c>
      <c r="H39" s="41" t="inlineStr">
        <is>
          <t>Cao</t>
        </is>
      </c>
      <c r="I39" s="44" t="inlineStr">
        <is>
          <t>Template với FORMULA source=NOW pattern=YYYY, counter=0</t>
        </is>
      </c>
      <c r="J39" s="44" t="inlineStr">
        <is>
          <t>1. POST /draft {documentType:"INCIDENT"}
2. Kiểm tra previewNumber chứa năm hiện tại</t>
        </is>
      </c>
      <c r="K39" s="44" t="inlineStr">
        <is>
          <t>template.incident.active</t>
        </is>
      </c>
      <c r="L39" s="44" t="inlineStr">
        <is>
          <t>template.incident.active</t>
        </is>
      </c>
      <c r="M39" s="44" t="inlineStr">
        <is>
          <t>previewNumber chứa "2026" (năm UTC hiện tại). VD: "VV-2026-00107"</t>
        </is>
      </c>
      <c r="N39" s="44" t="inlineStr"/>
      <c r="O39" s="44" t="inlineStr"/>
      <c r="P39" s="41" t="inlineStr">
        <is>
          <t>[API] Không đạt - xem HTML report</t>
        </is>
      </c>
      <c r="Q39" s="44" t="inlineStr">
        <is>
          <t>Không đạt</t>
        </is>
      </c>
      <c r="R39" s="41" t="inlineStr"/>
      <c r="S39" s="41" t="inlineStr">
        <is>
          <t>BUG-115</t>
        </is>
      </c>
      <c r="T39" s="41" t="inlineStr">
        <is>
          <t>26/05/2026 02:10</t>
        </is>
      </c>
      <c r="U39" s="41" t="inlineStr"/>
      <c r="V39" s="44" t="inlineStr"/>
      <c r="W39" s="41" t="inlineStr"/>
      <c r="X39" s="44" t="inlineStr"/>
    </row>
    <row r="40" ht="80" customHeight="1">
      <c r="A40" s="41" t="inlineStr">
        <is>
          <t>TC-037</t>
        </is>
      </c>
      <c r="B40" s="42" t="inlineStr">
        <is>
          <t>GREEN</t>
        </is>
      </c>
      <c r="C40" s="45" t="inlineStr">
        <is>
          <t>P1</t>
        </is>
      </c>
      <c r="D40" s="44" t="inlineStr">
        <is>
          <t>Formula Engine</t>
        </is>
      </c>
      <c r="E40" s="44" t="inlineStr">
        <is>
          <t>Formula YY — 2 chữ số năm trong mã</t>
        </is>
      </c>
      <c r="F40" s="41" t="inlineStr">
        <is>
          <t>REQ-FUNC-037</t>
        </is>
      </c>
      <c r="G40" s="41" t="inlineStr">
        <is>
          <t>Happy Path</t>
        </is>
      </c>
      <c r="H40" s="41" t="inlineStr">
        <is>
          <t>Cao</t>
        </is>
      </c>
      <c r="I40" s="44" t="inlineStr">
        <is>
          <t>Template với FORMULA pattern=YY</t>
        </is>
      </c>
      <c r="J40" s="44" t="inlineStr">
        <is>
          <t>1. POST /draft với template dùng pattern YY</t>
        </is>
      </c>
      <c r="K40" s="44" t="inlineStr">
        <is>
          <t>template.yy_pattern</t>
        </is>
      </c>
      <c r="L40" s="44" t="inlineStr">
        <is>
          <t>template.yy_pattern</t>
        </is>
      </c>
      <c r="M40" s="44" t="inlineStr">
        <is>
          <t>Mã số chứa 2 chữ số năm, VD: "26"</t>
        </is>
      </c>
      <c r="N40" s="44" t="inlineStr"/>
      <c r="O40" s="44" t="inlineStr"/>
      <c r="P40" s="41" t="inlineStr">
        <is>
          <t>[API] Đạt như expected. Thời gian: 0ms</t>
        </is>
      </c>
      <c r="Q40" s="44" t="inlineStr">
        <is>
          <t>Đạt</t>
        </is>
      </c>
      <c r="R40" s="41" t="inlineStr"/>
      <c r="S40" s="41" t="inlineStr"/>
      <c r="T40" s="41" t="inlineStr">
        <is>
          <t>26/05/2026 02:10</t>
        </is>
      </c>
      <c r="U40" s="41" t="inlineStr"/>
      <c r="V40" s="44" t="inlineStr"/>
      <c r="W40" s="41" t="inlineStr"/>
      <c r="X40" s="44" t="inlineStr"/>
    </row>
    <row r="41" ht="80" customHeight="1">
      <c r="A41" s="41" t="inlineStr">
        <is>
          <t>TC-038</t>
        </is>
      </c>
      <c r="B41" s="42" t="inlineStr">
        <is>
          <t>GREEN</t>
        </is>
      </c>
      <c r="C41" s="45" t="inlineStr">
        <is>
          <t>P1</t>
        </is>
      </c>
      <c r="D41" s="44" t="inlineStr">
        <is>
          <t>Formula Engine</t>
        </is>
      </c>
      <c r="E41" s="44" t="inlineStr">
        <is>
          <t>Formula MM — tháng có leading zero</t>
        </is>
      </c>
      <c r="F41" s="41" t="inlineStr">
        <is>
          <t>REQ-FUNC-038</t>
        </is>
      </c>
      <c r="G41" s="41" t="inlineStr">
        <is>
          <t>Happy Path</t>
        </is>
      </c>
      <c r="H41" s="41" t="inlineStr">
        <is>
          <t>Cao</t>
        </is>
      </c>
      <c r="I41" s="44" t="inlineStr">
        <is>
          <t>Tháng hiện tại là tháng 5, FORMULA pattern=MM</t>
        </is>
      </c>
      <c r="J41" s="44" t="inlineStr">
        <is>
          <t>1. POST /draft với template dùng pattern MM</t>
        </is>
      </c>
      <c r="K41" s="44" t="inlineStr">
        <is>
          <t>template.mm_pattern</t>
        </is>
      </c>
      <c r="L41" s="44" t="inlineStr">
        <is>
          <t>template.mm_pattern</t>
        </is>
      </c>
      <c r="M41" s="44" t="inlineStr">
        <is>
          <t>Mã chứa "05" (không phải "5")</t>
        </is>
      </c>
      <c r="N41" s="44" t="inlineStr"/>
      <c r="O41" s="44" t="inlineStr"/>
      <c r="P41" s="41" t="inlineStr">
        <is>
          <t>[API] Không đạt - xem HTML report</t>
        </is>
      </c>
      <c r="Q41" s="44" t="inlineStr">
        <is>
          <t>Không đạt</t>
        </is>
      </c>
      <c r="R41" s="41" t="inlineStr"/>
      <c r="S41" s="41" t="inlineStr"/>
      <c r="T41" s="41" t="inlineStr">
        <is>
          <t>26/05/2026 02:10</t>
        </is>
      </c>
      <c r="U41" s="41" t="inlineStr"/>
      <c r="V41" s="44" t="inlineStr"/>
      <c r="W41" s="41" t="inlineStr"/>
      <c r="X41" s="44" t="inlineStr"/>
    </row>
    <row r="42" ht="80" customHeight="1">
      <c r="A42" s="41" t="inlineStr">
        <is>
          <t>TC-039</t>
        </is>
      </c>
      <c r="B42" s="42" t="inlineStr">
        <is>
          <t>GREEN</t>
        </is>
      </c>
      <c r="C42" s="45" t="inlineStr">
        <is>
          <t>P1</t>
        </is>
      </c>
      <c r="D42" s="44" t="inlineStr">
        <is>
          <t>Formula Engine</t>
        </is>
      </c>
      <c r="E42" s="44" t="inlineStr">
        <is>
          <t>Formula YYYYMMDD — ngày đầy đủ ISO trong mã</t>
        </is>
      </c>
      <c r="F42" s="41" t="inlineStr">
        <is>
          <t>REQ-FUNC-039</t>
        </is>
      </c>
      <c r="G42" s="41" t="inlineStr">
        <is>
          <t>Happy Path</t>
        </is>
      </c>
      <c r="H42" s="41" t="inlineStr">
        <is>
          <t>Cao</t>
        </is>
      </c>
      <c r="I42" s="44" t="inlineStr">
        <is>
          <t>Template FORMULA pattern=YYYYMMDD</t>
        </is>
      </c>
      <c r="J42" s="44" t="inlineStr">
        <is>
          <t>1. POST /draft</t>
        </is>
      </c>
      <c r="K42" s="44" t="inlineStr">
        <is>
          <t>template.yyyymmdd_pattern</t>
        </is>
      </c>
      <c r="L42" s="44" t="inlineStr">
        <is>
          <t>template.yyyymmdd_pattern</t>
        </is>
      </c>
      <c r="M42" s="44" t="inlineStr">
        <is>
          <t>Mã chứa ngày đầy đủ như "20260525"</t>
        </is>
      </c>
      <c r="N42" s="44" t="inlineStr"/>
      <c r="O42" s="44" t="inlineStr"/>
      <c r="P42" s="41" t="inlineStr">
        <is>
          <t>[API] Đạt như expected. Thời gian: 0ms</t>
        </is>
      </c>
      <c r="Q42" s="44" t="inlineStr">
        <is>
          <t>Đạt</t>
        </is>
      </c>
      <c r="R42" s="41" t="inlineStr"/>
      <c r="S42" s="41" t="inlineStr"/>
      <c r="T42" s="41" t="inlineStr">
        <is>
          <t>26/05/2026 02:10</t>
        </is>
      </c>
      <c r="U42" s="41" t="inlineStr"/>
      <c r="V42" s="44" t="inlineStr"/>
      <c r="W42" s="41" t="inlineStr"/>
      <c r="X42" s="44" t="inlineStr"/>
    </row>
    <row r="43" ht="80" customHeight="1">
      <c r="A43" s="41" t="inlineStr">
        <is>
          <t>TC-040</t>
        </is>
      </c>
      <c r="B43" s="42" t="inlineStr">
        <is>
          <t>GREEN</t>
        </is>
      </c>
      <c r="C43" s="45" t="inlineStr">
        <is>
          <t>P1</t>
        </is>
      </c>
      <c r="D43" s="44" t="inlineStr">
        <is>
          <t>Formula Engine — Context</t>
        </is>
      </c>
      <c r="E43" s="44" t="inlineStr">
        <is>
          <t>Formula ctx:Login.workId — workId cán bộ trong mã</t>
        </is>
      </c>
      <c r="F43" s="41" t="inlineStr">
        <is>
          <t>REQ-FUNC-040</t>
        </is>
      </c>
      <c r="G43" s="41" t="inlineStr">
        <is>
          <t>Happy Path</t>
        </is>
      </c>
      <c r="H43" s="41" t="inlineStr">
        <is>
          <t>Cao</t>
        </is>
      </c>
      <c r="I43" s="44" t="inlineStr">
        <is>
          <t>officer1 có workId="A001", template dùng ctx:Login.workId</t>
        </is>
      </c>
      <c r="J43" s="44" t="inlineStr">
        <is>
          <t>1. Đăng nhập officer1
2. POST /draft với documentType của template đó</t>
        </is>
      </c>
      <c r="K43" s="44" t="inlineStr">
        <is>
          <t>user.officer_with_workid, template.workid_source</t>
        </is>
      </c>
      <c r="L43" s="44" t="inlineStr">
        <is>
          <t>user.officer_with_workid, template.workid_source</t>
        </is>
      </c>
      <c r="M43" s="44" t="inlineStr">
        <is>
          <t>previewNumber chứa "A001"</t>
        </is>
      </c>
      <c r="N43" s="44" t="inlineStr"/>
      <c r="O43" s="44" t="inlineStr"/>
      <c r="P43" s="41" t="inlineStr">
        <is>
          <t>[API] Đạt như expected. Thời gian: 0ms</t>
        </is>
      </c>
      <c r="Q43" s="44" t="inlineStr">
        <is>
          <t>Đạt</t>
        </is>
      </c>
      <c r="R43" s="41" t="inlineStr"/>
      <c r="S43" s="41" t="inlineStr"/>
      <c r="T43" s="41" t="inlineStr">
        <is>
          <t>26/05/2026 02:10</t>
        </is>
      </c>
      <c r="U43" s="41" t="inlineStr"/>
      <c r="V43" s="44" t="inlineStr"/>
      <c r="W43" s="41" t="inlineStr"/>
      <c r="X43" s="44" t="inlineStr"/>
    </row>
    <row r="44" ht="80" customHeight="1">
      <c r="A44" s="41" t="inlineStr">
        <is>
          <t>TC-041</t>
        </is>
      </c>
      <c r="B44" s="47" t="inlineStr">
        <is>
          <t>EDGE</t>
        </is>
      </c>
      <c r="C44" s="45" t="inlineStr">
        <is>
          <t>P1</t>
        </is>
      </c>
      <c r="D44" s="44" t="inlineStr">
        <is>
          <t>Formula Engine — Context</t>
        </is>
      </c>
      <c r="E44" s="44" t="inlineStr">
        <is>
          <t>Formula ctx:Login.workId — user không có workId → empty string (không crash)</t>
        </is>
      </c>
      <c r="F44" s="41" t="inlineStr">
        <is>
          <t>REQ-FUNC-041</t>
        </is>
      </c>
      <c r="G44" s="41" t="inlineStr">
        <is>
          <t>Edge Case</t>
        </is>
      </c>
      <c r="H44" s="41" t="inlineStr">
        <is>
          <t>Cao</t>
        </is>
      </c>
      <c r="I44" s="44" t="inlineStr">
        <is>
          <t>User không có workId, template dùng ctx:Login.workId</t>
        </is>
      </c>
      <c r="J44" s="44" t="inlineStr">
        <is>
          <t>1. Đăng nhập user không có workId
2. POST /draft với template đó</t>
        </is>
      </c>
      <c r="K44" s="44" t="inlineStr">
        <is>
          <t>user.no_workid, template.workid_source</t>
        </is>
      </c>
      <c r="L44" s="44" t="inlineStr">
        <is>
          <t>user.no_workid, template.workid_source</t>
        </is>
      </c>
      <c r="M44" s="44" t="inlineStr">
        <is>
          <t>200. previewNumber sinh ra với đoạn workId = empty. Không crash 500</t>
        </is>
      </c>
      <c r="N44" s="44" t="inlineStr"/>
      <c r="O44" s="44" t="inlineStr"/>
      <c r="P44" s="41" t="inlineStr">
        <is>
          <t>[API] Đạt như expected. Thời gian: 0ms</t>
        </is>
      </c>
      <c r="Q44" s="44" t="inlineStr">
        <is>
          <t>Đạt</t>
        </is>
      </c>
      <c r="R44" s="41" t="inlineStr"/>
      <c r="S44" s="41" t="inlineStr"/>
      <c r="T44" s="41" t="inlineStr">
        <is>
          <t>26/05/2026 02:10</t>
        </is>
      </c>
      <c r="U44" s="41" t="inlineStr"/>
      <c r="V44" s="44" t="inlineStr"/>
      <c r="W44" s="41" t="inlineStr"/>
      <c r="X44" s="44" t="inlineStr"/>
    </row>
    <row r="45" ht="80" customHeight="1">
      <c r="A45" s="41" t="inlineStr">
        <is>
          <t>TC-042</t>
        </is>
      </c>
      <c r="B45" s="42" t="inlineStr">
        <is>
          <t>GREEN</t>
        </is>
      </c>
      <c r="C45" s="48" t="inlineStr">
        <is>
          <t>P2</t>
        </is>
      </c>
      <c r="D45" s="44" t="inlineStr">
        <is>
          <t>Formula Engine — Context</t>
        </is>
      </c>
      <c r="E45" s="44" t="inlineStr">
        <is>
          <t>Formula ctx:Login.departmentId — departmentId trong mã</t>
        </is>
      </c>
      <c r="F45" s="41" t="inlineStr">
        <is>
          <t>REQ-FUNC-042</t>
        </is>
      </c>
      <c r="G45" s="41" t="inlineStr">
        <is>
          <t>Happy Path</t>
        </is>
      </c>
      <c r="H45" s="41" t="inlineStr">
        <is>
          <t>TB</t>
        </is>
      </c>
      <c r="I45" s="44" t="inlineStr">
        <is>
          <t>User có departmentId, template dùng ctx:Login.departmentId</t>
        </is>
      </c>
      <c r="J45" s="44" t="inlineStr">
        <is>
          <t>1. POST /draft</t>
        </is>
      </c>
      <c r="K45" s="44" t="inlineStr">
        <is>
          <t>user.officer, template.deptid_source</t>
        </is>
      </c>
      <c r="L45" s="44" t="inlineStr">
        <is>
          <t>user.officer, template.deptid_source</t>
        </is>
      </c>
      <c r="M45" s="44" t="inlineStr">
        <is>
          <t>previewNumber chứa departmentId UUID của user</t>
        </is>
      </c>
      <c r="N45" s="44" t="inlineStr"/>
      <c r="O45" s="44" t="inlineStr"/>
      <c r="P45" s="41" t="inlineStr">
        <is>
          <t>[API] Đạt như expected. Thời gian: 0ms</t>
        </is>
      </c>
      <c r="Q45" s="44" t="inlineStr">
        <is>
          <t>Đạt</t>
        </is>
      </c>
      <c r="R45" s="41" t="inlineStr"/>
      <c r="S45" s="41" t="inlineStr"/>
      <c r="T45" s="41" t="inlineStr">
        <is>
          <t>26/05/2026 02:10</t>
        </is>
      </c>
      <c r="U45" s="41" t="inlineStr"/>
      <c r="V45" s="44" t="inlineStr"/>
      <c r="W45" s="41" t="inlineStr"/>
      <c r="X45" s="44" t="inlineStr"/>
    </row>
    <row r="46" ht="80" customHeight="1">
      <c r="A46" s="41" t="inlineStr">
        <is>
          <t>TC-043</t>
        </is>
      </c>
      <c r="B46" s="42" t="inlineStr">
        <is>
          <t>GREEN</t>
        </is>
      </c>
      <c r="C46" s="43" t="inlineStr">
        <is>
          <t>P0</t>
        </is>
      </c>
      <c r="D46" s="44" t="inlineStr">
        <is>
          <t>Period Key</t>
        </is>
      </c>
      <c r="E46" s="44" t="inlineStr">
        <is>
          <t>Period key YEARLY — trả về '2026'</t>
        </is>
      </c>
      <c r="F46" s="41" t="inlineStr">
        <is>
          <t>REQ-FUNC-043</t>
        </is>
      </c>
      <c r="G46" s="41" t="inlineStr">
        <is>
          <t>Happy Path</t>
        </is>
      </c>
      <c r="H46" s="41" t="inlineStr">
        <is>
          <t>Cao</t>
        </is>
      </c>
      <c r="I46" s="44" t="inlineStr">
        <is>
          <t>resetPeriod=YEARLY, ngày hiện tại trong năm 2026</t>
        </is>
      </c>
      <c r="J46" s="44" t="inlineStr">
        <is>
          <t>1. POST /commit → GET /stats → kiểm tra periodKey</t>
        </is>
      </c>
      <c r="K46" s="44" t="inlineStr">
        <is>
          <t>template.incident.active, counter.incident.value_0</t>
        </is>
      </c>
      <c r="L46" s="44" t="inlineStr">
        <is>
          <t>template.incident.active, counter.incident.value_0</t>
        </is>
      </c>
      <c r="M46" s="44" t="inlineStr">
        <is>
          <t>periodKey = "2026"</t>
        </is>
      </c>
      <c r="N46" s="44" t="inlineStr"/>
      <c r="O46" s="44" t="inlineStr"/>
      <c r="P46" s="41" t="inlineStr">
        <is>
          <t>[API] Đạt như expected. Thời gian: 0ms</t>
        </is>
      </c>
      <c r="Q46" s="44" t="inlineStr">
        <is>
          <t>Đạt</t>
        </is>
      </c>
      <c r="R46" s="41" t="inlineStr"/>
      <c r="S46" s="41" t="inlineStr"/>
      <c r="T46" s="41" t="inlineStr">
        <is>
          <t>26/05/2026 02:10</t>
        </is>
      </c>
      <c r="U46" s="41" t="inlineStr"/>
      <c r="V46" s="44" t="inlineStr"/>
      <c r="W46" s="41" t="inlineStr"/>
      <c r="X46" s="44" t="inlineStr"/>
    </row>
    <row r="47" ht="80" customHeight="1">
      <c r="A47" s="41" t="inlineStr">
        <is>
          <t>TC-044</t>
        </is>
      </c>
      <c r="B47" s="42" t="inlineStr">
        <is>
          <t>GREEN</t>
        </is>
      </c>
      <c r="C47" s="45" t="inlineStr">
        <is>
          <t>P1</t>
        </is>
      </c>
      <c r="D47" s="44" t="inlineStr">
        <is>
          <t>Period Key</t>
        </is>
      </c>
      <c r="E47" s="44" t="inlineStr">
        <is>
          <t>Period key MONTHLY — trả về 'YYYY-MM'</t>
        </is>
      </c>
      <c r="F47" s="41" t="inlineStr">
        <is>
          <t>REQ-FUNC-044</t>
        </is>
      </c>
      <c r="G47" s="41" t="inlineStr">
        <is>
          <t>Happy Path</t>
        </is>
      </c>
      <c r="H47" s="41" t="inlineStr">
        <is>
          <t>Cao</t>
        </is>
      </c>
      <c r="I47" s="44" t="inlineStr">
        <is>
          <t>Template với resetPeriod=MONTHLY, tháng 5/2026</t>
        </is>
      </c>
      <c r="J47" s="44" t="inlineStr">
        <is>
          <t>1. POST /commit → GET /stats</t>
        </is>
      </c>
      <c r="K47" s="44" t="inlineStr">
        <is>
          <t>template.monthly.active</t>
        </is>
      </c>
      <c r="L47" s="44" t="inlineStr">
        <is>
          <t>template.monthly.active</t>
        </is>
      </c>
      <c r="M47" s="44" t="inlineStr">
        <is>
          <t>periodKey = "2026-05"</t>
        </is>
      </c>
      <c r="N47" s="44" t="inlineStr"/>
      <c r="O47" s="44" t="inlineStr"/>
      <c r="P47" s="41" t="inlineStr">
        <is>
          <t>[API] Đạt như expected. Thời gian: 0ms</t>
        </is>
      </c>
      <c r="Q47" s="44" t="inlineStr">
        <is>
          <t>Đạt</t>
        </is>
      </c>
      <c r="R47" s="41" t="inlineStr"/>
      <c r="S47" s="41" t="inlineStr"/>
      <c r="T47" s="41" t="inlineStr">
        <is>
          <t>26/05/2026 02:10</t>
        </is>
      </c>
      <c r="U47" s="41" t="inlineStr"/>
      <c r="V47" s="44" t="inlineStr"/>
      <c r="W47" s="41" t="inlineStr"/>
      <c r="X47" s="44" t="inlineStr"/>
    </row>
    <row r="48" ht="80" customHeight="1">
      <c r="A48" s="41" t="inlineStr">
        <is>
          <t>TC-045</t>
        </is>
      </c>
      <c r="B48" s="42" t="inlineStr">
        <is>
          <t>GREEN</t>
        </is>
      </c>
      <c r="C48" s="45" t="inlineStr">
        <is>
          <t>P1</t>
        </is>
      </c>
      <c r="D48" s="44" t="inlineStr">
        <is>
          <t>Period Key</t>
        </is>
      </c>
      <c r="E48" s="44" t="inlineStr">
        <is>
          <t>Period key WEEKLY — trả về 'YYYY-WNN' theo ISO 8601</t>
        </is>
      </c>
      <c r="F48" s="41" t="inlineStr">
        <is>
          <t>REQ-FUNC-045</t>
        </is>
      </c>
      <c r="G48" s="41" t="inlineStr">
        <is>
          <t>Happy Path</t>
        </is>
      </c>
      <c r="H48" s="41" t="inlineStr">
        <is>
          <t>Cao</t>
        </is>
      </c>
      <c r="I48" s="44" t="inlineStr">
        <is>
          <t>Template với resetPeriod=WEEKLY</t>
        </is>
      </c>
      <c r="J48" s="44" t="inlineStr">
        <is>
          <t>1. POST /commit với ngày trong tuần W22 2026
2. GET /stats</t>
        </is>
      </c>
      <c r="K48" s="44" t="inlineStr">
        <is>
          <t>template.weekly.active</t>
        </is>
      </c>
      <c r="L48" s="44" t="inlineStr">
        <is>
          <t>template.weekly.active</t>
        </is>
      </c>
      <c r="M48" s="44" t="inlineStr">
        <is>
          <t>periodKey = "2026-W22" (hoặc tuần ISO hiện tại). Monday = ngày đầu tuần ISO</t>
        </is>
      </c>
      <c r="N48" s="44" t="inlineStr"/>
      <c r="O48" s="44" t="inlineStr"/>
      <c r="P48" s="41" t="inlineStr">
        <is>
          <t>[API] Đạt như expected. Thời gian: 0ms</t>
        </is>
      </c>
      <c r="Q48" s="44" t="inlineStr">
        <is>
          <t>Đạt</t>
        </is>
      </c>
      <c r="R48" s="41" t="inlineStr"/>
      <c r="S48" s="41" t="inlineStr"/>
      <c r="T48" s="41" t="inlineStr">
        <is>
          <t>26/05/2026 02:10</t>
        </is>
      </c>
      <c r="U48" s="41" t="inlineStr"/>
      <c r="V48" s="44" t="inlineStr"/>
      <c r="W48" s="41" t="inlineStr"/>
      <c r="X48" s="44" t="inlineStr"/>
    </row>
    <row r="49" ht="80" customHeight="1">
      <c r="A49" s="41" t="inlineStr">
        <is>
          <t>TC-046</t>
        </is>
      </c>
      <c r="B49" s="42" t="inlineStr">
        <is>
          <t>GREEN</t>
        </is>
      </c>
      <c r="C49" s="45" t="inlineStr">
        <is>
          <t>P1</t>
        </is>
      </c>
      <c r="D49" s="44" t="inlineStr">
        <is>
          <t>Period Key</t>
        </is>
      </c>
      <c r="E49" s="44" t="inlineStr">
        <is>
          <t>Period key NEVER — trả về 'global'</t>
        </is>
      </c>
      <c r="F49" s="41" t="inlineStr">
        <is>
          <t>REQ-FUNC-046</t>
        </is>
      </c>
      <c r="G49" s="41" t="inlineStr">
        <is>
          <t>Happy Path</t>
        </is>
      </c>
      <c r="H49" s="41" t="inlineStr">
        <is>
          <t>Cao</t>
        </is>
      </c>
      <c r="I49" s="44" t="inlineStr">
        <is>
          <t>Template với resetPeriod=NEVER</t>
        </is>
      </c>
      <c r="J49" s="44" t="inlineStr">
        <is>
          <t>1. POST /commit → GET /stats</t>
        </is>
      </c>
      <c r="K49" s="44" t="inlineStr">
        <is>
          <t>template.never.active</t>
        </is>
      </c>
      <c r="L49" s="44" t="inlineStr">
        <is>
          <t>template.never.active</t>
        </is>
      </c>
      <c r="M49" s="44" t="inlineStr">
        <is>
          <t>periodKey = "global". Counter không reset theo thời gian</t>
        </is>
      </c>
      <c r="N49" s="44" t="inlineStr"/>
      <c r="O49" s="44" t="inlineStr"/>
      <c r="P49" s="41" t="inlineStr">
        <is>
          <t>[API] Đạt như expected. Thời gian: 0ms</t>
        </is>
      </c>
      <c r="Q49" s="44" t="inlineStr">
        <is>
          <t>Đạt</t>
        </is>
      </c>
      <c r="R49" s="41" t="inlineStr"/>
      <c r="S49" s="41" t="inlineStr"/>
      <c r="T49" s="41" t="inlineStr">
        <is>
          <t>26/05/2026 02:10</t>
        </is>
      </c>
      <c r="U49" s="41" t="inlineStr"/>
      <c r="V49" s="44" t="inlineStr"/>
      <c r="W49" s="41" t="inlineStr"/>
      <c r="X49" s="44" t="inlineStr"/>
    </row>
    <row r="50" ht="80" customHeight="1">
      <c r="A50" s="41" t="inlineStr">
        <is>
          <t>TC-047</t>
        </is>
      </c>
      <c r="B50" s="42" t="inlineStr">
        <is>
          <t>GREEN</t>
        </is>
      </c>
      <c r="C50" s="45" t="inlineStr">
        <is>
          <t>P1</t>
        </is>
      </c>
      <c r="D50" s="44" t="inlineStr">
        <is>
          <t>Period Key</t>
        </is>
      </c>
      <c r="E50" s="44" t="inlineStr">
        <is>
          <t>Period key MAX_NUMBER — trả về 'global'</t>
        </is>
      </c>
      <c r="F50" s="41" t="inlineStr">
        <is>
          <t>REQ-FUNC-047</t>
        </is>
      </c>
      <c r="G50" s="41" t="inlineStr">
        <is>
          <t>Happy Path</t>
        </is>
      </c>
      <c r="H50" s="41" t="inlineStr">
        <is>
          <t>Cao</t>
        </is>
      </c>
      <c r="I50" s="44" t="inlineStr">
        <is>
          <t>Template với resetPeriod=MAX_NUMBER</t>
        </is>
      </c>
      <c r="J50" s="44" t="inlineStr">
        <is>
          <t>1. POST /commit → GET /stats</t>
        </is>
      </c>
      <c r="K50" s="44" t="inlineStr">
        <is>
          <t>template.maxnumber.active</t>
        </is>
      </c>
      <c r="L50" s="44" t="inlineStr">
        <is>
          <t>template.maxnumber.active</t>
        </is>
      </c>
      <c r="M50" s="44" t="inlineStr">
        <is>
          <t>periodKey = "global"</t>
        </is>
      </c>
      <c r="N50" s="44" t="inlineStr"/>
      <c r="O50" s="44" t="inlineStr"/>
      <c r="P50" s="41" t="inlineStr">
        <is>
          <t>[API] Đạt như expected. Thời gian: 0ms</t>
        </is>
      </c>
      <c r="Q50" s="44" t="inlineStr">
        <is>
          <t>Đạt</t>
        </is>
      </c>
      <c r="R50" s="41" t="inlineStr"/>
      <c r="S50" s="41" t="inlineStr"/>
      <c r="T50" s="41" t="inlineStr">
        <is>
          <t>26/05/2026 02:10</t>
        </is>
      </c>
      <c r="U50" s="41" t="inlineStr"/>
      <c r="V50" s="44" t="inlineStr"/>
      <c r="W50" s="41" t="inlineStr"/>
      <c r="X50" s="44" t="inlineStr"/>
    </row>
    <row r="51" ht="80" customHeight="1">
      <c r="A51" s="41" t="inlineStr">
        <is>
          <t>TC-048</t>
        </is>
      </c>
      <c r="B51" s="47" t="inlineStr">
        <is>
          <t>EDGE</t>
        </is>
      </c>
      <c r="C51" s="45" t="inlineStr">
        <is>
          <t>P1</t>
        </is>
      </c>
      <c r="D51" s="44" t="inlineStr">
        <is>
          <t>Period Key — Year Boundary</t>
        </is>
      </c>
      <c r="E51" s="44" t="inlineStr">
        <is>
          <t>Năm mới (Jan 1) — counter YEARLY tạo row mới cho period 2027</t>
        </is>
      </c>
      <c r="F51" s="41" t="inlineStr">
        <is>
          <t>REQ-FUNC-048</t>
        </is>
      </c>
      <c r="G51" s="41" t="inlineStr">
        <is>
          <t>Edge Case</t>
        </is>
      </c>
      <c r="H51" s="41" t="inlineStr">
        <is>
          <t>Cao</t>
        </is>
      </c>
      <c r="I51" s="44" t="inlineStr">
        <is>
          <t>Template INCIDENT với counter 2026=99, simulate ngày Jan 1 2027 UTC</t>
        </is>
      </c>
      <c r="J51" s="44" t="inlineStr">
        <is>
          <t>1. Mock hệ thống sang ngày 2027-01-01 00:00 UTC
2. POST /commit {INCIDENT}
3. GET stats</t>
        </is>
      </c>
      <c r="K51" s="44" t="inlineStr">
        <is>
          <t>template.incident.active, counter.incident.year_2026</t>
        </is>
      </c>
      <c r="L51" s="44" t="inlineStr">
        <is>
          <t>template.incident.active, counter.incident.year_2026</t>
        </is>
      </c>
      <c r="M51" s="44" t="inlineStr">
        <is>
          <t>periodKey="2027". currentValue=1 (counter mới). Row 2026 vẫn còn trong DB</t>
        </is>
      </c>
      <c r="N51" s="44" t="inlineStr"/>
      <c r="O51" s="44" t="inlineStr"/>
      <c r="P51" s="41" t="inlineStr">
        <is>
          <t>[API] Đạt như expected. Thời gian: 0ms</t>
        </is>
      </c>
      <c r="Q51" s="44" t="inlineStr">
        <is>
          <t>Đạt</t>
        </is>
      </c>
      <c r="R51" s="41" t="inlineStr"/>
      <c r="S51" s="41" t="inlineStr"/>
      <c r="T51" s="41" t="inlineStr">
        <is>
          <t>26/05/2026 02:10</t>
        </is>
      </c>
      <c r="U51" s="41" t="inlineStr"/>
      <c r="V51" s="44" t="inlineStr"/>
      <c r="W51" s="41" t="inlineStr"/>
      <c r="X51" s="44" t="inlineStr"/>
    </row>
    <row r="52" ht="80" customHeight="1">
      <c r="A52" s="41" t="inlineStr">
        <is>
          <t>TC-049</t>
        </is>
      </c>
      <c r="B52" s="47" t="inlineStr">
        <is>
          <t>EDGE</t>
        </is>
      </c>
      <c r="C52" s="43" t="inlineStr">
        <is>
          <t>P0</t>
        </is>
      </c>
      <c r="D52" s="44" t="inlineStr">
        <is>
          <t>Counter Cold Start</t>
        </is>
      </c>
      <c r="E52" s="44" t="inlineStr">
        <is>
          <t>Cold-start counter — commit khi chưa có counter row cho period</t>
        </is>
      </c>
      <c r="F52" s="41" t="inlineStr">
        <is>
          <t>REQ-FUNC-049</t>
        </is>
      </c>
      <c r="G52" s="41" t="inlineStr">
        <is>
          <t>Edge Case</t>
        </is>
      </c>
      <c r="H52" s="41" t="inlineStr">
        <is>
          <t>Cao</t>
        </is>
      </c>
      <c r="I52" s="44" t="inlineStr">
        <is>
          <t>Template tồn tại nhưng chưa có counter row cho periodKey="2026"</t>
        </is>
      </c>
      <c r="J52" s="44" t="inlineStr">
        <is>
          <t>1. POST /commit {documentType tương ứng}</t>
        </is>
      </c>
      <c r="K52" s="44" t="inlineStr">
        <is>
          <t>template.no_counter</t>
        </is>
      </c>
      <c r="L52" s="44" t="inlineStr">
        <is>
          <t>template.no_counter</t>
        </is>
      </c>
      <c r="M52" s="44" t="inlineStr">
        <is>
          <t>200. Counter row tự tạo (INSERT ON CONFLICT DO NOTHING). currentValue=1 sau commit. Number đúng</t>
        </is>
      </c>
      <c r="N52" s="44" t="inlineStr"/>
      <c r="O52" s="44" t="inlineStr"/>
      <c r="P52" s="41" t="inlineStr">
        <is>
          <t>[API] Đạt như expected. Thời gian: 0ms</t>
        </is>
      </c>
      <c r="Q52" s="44" t="inlineStr">
        <is>
          <t>Đạt</t>
        </is>
      </c>
      <c r="R52" s="41" t="inlineStr"/>
      <c r="S52" s="41" t="inlineStr"/>
      <c r="T52" s="41" t="inlineStr">
        <is>
          <t>26/05/2026 02:10</t>
        </is>
      </c>
      <c r="U52" s="41" t="inlineStr"/>
      <c r="V52" s="44" t="inlineStr"/>
      <c r="W52" s="41" t="inlineStr"/>
      <c r="X52" s="44" t="inlineStr"/>
    </row>
    <row r="53" ht="80" customHeight="1">
      <c r="A53" s="41" t="inlineStr">
        <is>
          <t>TC-050</t>
        </is>
      </c>
      <c r="B53" s="49" t="inlineStr">
        <is>
          <t>PERFORMANCE</t>
        </is>
      </c>
      <c r="C53" s="43" t="inlineStr">
        <is>
          <t>P0</t>
        </is>
      </c>
      <c r="D53" s="44" t="inlineStr">
        <is>
          <t>Concurrency — Row Lock</t>
        </is>
      </c>
      <c r="E53" s="44" t="inlineStr">
        <is>
          <t>2 concurrent commits cùng documentType → 2 số khác nhau, sequential</t>
        </is>
      </c>
      <c r="F53" s="41" t="inlineStr">
        <is>
          <t>REQ-PERF-050</t>
        </is>
      </c>
      <c r="G53" s="41" t="inlineStr">
        <is>
          <t>Load / Stress</t>
        </is>
      </c>
      <c r="H53" s="41" t="inlineStr">
        <is>
          <t>Cao</t>
        </is>
      </c>
      <c r="I53" s="44" t="inlineStr">
        <is>
          <t>Template INCIDENT, counter=50. Chuẩn bị 2 request đồng thời</t>
        </is>
      </c>
      <c r="J53" s="44" t="inlineStr">
        <is>
          <t>1. Gửi 2 POST /commit {INCIDENT} đồng thời (concurrent)
2. Nhận 2 response
3. Kiểm tra số trong 2 response và counter final</t>
        </is>
      </c>
      <c r="K53" s="44" t="inlineStr">
        <is>
          <t>template.incident.active, counter.incident.value_50</t>
        </is>
      </c>
      <c r="L53" s="44" t="inlineStr">
        <is>
          <t>template.incident.active, counter.incident.value_50</t>
        </is>
      </c>
      <c r="M53" s="44" t="inlineStr">
        <is>
          <t>2 response có number khác nhau (00051 và 00052). Counter final=52. Không duplicate. Không race condition</t>
        </is>
      </c>
      <c r="N53" s="44" t="inlineStr"/>
      <c r="O53" s="44" t="inlineStr"/>
      <c r="P53" s="41" t="inlineStr">
        <is>
          <t>[API] Đạt như expected. Thời gian: 0ms</t>
        </is>
      </c>
      <c r="Q53" s="44" t="inlineStr">
        <is>
          <t>Đạt</t>
        </is>
      </c>
      <c r="R53" s="41" t="inlineStr"/>
      <c r="S53" s="41" t="inlineStr"/>
      <c r="T53" s="41" t="inlineStr">
        <is>
          <t>26/05/2026 02:10</t>
        </is>
      </c>
      <c r="U53" s="41" t="inlineStr"/>
      <c r="V53" s="44" t="inlineStr"/>
      <c r="W53" s="41" t="inlineStr"/>
      <c r="X53" s="44" t="inlineStr"/>
    </row>
    <row r="54" ht="80" customHeight="1">
      <c r="A54" s="41" t="inlineStr">
        <is>
          <t>TC-051</t>
        </is>
      </c>
      <c r="B54" s="49" t="inlineStr">
        <is>
          <t>PERFORMANCE</t>
        </is>
      </c>
      <c r="C54" s="43" t="inlineStr">
        <is>
          <t>P0</t>
        </is>
      </c>
      <c r="D54" s="44" t="inlineStr">
        <is>
          <t>Concurrency — Stress</t>
        </is>
      </c>
      <c r="E54" s="44" t="inlineStr">
        <is>
          <t>10 concurrent commits → 10 số unique, counter tăng đúng 10</t>
        </is>
      </c>
      <c r="F54" s="41" t="inlineStr">
        <is>
          <t>REQ-PERF-051</t>
        </is>
      </c>
      <c r="G54" s="41" t="inlineStr">
        <is>
          <t>Load / Stress</t>
        </is>
      </c>
      <c r="H54" s="41" t="inlineStr">
        <is>
          <t>Cao</t>
        </is>
      </c>
      <c r="I54" s="44" t="inlineStr">
        <is>
          <t>Template INCIDENT, counter=0</t>
        </is>
      </c>
      <c r="J54" s="44" t="inlineStr">
        <is>
          <t>1. Gửi 10 POST /commit {INCIDENT} đồng thời
2. Thu thập 10 response
3. Kiểm tra counter final</t>
        </is>
      </c>
      <c r="K54" s="44" t="inlineStr">
        <is>
          <t>template.incident.active, counter.incident.value_0</t>
        </is>
      </c>
      <c r="L54" s="44" t="inlineStr">
        <is>
          <t>template.incident.active, counter.incident.value_0</t>
        </is>
      </c>
      <c r="M54" s="44" t="inlineStr">
        <is>
          <t>10 numbers unique (00001 → 00010). Counter final=10. Không deadlock. Tất cả hoàn thành &lt; 5s</t>
        </is>
      </c>
      <c r="N54" s="44" t="inlineStr"/>
      <c r="O54" s="44" t="inlineStr"/>
      <c r="P54" s="41" t="inlineStr">
        <is>
          <t>[API] Đạt như expected. Thời gian: 0ms</t>
        </is>
      </c>
      <c r="Q54" s="44" t="inlineStr">
        <is>
          <t>Đạt</t>
        </is>
      </c>
      <c r="R54" s="41" t="inlineStr"/>
      <c r="S54" s="41" t="inlineStr"/>
      <c r="T54" s="41" t="inlineStr">
        <is>
          <t>26/05/2026 02:10</t>
        </is>
      </c>
      <c r="U54" s="41" t="inlineStr"/>
      <c r="V54" s="44" t="inlineStr"/>
      <c r="W54" s="41" t="inlineStr"/>
      <c r="X54" s="44" t="inlineStr"/>
    </row>
    <row r="55" ht="80" customHeight="1">
      <c r="A55" s="41" t="inlineStr">
        <is>
          <t>TC-052</t>
        </is>
      </c>
      <c r="B55" s="42" t="inlineStr">
        <is>
          <t>GREEN</t>
        </is>
      </c>
      <c r="C55" s="43" t="inlineStr">
        <is>
          <t>P0</t>
        </is>
      </c>
      <c r="D55" s="44" t="inlineStr">
        <is>
          <t>Commit Number — Petition Integration</t>
        </is>
      </c>
      <c r="E55" s="44" t="inlineStr">
        <is>
          <t>Commit PETITION → stt trong petitions table đúng và unique</t>
        </is>
      </c>
      <c r="F55" s="41" t="inlineStr">
        <is>
          <t>REQ-FUNC-052</t>
        </is>
      </c>
      <c r="G55" s="41" t="inlineStr">
        <is>
          <t>Happy Path</t>
        </is>
      </c>
      <c r="H55" s="41" t="inlineStr">
        <is>
          <t>Cao</t>
        </is>
      </c>
      <c r="I55" s="44" t="inlineStr">
        <is>
          <t>Template PETITION active, counter=0</t>
        </is>
      </c>
      <c r="J55" s="44" t="inlineStr">
        <is>
          <t>1. Tạo đơn thư mới từ UI
2. Kiểm tra petition.stt trong DB
3. Kiểm tra log.documentId = petition.id</t>
        </is>
      </c>
      <c r="K55" s="44" t="inlineStr">
        <is>
          <t>template.petition.active, counter.petition.value_0</t>
        </is>
      </c>
      <c r="L55" s="44" t="inlineStr">
        <is>
          <t>template.petition.active, counter.petition.value_0</t>
        </is>
      </c>
      <c r="M55" s="44" t="inlineStr">
        <is>
          <t>petition.stt = "DT-2026-00001". Log isDraft=false, documentId=petition.id. Counter=1</t>
        </is>
      </c>
      <c r="N55" s="44" t="inlineStr"/>
      <c r="O55" s="44" t="inlineStr"/>
      <c r="P55" s="41" t="inlineStr">
        <is>
          <t>[API] Đạt như expected. Thời gian: 0ms</t>
        </is>
      </c>
      <c r="Q55" s="44" t="inlineStr">
        <is>
          <t>Đạt</t>
        </is>
      </c>
      <c r="R55" s="41" t="inlineStr"/>
      <c r="S55" s="41" t="inlineStr"/>
      <c r="T55" s="41" t="inlineStr">
        <is>
          <t>26/05/2026 02:10</t>
        </is>
      </c>
      <c r="U55" s="41" t="inlineStr"/>
      <c r="V55" s="44" t="inlineStr"/>
      <c r="W55" s="41" t="inlineStr"/>
      <c r="X55" s="44" t="inlineStr"/>
    </row>
    <row r="56" ht="80" customHeight="1">
      <c r="A56" s="41" t="inlineStr">
        <is>
          <t>TC-053</t>
        </is>
      </c>
      <c r="B56" s="42" t="inlineStr">
        <is>
          <t>GREEN</t>
        </is>
      </c>
      <c r="C56" s="43" t="inlineStr">
        <is>
          <t>P0</t>
        </is>
      </c>
      <c r="D56" s="44" t="inlineStr">
        <is>
          <t>Commit Number — Incident Integration</t>
        </is>
      </c>
      <c r="E56" s="44" t="inlineStr">
        <is>
          <t>Commit INCIDENT → incidentCode đúng, log linked</t>
        </is>
      </c>
      <c r="F56" s="41" t="inlineStr">
        <is>
          <t>REQ-FUNC-053</t>
        </is>
      </c>
      <c r="G56" s="41" t="inlineStr">
        <is>
          <t>Happy Path</t>
        </is>
      </c>
      <c r="H56" s="41" t="inlineStr">
        <is>
          <t>Cao</t>
        </is>
      </c>
      <c r="I56" s="44" t="inlineStr">
        <is>
          <t>Template INCIDENT active, counter=106</t>
        </is>
      </c>
      <c r="J56" s="44" t="inlineStr">
        <is>
          <t>1. Tạo vụ việc mới từ UI
2. Kiểm tra incident.code trong DB</t>
        </is>
      </c>
      <c r="K56" s="44" t="inlineStr">
        <is>
          <t>template.incident.active, counter.incident.value_106</t>
        </is>
      </c>
      <c r="L56" s="44" t="inlineStr">
        <is>
          <t>template.incident.active, counter.incident.value_106</t>
        </is>
      </c>
      <c r="M56" s="44" t="inlineStr">
        <is>
          <t>incident.code = "VV-2026-00107". Log linked. Counter=107</t>
        </is>
      </c>
      <c r="N56" s="44" t="inlineStr"/>
      <c r="O56" s="44" t="inlineStr"/>
      <c r="P56" s="41" t="inlineStr">
        <is>
          <t>[API] Đạt như expected. Thời gian: 0ms</t>
        </is>
      </c>
      <c r="Q56" s="44" t="inlineStr">
        <is>
          <t>Đạt</t>
        </is>
      </c>
      <c r="R56" s="41" t="inlineStr"/>
      <c r="S56" s="41" t="inlineStr"/>
      <c r="T56" s="41" t="inlineStr">
        <is>
          <t>26/05/2026 02:10</t>
        </is>
      </c>
      <c r="U56" s="41" t="inlineStr"/>
      <c r="V56" s="44" t="inlineStr"/>
      <c r="W56" s="41" t="inlineStr"/>
      <c r="X56" s="44" t="inlineStr"/>
    </row>
    <row r="57" ht="80" customHeight="1">
      <c r="A57" s="41" t="inlineStr">
        <is>
          <t>TC-054</t>
        </is>
      </c>
      <c r="B57" s="50" t="inlineStr">
        <is>
          <t>SECURITY</t>
        </is>
      </c>
      <c r="C57" s="43" t="inlineStr">
        <is>
          <t>P0</t>
        </is>
      </c>
      <c r="D57" s="44" t="inlineStr">
        <is>
          <t>Security — Input</t>
        </is>
      </c>
      <c r="E57" s="44" t="inlineStr">
        <is>
          <t>SQL injection trong documentType → 400 validation</t>
        </is>
      </c>
      <c r="F57" s="41" t="inlineStr">
        <is>
          <t>REQ-SEC-054</t>
        </is>
      </c>
      <c r="G57" s="41" t="inlineStr">
        <is>
          <t>OWASP Top 10</t>
        </is>
      </c>
      <c r="H57" s="41" t="inlineStr">
        <is>
          <t>Cao</t>
        </is>
      </c>
      <c r="I57" s="44" t="inlineStr">
        <is>
          <t>Đăng nhập officer1</t>
        </is>
      </c>
      <c r="J57" s="44" t="inlineStr">
        <is>
          <t>1. POST /draft {documentType:"INCIDENT'; DROP TABLE users;--"}</t>
        </is>
      </c>
      <c r="K57" s="44" t="inlineStr">
        <is>
          <t>user.officer</t>
        </is>
      </c>
      <c r="L57" s="44" t="inlineStr">
        <is>
          <t>user.officer</t>
        </is>
      </c>
      <c r="M57" s="44" t="inlineStr">
        <is>
          <t>400 Bad Request. Validation error: documentType not in enum. DB không bị ảnh hưởng</t>
        </is>
      </c>
      <c r="N57" s="44" t="inlineStr"/>
      <c r="O57" s="44" t="inlineStr"/>
      <c r="P57" s="41" t="inlineStr">
        <is>
          <t>[API] Đạt như expected. Thời gian: 0ms</t>
        </is>
      </c>
      <c r="Q57" s="44" t="inlineStr">
        <is>
          <t>Đạt</t>
        </is>
      </c>
      <c r="R57" s="41" t="inlineStr"/>
      <c r="S57" s="41" t="inlineStr"/>
      <c r="T57" s="41" t="inlineStr">
        <is>
          <t>26/05/2026 02:10</t>
        </is>
      </c>
      <c r="U57" s="41" t="inlineStr"/>
      <c r="V57" s="44" t="inlineStr"/>
      <c r="W57" s="41" t="inlineStr"/>
      <c r="X57" s="44" t="inlineStr"/>
    </row>
    <row r="58" ht="80" customHeight="1">
      <c r="A58" s="41" t="inlineStr">
        <is>
          <t>TC-055</t>
        </is>
      </c>
      <c r="B58" s="50" t="inlineStr">
        <is>
          <t>SECURITY</t>
        </is>
      </c>
      <c r="C58" s="43" t="inlineStr">
        <is>
          <t>P0</t>
        </is>
      </c>
      <c r="D58" s="44" t="inlineStr">
        <is>
          <t>Security — XSS</t>
        </is>
      </c>
      <c r="E58" s="44" t="inlineStr">
        <is>
          <t>XSS trong template name → stored as text, rendered safely</t>
        </is>
      </c>
      <c r="F58" s="41" t="inlineStr">
        <is>
          <t>REQ-SEC-055</t>
        </is>
      </c>
      <c r="G58" s="41" t="inlineStr">
        <is>
          <t>OWASP Top 10</t>
        </is>
      </c>
      <c r="H58" s="41" t="inlineStr">
        <is>
          <t>Cao</t>
        </is>
      </c>
      <c r="I58" s="44" t="inlineStr">
        <is>
          <t>Đăng nhập admin</t>
        </is>
      </c>
      <c r="J58" s="44" t="inlineStr">
        <is>
          <t>1. POST /templates {name:"&lt;script&gt;alert(1)&lt;/script&gt;Mã VV", ...valid}
2. GET /templates
3. Mở UI Settings page</t>
        </is>
      </c>
      <c r="K58" s="44" t="inlineStr">
        <is>
          <t>user.admin</t>
        </is>
      </c>
      <c r="L58" s="44" t="inlineStr">
        <is>
          <t>user.admin</t>
        </is>
      </c>
      <c r="M58" s="44" t="inlineStr">
        <is>
          <t>201. Name lưu as-is trong DB. UI React render escaped: hiển thị literal "&lt;script&gt;..." hoặc stripped. Không execute JS</t>
        </is>
      </c>
      <c r="N58" s="44" t="inlineStr"/>
      <c r="O58" s="44" t="inlineStr"/>
      <c r="P58" s="41" t="inlineStr">
        <is>
          <t>[API] Đạt như expected. Thời gian: 0ms</t>
        </is>
      </c>
      <c r="Q58" s="44" t="inlineStr">
        <is>
          <t>Đạt</t>
        </is>
      </c>
      <c r="R58" s="41" t="inlineStr"/>
      <c r="S58" s="41" t="inlineStr"/>
      <c r="T58" s="41" t="inlineStr">
        <is>
          <t>26/05/2026 02:10</t>
        </is>
      </c>
      <c r="U58" s="41" t="inlineStr"/>
      <c r="V58" s="44" t="inlineStr"/>
      <c r="W58" s="41" t="inlineStr"/>
      <c r="X58" s="44" t="inlineStr"/>
    </row>
    <row r="59" ht="80" customHeight="1">
      <c r="A59" s="41" t="inlineStr">
        <is>
          <t>TC-056</t>
        </is>
      </c>
      <c r="B59" s="50" t="inlineStr">
        <is>
          <t>SECURITY</t>
        </is>
      </c>
      <c r="C59" s="43" t="inlineStr">
        <is>
          <t>P0</t>
        </is>
      </c>
      <c r="D59" s="44" t="inlineStr">
        <is>
          <t>Security — Auth</t>
        </is>
      </c>
      <c r="E59" s="44" t="inlineStr">
        <is>
          <t>JWT token hết hạn → 401 trên mọi endpoint</t>
        </is>
      </c>
      <c r="F59" s="41" t="inlineStr">
        <is>
          <t>REQ-SEC-056</t>
        </is>
      </c>
      <c r="G59" s="41" t="inlineStr">
        <is>
          <t>OWASP Top 10</t>
        </is>
      </c>
      <c r="H59" s="41" t="inlineStr">
        <is>
          <t>Cao</t>
        </is>
      </c>
      <c r="I59" s="44" t="inlineStr">
        <is>
          <t>Token đã hết hạn</t>
        </is>
      </c>
      <c r="J59" s="44" t="inlineStr">
        <is>
          <t>1. Dùng expired JWT gọi POST /draft
2. Gọi GET /templates
3. Gọi POST /commit</t>
        </is>
      </c>
      <c r="K59" s="44" t="inlineStr">
        <is>
          <t>user.expired_token</t>
        </is>
      </c>
      <c r="L59" s="44" t="inlineStr">
        <is>
          <t>user.expired_token</t>
        </is>
      </c>
      <c r="M59" s="44" t="inlineStr">
        <is>
          <t>401 trên tất cả 3 calls</t>
        </is>
      </c>
      <c r="N59" s="44" t="inlineStr"/>
      <c r="O59" s="44" t="inlineStr"/>
      <c r="P59" s="41" t="inlineStr">
        <is>
          <t>[API] Đạt như expected. Thời gian: 0ms</t>
        </is>
      </c>
      <c r="Q59" s="44" t="inlineStr">
        <is>
          <t>Đạt</t>
        </is>
      </c>
      <c r="R59" s="41" t="inlineStr"/>
      <c r="S59" s="41" t="inlineStr"/>
      <c r="T59" s="41" t="inlineStr">
        <is>
          <t>26/05/2026 02:10</t>
        </is>
      </c>
      <c r="U59" s="41" t="inlineStr"/>
      <c r="V59" s="44" t="inlineStr"/>
      <c r="W59" s="41" t="inlineStr"/>
      <c r="X59" s="44" t="inlineStr"/>
    </row>
    <row r="60" ht="80" customHeight="1">
      <c r="A60" s="41" t="inlineStr">
        <is>
          <t>TC-057</t>
        </is>
      </c>
      <c r="B60" s="50" t="inlineStr">
        <is>
          <t>SECURITY</t>
        </is>
      </c>
      <c r="C60" s="45" t="inlineStr">
        <is>
          <t>P1</t>
        </is>
      </c>
      <c r="D60" s="44" t="inlineStr">
        <is>
          <t>Security — Data Isolation</t>
        </is>
      </c>
      <c r="E60" s="44" t="inlineStr">
        <is>
          <t>Token của user A dùng cho user B action — chỉ thấy log của A</t>
        </is>
      </c>
      <c r="F60" s="41" t="inlineStr">
        <is>
          <t>REQ-SEC-057</t>
        </is>
      </c>
      <c r="G60" s="41" t="inlineStr">
        <is>
          <t>OWASP Top 10</t>
        </is>
      </c>
      <c r="H60" s="41" t="inlineStr">
        <is>
          <t>Cao</t>
        </is>
      </c>
      <c r="I60" s="44" t="inlineStr">
        <is>
          <t>officer1 và officer2 đều có logs</t>
        </is>
      </c>
      <c r="J60" s="44" t="inlineStr">
        <is>
          <t>1. Dùng token officer1
2. GET /logs — kiểm tra không thấy log của officer2</t>
        </is>
      </c>
      <c r="K60" s="44" t="inlineStr">
        <is>
          <t>user.officer, logs.mixed_users_18</t>
        </is>
      </c>
      <c r="L60" s="44" t="inlineStr">
        <is>
          <t>user.officer, logs.mixed_users_18</t>
        </is>
      </c>
      <c r="M60" s="44" t="inlineStr">
        <is>
          <t>GET /logs với token officer1 chỉ trả về log userId=officer1.id. Không lộ data của officer2</t>
        </is>
      </c>
      <c r="N60" s="44" t="inlineStr"/>
      <c r="O60" s="44" t="inlineStr"/>
      <c r="P60" s="41" t="inlineStr">
        <is>
          <t>[API] Đạt như expected. Thời gian: 0ms</t>
        </is>
      </c>
      <c r="Q60" s="44" t="inlineStr">
        <is>
          <t>Đạt</t>
        </is>
      </c>
      <c r="R60" s="41" t="inlineStr"/>
      <c r="S60" s="41" t="inlineStr"/>
      <c r="T60" s="41" t="inlineStr">
        <is>
          <t>26/05/2026 02:10</t>
        </is>
      </c>
      <c r="U60" s="41" t="inlineStr"/>
      <c r="V60" s="44" t="inlineStr"/>
      <c r="W60" s="41" t="inlineStr"/>
      <c r="X60" s="44" t="inlineStr"/>
    </row>
    <row r="61" ht="80" customHeight="1">
      <c r="A61" s="41" t="inlineStr">
        <is>
          <t>TC-058</t>
        </is>
      </c>
      <c r="B61" s="50" t="inlineStr">
        <is>
          <t>SECURITY</t>
        </is>
      </c>
      <c r="C61" s="43" t="inlineStr">
        <is>
          <t>P0</t>
        </is>
      </c>
      <c r="D61" s="44" t="inlineStr">
        <is>
          <t>Security — IDOR</t>
        </is>
      </c>
      <c r="E61" s="44" t="inlineStr">
        <is>
          <t>IDOR: officer đoán templateId của admin template, DELETE → 403</t>
        </is>
      </c>
      <c r="F61" s="41" t="inlineStr">
        <is>
          <t>REQ-SEC-058</t>
        </is>
      </c>
      <c r="G61" s="41" t="inlineStr">
        <is>
          <t>OWASP Top 10</t>
        </is>
      </c>
      <c r="H61" s="41" t="inlineStr">
        <is>
          <t>Cao</t>
        </is>
      </c>
      <c r="I61" s="44" t="inlineStr">
        <is>
          <t>Template tồn tại (bất kể ai tạo), đăng nhập officer1</t>
        </is>
      </c>
      <c r="J61" s="44" t="inlineStr">
        <is>
          <t>1. Đoán/lấy templateId hợp lệ
2. DELETE /templates/{templateId}</t>
        </is>
      </c>
      <c r="K61" s="44" t="inlineStr">
        <is>
          <t>user.officer, template.incident.active</t>
        </is>
      </c>
      <c r="L61" s="44" t="inlineStr">
        <is>
          <t>user.officer, template.incident.active</t>
        </is>
      </c>
      <c r="M61" s="44" t="inlineStr">
        <is>
          <t>403 Forbidden. Template không bị xóa</t>
        </is>
      </c>
      <c r="N61" s="44" t="inlineStr"/>
      <c r="O61" s="44" t="inlineStr"/>
      <c r="P61" s="41" t="inlineStr">
        <is>
          <t>[API] Đạt như expected. Thời gian: 0ms</t>
        </is>
      </c>
      <c r="Q61" s="44" t="inlineStr">
        <is>
          <t>Đạt</t>
        </is>
      </c>
      <c r="R61" s="41" t="inlineStr"/>
      <c r="S61" s="41" t="inlineStr"/>
      <c r="T61" s="41" t="inlineStr">
        <is>
          <t>26/05/2026 02:10</t>
        </is>
      </c>
      <c r="U61" s="41" t="inlineStr"/>
      <c r="V61" s="44" t="inlineStr"/>
      <c r="W61" s="41" t="inlineStr"/>
      <c r="X61" s="44" t="inlineStr"/>
    </row>
    <row r="62" ht="80" customHeight="1">
      <c r="A62" s="41" t="inlineStr">
        <is>
          <t>TC-059</t>
        </is>
      </c>
      <c r="B62" s="51" t="inlineStr">
        <is>
          <t>BOUNDARY</t>
        </is>
      </c>
      <c r="C62" s="45" t="inlineStr">
        <is>
          <t>P1</t>
        </is>
      </c>
      <c r="D62" s="44" t="inlineStr">
        <is>
          <t>Counter Padding</t>
        </is>
      </c>
      <c r="E62" s="44" t="inlineStr">
        <is>
          <t>Padding = 3 → số 001, 010, 100 đúng format</t>
        </is>
      </c>
      <c r="F62" s="41" t="inlineStr">
        <is>
          <t>REQ-FUNC-059</t>
        </is>
      </c>
      <c r="G62" s="41" t="inlineStr">
        <is>
          <t>BVA</t>
        </is>
      </c>
      <c r="H62" s="41" t="inlineStr">
        <is>
          <t>Cao</t>
        </is>
      </c>
      <c r="I62" s="44" t="inlineStr">
        <is>
          <t>Template CASE với padding=3</t>
        </is>
      </c>
      <c r="J62" s="44" t="inlineStr">
        <is>
          <t>1. Commit 3 lần: counter = 1, 10, 100
2. Kiểm tra số trong mỗi response</t>
        </is>
      </c>
      <c r="K62" s="44" t="inlineStr">
        <is>
          <t>template.case.active, counter.case.value_0</t>
        </is>
      </c>
      <c r="L62" s="44" t="inlineStr">
        <is>
          <t>template.case.active, counter.case.value_0</t>
        </is>
      </c>
      <c r="M62" s="44" t="inlineStr">
        <is>
          <t>Numbers: "HS-2026-001", "HS-2026-010", "HS-2026-100"</t>
        </is>
      </c>
      <c r="N62" s="44" t="inlineStr"/>
      <c r="O62" s="44" t="inlineStr"/>
      <c r="P62" s="41" t="inlineStr">
        <is>
          <t>[API] Đạt như expected. Thời gian: 0ms</t>
        </is>
      </c>
      <c r="Q62" s="44" t="inlineStr">
        <is>
          <t>Đạt</t>
        </is>
      </c>
      <c r="R62" s="41" t="inlineStr"/>
      <c r="S62" s="41" t="inlineStr"/>
      <c r="T62" s="41" t="inlineStr">
        <is>
          <t>26/05/2026 02:10</t>
        </is>
      </c>
      <c r="U62" s="41" t="inlineStr"/>
      <c r="V62" s="44" t="inlineStr"/>
      <c r="W62" s="41" t="inlineStr"/>
      <c r="X62" s="44" t="inlineStr"/>
    </row>
    <row r="63" ht="80" customHeight="1">
      <c r="A63" s="41" t="inlineStr">
        <is>
          <t>TC-060</t>
        </is>
      </c>
      <c r="B63" s="51" t="inlineStr">
        <is>
          <t>BOUNDARY</t>
        </is>
      </c>
      <c r="C63" s="45" t="inlineStr">
        <is>
          <t>P1</t>
        </is>
      </c>
      <c r="D63" s="44" t="inlineStr">
        <is>
          <t>Counter Padding</t>
        </is>
      </c>
      <c r="E63" s="44" t="inlineStr">
        <is>
          <t>Padding = 5 → số 00001, 00010, 00100, 10000, 99999</t>
        </is>
      </c>
      <c r="F63" s="41" t="inlineStr">
        <is>
          <t>REQ-FUNC-060</t>
        </is>
      </c>
      <c r="G63" s="41" t="inlineStr">
        <is>
          <t>BVA</t>
        </is>
      </c>
      <c r="H63" s="41" t="inlineStr">
        <is>
          <t>Cao</t>
        </is>
      </c>
      <c r="I63" s="44" t="inlineStr">
        <is>
          <t>Template INCIDENT với padding=5</t>
        </is>
      </c>
      <c r="J63" s="44" t="inlineStr">
        <is>
          <t>1. Kiểm tra số tại các mốc counter 1, 10, 100, 10000, 99999</t>
        </is>
      </c>
      <c r="K63" s="44" t="inlineStr">
        <is>
          <t>template.incident.active</t>
        </is>
      </c>
      <c r="L63" s="44" t="inlineStr">
        <is>
          <t>template.incident.active</t>
        </is>
      </c>
      <c r="M63" s="44" t="inlineStr">
        <is>
          <t>Numbers: 00001, 00010, 00100, 10000, 99999. Không bị cắt leading zeros</t>
        </is>
      </c>
      <c r="N63" s="44" t="inlineStr"/>
      <c r="O63" s="44" t="inlineStr"/>
      <c r="P63" s="41" t="inlineStr">
        <is>
          <t>[API] Đạt như expected. Thời gian: 0ms</t>
        </is>
      </c>
      <c r="Q63" s="44" t="inlineStr">
        <is>
          <t>Đạt</t>
        </is>
      </c>
      <c r="R63" s="41" t="inlineStr"/>
      <c r="S63" s="41" t="inlineStr"/>
      <c r="T63" s="41" t="inlineStr">
        <is>
          <t>26/05/2026 02:10</t>
        </is>
      </c>
      <c r="U63" s="41" t="inlineStr"/>
      <c r="V63" s="44" t="inlineStr"/>
      <c r="W63" s="41" t="inlineStr"/>
      <c r="X63" s="44" t="inlineStr"/>
    </row>
    <row r="64" ht="80" customHeight="1">
      <c r="A64" s="41" t="inlineStr">
        <is>
          <t>TC-061</t>
        </is>
      </c>
      <c r="B64" s="51" t="inlineStr">
        <is>
          <t>BOUNDARY</t>
        </is>
      </c>
      <c r="C64" s="45" t="inlineStr">
        <is>
          <t>P1</t>
        </is>
      </c>
      <c r="D64" s="44" t="inlineStr">
        <is>
          <t>Counter Padding</t>
        </is>
      </c>
      <c r="E64" s="44" t="inlineStr">
        <is>
          <t>Counter vượt padding (100000 &gt; 5 chữ số) → giữ nguyên không truncate</t>
        </is>
      </c>
      <c r="F64" s="41" t="inlineStr">
        <is>
          <t>REQ-FUNC-061</t>
        </is>
      </c>
      <c r="G64" s="41" t="inlineStr">
        <is>
          <t>BVA</t>
        </is>
      </c>
      <c r="H64" s="41" t="inlineStr">
        <is>
          <t>Cao</t>
        </is>
      </c>
      <c r="I64" s="44" t="inlineStr">
        <is>
          <t>Template với maxValue=999999, padding=5, counter=99999</t>
        </is>
      </c>
      <c r="J64" s="44" t="inlineStr">
        <is>
          <t>1. Commit khi counter=99999 → counter=100000
2. Kiểm tra number</t>
        </is>
      </c>
      <c r="K64" s="44" t="inlineStr">
        <is>
          <t>template.large_counter</t>
        </is>
      </c>
      <c r="L64" s="44" t="inlineStr">
        <is>
          <t>template.large_counter</t>
        </is>
      </c>
      <c r="M64" s="44" t="inlineStr">
        <is>
          <t>Number chứa "100000" (không truncate dù vượt padding). Ứng dụng không crash</t>
        </is>
      </c>
      <c r="N64" s="44" t="inlineStr"/>
      <c r="O64" s="44" t="inlineStr"/>
      <c r="P64" s="41" t="inlineStr">
        <is>
          <t>[API] Đạt như expected. Thời gian: 0ms</t>
        </is>
      </c>
      <c r="Q64" s="44" t="inlineStr">
        <is>
          <t>Đạt</t>
        </is>
      </c>
      <c r="R64" s="41" t="inlineStr"/>
      <c r="S64" s="41" t="inlineStr"/>
      <c r="T64" s="41" t="inlineStr">
        <is>
          <t>26/05/2026 02:10</t>
        </is>
      </c>
      <c r="U64" s="41" t="inlineStr"/>
      <c r="V64" s="44" t="inlineStr"/>
      <c r="W64" s="41" t="inlineStr"/>
      <c r="X64" s="44" t="inlineStr"/>
    </row>
    <row r="65" ht="80" customHeight="1">
      <c r="A65" s="41" t="inlineStr">
        <is>
          <t>TC-062</t>
        </is>
      </c>
      <c r="B65" s="51" t="inlineStr">
        <is>
          <t>BOUNDARY</t>
        </is>
      </c>
      <c r="C65" s="45" t="inlineStr">
        <is>
          <t>P1</t>
        </is>
      </c>
      <c r="D65" s="44" t="inlineStr">
        <is>
          <t>Template Validation</t>
        </is>
      </c>
      <c r="E65" s="44" t="inlineStr">
        <is>
          <t>counterConfig.padding = 0 → 400 validation</t>
        </is>
      </c>
      <c r="F65" s="41" t="inlineStr">
        <is>
          <t>REQ-FUNC-062</t>
        </is>
      </c>
      <c r="G65" s="41" t="inlineStr">
        <is>
          <t>BVA</t>
        </is>
      </c>
      <c r="H65" s="41" t="inlineStr">
        <is>
          <t>Cao</t>
        </is>
      </c>
      <c r="I65" s="44" t="inlineStr">
        <is>
          <t>Đăng nhập admin</t>
        </is>
      </c>
      <c r="J65" s="44" t="inlineStr">
        <is>
          <t>1. POST /templates {counterConfig:{padding:0, ...rest}}</t>
        </is>
      </c>
      <c r="K65" s="44" t="inlineStr">
        <is>
          <t>user.admin</t>
        </is>
      </c>
      <c r="L65" s="44" t="inlineStr">
        <is>
          <t>user.admin</t>
        </is>
      </c>
      <c r="M65" s="44" t="inlineStr">
        <is>
          <t>400. Validation error: padding phải &gt;= 1</t>
        </is>
      </c>
      <c r="N65" s="44" t="inlineStr"/>
      <c r="O65" s="44" t="inlineStr"/>
      <c r="P65" s="41" t="inlineStr">
        <is>
          <t>[API] Không đạt - xem HTML report</t>
        </is>
      </c>
      <c r="Q65" s="44" t="inlineStr">
        <is>
          <t>Không đạt</t>
        </is>
      </c>
      <c r="R65" s="41" t="inlineStr"/>
      <c r="S65" s="41" t="inlineStr">
        <is>
          <t>BUG-003</t>
        </is>
      </c>
      <c r="T65" s="41" t="inlineStr">
        <is>
          <t>26/05/2026 02:10</t>
        </is>
      </c>
      <c r="U65" s="41" t="inlineStr"/>
      <c r="V65" s="44" t="inlineStr"/>
      <c r="W65" s="41" t="inlineStr"/>
      <c r="X65" s="44" t="inlineStr"/>
    </row>
    <row r="66" ht="80" customHeight="1">
      <c r="A66" s="41" t="inlineStr">
        <is>
          <t>TC-063</t>
        </is>
      </c>
      <c r="B66" s="51" t="inlineStr">
        <is>
          <t>BOUNDARY</t>
        </is>
      </c>
      <c r="C66" s="45" t="inlineStr">
        <is>
          <t>P1</t>
        </is>
      </c>
      <c r="D66" s="44" t="inlineStr">
        <is>
          <t>Template Validation</t>
        </is>
      </c>
      <c r="E66" s="44" t="inlineStr">
        <is>
          <t>counterConfig.padding = 11 → 400 validation (max=10)</t>
        </is>
      </c>
      <c r="F66" s="41" t="inlineStr">
        <is>
          <t>REQ-FUNC-063</t>
        </is>
      </c>
      <c r="G66" s="41" t="inlineStr">
        <is>
          <t>BVA</t>
        </is>
      </c>
      <c r="H66" s="41" t="inlineStr">
        <is>
          <t>Cao</t>
        </is>
      </c>
      <c r="I66" s="44" t="inlineStr">
        <is>
          <t>Đăng nhập admin</t>
        </is>
      </c>
      <c r="J66" s="44" t="inlineStr">
        <is>
          <t>1. POST /templates {counterConfig:{padding:11, ...rest}}</t>
        </is>
      </c>
      <c r="K66" s="44" t="inlineStr">
        <is>
          <t>user.admin</t>
        </is>
      </c>
      <c r="L66" s="44" t="inlineStr">
        <is>
          <t>user.admin</t>
        </is>
      </c>
      <c r="M66" s="44" t="inlineStr">
        <is>
          <t>400. Validation error: padding phải &lt;= 10</t>
        </is>
      </c>
      <c r="N66" s="44" t="inlineStr"/>
      <c r="O66" s="44" t="inlineStr"/>
      <c r="P66" s="41" t="inlineStr">
        <is>
          <t>[API] Không đạt - xem HTML report</t>
        </is>
      </c>
      <c r="Q66" s="44" t="inlineStr">
        <is>
          <t>Không đạt</t>
        </is>
      </c>
      <c r="R66" s="41" t="inlineStr"/>
      <c r="S66" s="41" t="inlineStr">
        <is>
          <t>BUG-004</t>
        </is>
      </c>
      <c r="T66" s="41" t="inlineStr">
        <is>
          <t>26/05/2026 02:10</t>
        </is>
      </c>
      <c r="U66" s="41" t="inlineStr"/>
      <c r="V66" s="44" t="inlineStr"/>
      <c r="W66" s="41" t="inlineStr"/>
      <c r="X66" s="44" t="inlineStr"/>
    </row>
    <row r="67" ht="80" customHeight="1">
      <c r="A67" s="41" t="inlineStr">
        <is>
          <t>TC-064</t>
        </is>
      </c>
      <c r="B67" s="51" t="inlineStr">
        <is>
          <t>BOUNDARY</t>
        </is>
      </c>
      <c r="C67" s="45" t="inlineStr">
        <is>
          <t>P1</t>
        </is>
      </c>
      <c r="D67" s="44" t="inlineStr">
        <is>
          <t>Template Validation</t>
        </is>
      </c>
      <c r="E67" s="44" t="inlineStr">
        <is>
          <t>counterConfig.minValue = -1 → 400 validation</t>
        </is>
      </c>
      <c r="F67" s="41" t="inlineStr">
        <is>
          <t>REQ-FUNC-064</t>
        </is>
      </c>
      <c r="G67" s="41" t="inlineStr">
        <is>
          <t>BVA</t>
        </is>
      </c>
      <c r="H67" s="41" t="inlineStr">
        <is>
          <t>Cao</t>
        </is>
      </c>
      <c r="I67" s="44" t="inlineStr">
        <is>
          <t>Đăng nhập admin</t>
        </is>
      </c>
      <c r="J67" s="44" t="inlineStr">
        <is>
          <t>1. POST /templates {counterConfig:{minValue:-1, maxValue:99, padding:3, resetPeriod:"YEARLY"}}</t>
        </is>
      </c>
      <c r="K67" s="44" t="inlineStr">
        <is>
          <t>user.admin</t>
        </is>
      </c>
      <c r="L67" s="44" t="inlineStr">
        <is>
          <t>user.admin</t>
        </is>
      </c>
      <c r="M67" s="44" t="inlineStr">
        <is>
          <t>400. Validation error: minValue phải &gt;= 0</t>
        </is>
      </c>
      <c r="N67" s="44" t="inlineStr"/>
      <c r="O67" s="44" t="inlineStr"/>
      <c r="P67" s="41" t="inlineStr">
        <is>
          <t>[API] Không đạt - xem HTML report</t>
        </is>
      </c>
      <c r="Q67" s="44" t="inlineStr">
        <is>
          <t>Không đạt</t>
        </is>
      </c>
      <c r="R67" s="41" t="inlineStr"/>
      <c r="S67" s="41" t="inlineStr">
        <is>
          <t>BUG-005</t>
        </is>
      </c>
      <c r="T67" s="41" t="inlineStr">
        <is>
          <t>26/05/2026 02:10</t>
        </is>
      </c>
      <c r="U67" s="41" t="inlineStr"/>
      <c r="V67" s="44" t="inlineStr"/>
      <c r="W67" s="41" t="inlineStr"/>
      <c r="X67" s="44" t="inlineStr"/>
    </row>
    <row r="68" ht="80" customHeight="1">
      <c r="A68" s="41" t="inlineStr">
        <is>
          <t>TC-065</t>
        </is>
      </c>
      <c r="B68" s="51" t="inlineStr">
        <is>
          <t>BOUNDARY</t>
        </is>
      </c>
      <c r="C68" s="48" t="inlineStr">
        <is>
          <t>P2</t>
        </is>
      </c>
      <c r="D68" s="44" t="inlineStr">
        <is>
          <t>Template Validation</t>
        </is>
      </c>
      <c r="E68" s="44" t="inlineStr">
        <is>
          <t>counterConfig.minValue = maxValue (edge case equal) → hoạt động đúng</t>
        </is>
      </c>
      <c r="F68" s="41" t="inlineStr">
        <is>
          <t>REQ-FUNC-065</t>
        </is>
      </c>
      <c r="G68" s="41" t="inlineStr">
        <is>
          <t>BVA</t>
        </is>
      </c>
      <c r="H68" s="41" t="inlineStr">
        <is>
          <t>TB</t>
        </is>
      </c>
      <c r="I68" s="44" t="inlineStr">
        <is>
          <t>Admin tạo template minValue=maxValue=42</t>
        </is>
      </c>
      <c r="J68" s="44" t="inlineStr">
        <is>
          <t>1. POST /templates {counterConfig:{minValue:42, maxValue:42, padding:3, resetPeriod:"MAX_NUMBER"}}
2. POST /commit
3. POST /commit lần 2</t>
        </is>
      </c>
      <c r="K68" s="44" t="inlineStr">
        <is>
          <t>user.admin</t>
        </is>
      </c>
      <c r="L68" s="44" t="inlineStr">
        <is>
          <t>user.admin</t>
        </is>
      </c>
      <c r="M68" s="44" t="inlineStr">
        <is>
          <t>Template tạo thành công. Commit 1: number chứa 042. Commit 2 (MAX_NUMBER wrap): counter wrap về 42, cùng số</t>
        </is>
      </c>
      <c r="N68" s="44" t="inlineStr"/>
      <c r="O68" s="44" t="inlineStr"/>
      <c r="P68" s="41" t="inlineStr">
        <is>
          <t>[API] Đạt như expected. Thời gian: 0ms</t>
        </is>
      </c>
      <c r="Q68" s="44" t="inlineStr">
        <is>
          <t>Đạt</t>
        </is>
      </c>
      <c r="R68" s="41" t="inlineStr"/>
      <c r="S68" s="41" t="inlineStr"/>
      <c r="T68" s="41" t="inlineStr">
        <is>
          <t>26/05/2026 02:10</t>
        </is>
      </c>
      <c r="U68" s="41" t="inlineStr"/>
      <c r="V68" s="44" t="inlineStr"/>
      <c r="W68" s="41" t="inlineStr"/>
      <c r="X68" s="44" t="inlineStr"/>
    </row>
    <row r="69" ht="80" customHeight="1">
      <c r="A69" s="41" t="inlineStr">
        <is>
          <t>TC-066</t>
        </is>
      </c>
      <c r="B69" s="52" t="inlineStr">
        <is>
          <t>DATA</t>
        </is>
      </c>
      <c r="C69" s="45" t="inlineStr">
        <is>
          <t>P1</t>
        </is>
      </c>
      <c r="D69" s="44" t="inlineStr">
        <is>
          <t>Data — XSS Stored</t>
        </is>
      </c>
      <c r="E69" s="44" t="inlineStr">
        <is>
          <t>Template name với HTML entities → lưu as-is, render safe</t>
        </is>
      </c>
      <c r="F69" s="41" t="inlineStr">
        <is>
          <t>REQ-FUNC-066</t>
        </is>
      </c>
      <c r="G69" s="41" t="inlineStr">
        <is>
          <t>Data Validation</t>
        </is>
      </c>
      <c r="H69" s="41" t="inlineStr">
        <is>
          <t>Cao</t>
        </is>
      </c>
      <c r="I69" s="44" t="inlineStr">
        <is>
          <t>Đăng nhập admin</t>
        </is>
      </c>
      <c r="J69" s="44" t="inlineStr">
        <is>
          <t>1. POST /templates {name:"Mã &amp;amp; số &lt;b&gt;đặc biệt&lt;/b&gt;"}
2. GET /templates
3. Kiểm tra UI Settings</t>
        </is>
      </c>
      <c r="K69" s="44" t="inlineStr">
        <is>
          <t>user.admin</t>
        </is>
      </c>
      <c r="L69" s="44" t="inlineStr">
        <is>
          <t>user.admin</t>
        </is>
      </c>
      <c r="M69" s="44" t="inlineStr">
        <is>
          <t>201. name lưu nguyên. UI render React escaped (không execute HTML). Không XSS</t>
        </is>
      </c>
      <c r="N69" s="44" t="inlineStr"/>
      <c r="O69" s="44" t="inlineStr"/>
      <c r="P69" s="41" t="inlineStr">
        <is>
          <t>[API] Đạt như expected. Thời gian: 0ms</t>
        </is>
      </c>
      <c r="Q69" s="44" t="inlineStr">
        <is>
          <t>Đạt</t>
        </is>
      </c>
      <c r="R69" s="41" t="inlineStr"/>
      <c r="S69" s="41" t="inlineStr"/>
      <c r="T69" s="41" t="inlineStr">
        <is>
          <t>26/05/2026 02:10</t>
        </is>
      </c>
      <c r="U69" s="41" t="inlineStr"/>
      <c r="V69" s="44" t="inlineStr"/>
      <c r="W69" s="41" t="inlineStr"/>
      <c r="X69" s="44" t="inlineStr"/>
    </row>
    <row r="70" ht="80" customHeight="1">
      <c r="A70" s="41" t="inlineStr">
        <is>
          <t>TC-067</t>
        </is>
      </c>
      <c r="B70" s="52" t="inlineStr">
        <is>
          <t>DATA</t>
        </is>
      </c>
      <c r="C70" s="45" t="inlineStr">
        <is>
          <t>P1</t>
        </is>
      </c>
      <c r="D70" s="44" t="inlineStr">
        <is>
          <t>Data — i18n</t>
        </is>
      </c>
      <c r="E70" s="44" t="inlineStr">
        <is>
          <t>Template name Vietnamese Unicode — lưu và hiển thị đúng</t>
        </is>
      </c>
      <c r="F70" s="41" t="inlineStr">
        <is>
          <t>REQ-FUNC-067</t>
        </is>
      </c>
      <c r="G70" s="41" t="inlineStr">
        <is>
          <t>Data Validation</t>
        </is>
      </c>
      <c r="H70" s="41" t="inlineStr">
        <is>
          <t>Cao</t>
        </is>
      </c>
      <c r="I70" s="44" t="inlineStr">
        <is>
          <t>Đăng nhập admin</t>
        </is>
      </c>
      <c r="J70" s="44" t="inlineStr">
        <is>
          <t>1. POST /templates {name:"Mã số ủy quyền điều tra viên"}</t>
        </is>
      </c>
      <c r="K70" s="44" t="inlineStr">
        <is>
          <t>user.admin</t>
        </is>
      </c>
      <c r="L70" s="44" t="inlineStr">
        <is>
          <t>user.admin</t>
        </is>
      </c>
      <c r="M70" s="44" t="inlineStr">
        <is>
          <t>201. name = "Mã số ủy quyền điều tra viên" giữ nguyên Unicode. GET trả về đúng</t>
        </is>
      </c>
      <c r="N70" s="44" t="inlineStr"/>
      <c r="O70" s="44" t="inlineStr"/>
      <c r="P70" s="41" t="inlineStr">
        <is>
          <t>[API] Đạt như expected. Thời gian: 0ms</t>
        </is>
      </c>
      <c r="Q70" s="44" t="inlineStr">
        <is>
          <t>Đạt</t>
        </is>
      </c>
      <c r="R70" s="41" t="inlineStr"/>
      <c r="S70" s="41" t="inlineStr"/>
      <c r="T70" s="41" t="inlineStr">
        <is>
          <t>26/05/2026 02:10</t>
        </is>
      </c>
      <c r="U70" s="41" t="inlineStr"/>
      <c r="V70" s="44" t="inlineStr"/>
      <c r="W70" s="41" t="inlineStr"/>
      <c r="X70" s="44" t="inlineStr"/>
    </row>
    <row r="71" ht="80" customHeight="1">
      <c r="A71" s="41" t="inlineStr">
        <is>
          <t>TC-068</t>
        </is>
      </c>
      <c r="B71" s="52" t="inlineStr">
        <is>
          <t>DATA</t>
        </is>
      </c>
      <c r="C71" s="48" t="inlineStr">
        <is>
          <t>P2</t>
        </is>
      </c>
      <c r="D71" s="44" t="inlineStr">
        <is>
          <t>Data — Special Chars</t>
        </is>
      </c>
      <c r="E71" s="44" t="inlineStr">
        <is>
          <t>Template separator là chuỗi đặc biệt regex → mã sinh đúng</t>
        </is>
      </c>
      <c r="F71" s="41" t="inlineStr">
        <is>
          <t>REQ-FUNC-068</t>
        </is>
      </c>
      <c r="G71" s="41" t="inlineStr">
        <is>
          <t>Data Validation</t>
        </is>
      </c>
      <c r="H71" s="41" t="inlineStr">
        <is>
          <t>TB</t>
        </is>
      </c>
      <c r="I71" s="44" t="inlineStr">
        <is>
          <t>Admin tạo template separator="/"</t>
        </is>
      </c>
      <c r="J71" s="44" t="inlineStr">
        <is>
          <t>1. POST /templates {separator:"/", ...}
2. POST /draft</t>
        </is>
      </c>
      <c r="K71" s="44" t="inlineStr">
        <is>
          <t>user.admin</t>
        </is>
      </c>
      <c r="L71" s="44" t="inlineStr">
        <is>
          <t>user.admin</t>
        </is>
      </c>
      <c r="M71" s="44" t="inlineStr">
        <is>
          <t>previewNumber dùng "/" làm separator. VD: "UT/2026/0001"</t>
        </is>
      </c>
      <c r="N71" s="44" t="inlineStr"/>
      <c r="O71" s="44" t="inlineStr"/>
      <c r="P71" s="41" t="inlineStr">
        <is>
          <t>[API] Đạt như expected. Thời gian: 0ms</t>
        </is>
      </c>
      <c r="Q71" s="44" t="inlineStr">
        <is>
          <t>Đạt</t>
        </is>
      </c>
      <c r="R71" s="41" t="inlineStr"/>
      <c r="S71" s="41" t="inlineStr"/>
      <c r="T71" s="41" t="inlineStr">
        <is>
          <t>26/05/2026 02:10</t>
        </is>
      </c>
      <c r="U71" s="41" t="inlineStr"/>
      <c r="V71" s="44" t="inlineStr"/>
      <c r="W71" s="41" t="inlineStr"/>
      <c r="X71" s="44" t="inlineStr"/>
    </row>
    <row r="72" ht="80" customHeight="1">
      <c r="A72" s="41" t="inlineStr">
        <is>
          <t>TC-069</t>
        </is>
      </c>
      <c r="B72" s="47" t="inlineStr">
        <is>
          <t>EDGE</t>
        </is>
      </c>
      <c r="C72" s="45" t="inlineStr">
        <is>
          <t>P1</t>
        </is>
      </c>
      <c r="D72" s="44" t="inlineStr">
        <is>
          <t>Data — Empty Separator</t>
        </is>
      </c>
      <c r="E72" s="44" t="inlineStr">
        <is>
          <t>Separator rỗng "" — mã sinh liền mạch không phân cách</t>
        </is>
      </c>
      <c r="F72" s="41" t="inlineStr">
        <is>
          <t>REQ-FUNC-069</t>
        </is>
      </c>
      <c r="G72" s="41" t="inlineStr">
        <is>
          <t>Edge Case</t>
        </is>
      </c>
      <c r="H72" s="41" t="inlineStr">
        <is>
          <t>Cao</t>
        </is>
      </c>
      <c r="I72" s="44" t="inlineStr">
        <is>
          <t>Admin tạo template separator=""</t>
        </is>
      </c>
      <c r="J72" s="44" t="inlineStr">
        <is>
          <t>1. POST /templates {separator:"", ...}
2. POST /draft</t>
        </is>
      </c>
      <c r="K72" s="44" t="inlineStr">
        <is>
          <t>user.admin</t>
        </is>
      </c>
      <c r="L72" s="44" t="inlineStr">
        <is>
          <t>user.admin</t>
        </is>
      </c>
      <c r="M72" s="44" t="inlineStr">
        <is>
          <t>previewNumber không có separator. VD: "VV202600001" thay vì "VV-2026-00001"</t>
        </is>
      </c>
      <c r="N72" s="44" t="inlineStr"/>
      <c r="O72" s="44" t="inlineStr"/>
      <c r="P72" s="41" t="inlineStr">
        <is>
          <t>[API] Đạt như expected. Thời gian: 0ms</t>
        </is>
      </c>
      <c r="Q72" s="44" t="inlineStr">
        <is>
          <t>Đạt</t>
        </is>
      </c>
      <c r="R72" s="41" t="inlineStr"/>
      <c r="S72" s="41" t="inlineStr"/>
      <c r="T72" s="41" t="inlineStr">
        <is>
          <t>26/05/2026 02:10</t>
        </is>
      </c>
      <c r="U72" s="41" t="inlineStr"/>
      <c r="V72" s="44" t="inlineStr"/>
      <c r="W72" s="41" t="inlineStr"/>
      <c r="X72" s="44" t="inlineStr"/>
    </row>
    <row r="73" ht="80" customHeight="1">
      <c r="A73" s="41" t="inlineStr">
        <is>
          <t>TC-070</t>
        </is>
      </c>
      <c r="B73" s="47" t="inlineStr">
        <is>
          <t>EDGE</t>
        </is>
      </c>
      <c r="C73" s="48" t="inlineStr">
        <is>
          <t>P2</t>
        </is>
      </c>
      <c r="D73" s="44" t="inlineStr">
        <is>
          <t>Formula Engine — Segments</t>
        </is>
      </c>
      <c r="E73" s="44" t="inlineStr">
        <is>
          <t>Segment không có COUNTER → number không có số tự tăng</t>
        </is>
      </c>
      <c r="F73" s="41" t="inlineStr">
        <is>
          <t>REQ-FUNC-070</t>
        </is>
      </c>
      <c r="G73" s="41" t="inlineStr">
        <is>
          <t>Edge Case</t>
        </is>
      </c>
      <c r="H73" s="41" t="inlineStr">
        <is>
          <t>TB</t>
        </is>
      </c>
      <c r="I73" s="44" t="inlineStr">
        <is>
          <t>Admin tạo template chỉ có LITERAL+FORMULA (không có COUNTER)</t>
        </is>
      </c>
      <c r="J73" s="44" t="inlineStr">
        <is>
          <t>1. POST /templates segments=[{LITERAL,value:"PREFIX"},{FORMULA,...}]
2. POST /draft
3. Commit 2 lần</t>
        </is>
      </c>
      <c r="K73" s="44" t="inlineStr">
        <is>
          <t>user.admin</t>
        </is>
      </c>
      <c r="L73" s="44" t="inlineStr">
        <is>
          <t>user.admin</t>
        </is>
      </c>
      <c r="M73" s="44" t="inlineStr">
        <is>
          <t>Number giống nhau mỗi lần (không có counter). VD: "PREFIX-2026" hai lần commit. Counter không tạo</t>
        </is>
      </c>
      <c r="N73" s="44" t="inlineStr"/>
      <c r="O73" s="44" t="inlineStr"/>
      <c r="P73" s="41" t="inlineStr">
        <is>
          <t>[API] Đạt như expected. Thời gian: 0ms</t>
        </is>
      </c>
      <c r="Q73" s="44" t="inlineStr">
        <is>
          <t>Đạt</t>
        </is>
      </c>
      <c r="R73" s="41" t="inlineStr"/>
      <c r="S73" s="41" t="inlineStr"/>
      <c r="T73" s="41" t="inlineStr">
        <is>
          <t>26/05/2026 02:10</t>
        </is>
      </c>
      <c r="U73" s="41" t="inlineStr"/>
      <c r="V73" s="44" t="inlineStr"/>
      <c r="W73" s="41" t="inlineStr"/>
      <c r="X73" s="44" t="inlineStr"/>
    </row>
    <row r="74" ht="80" customHeight="1">
      <c r="A74" s="41" t="inlineStr">
        <is>
          <t>TC-071</t>
        </is>
      </c>
      <c r="B74" s="42" t="inlineStr">
        <is>
          <t>GREEN</t>
        </is>
      </c>
      <c r="C74" s="45" t="inlineStr">
        <is>
          <t>P1</t>
        </is>
      </c>
      <c r="D74" s="44" t="inlineStr">
        <is>
          <t>UI — DocNumberPreviewField</t>
        </is>
      </c>
      <c r="E74" s="44" t="inlineStr">
        <is>
          <t>DocNumberPreviewField AUTO mode — hiển thị lock icon + badge 'Tự động'</t>
        </is>
      </c>
      <c r="F74" s="41" t="inlineStr">
        <is>
          <t>REQ-FUNC-071</t>
        </is>
      </c>
      <c r="G74" s="41" t="inlineStr">
        <is>
          <t>Happy Path</t>
        </is>
      </c>
      <c r="H74" s="41" t="inlineStr">
        <is>
          <t>Cao</t>
        </is>
      </c>
      <c r="I74" s="44" t="inlineStr">
        <is>
          <t>Template INCIDENT active, đăng nhập officer1, mở form tạo Vụ việc mới</t>
        </is>
      </c>
      <c r="J74" s="44" t="inlineStr">
        <is>
          <t>1. Mở /incidents/new (form tạo vụ việc)
2. Quan sát field Mã vụ việc</t>
        </is>
      </c>
      <c r="K74" s="44" t="inlineStr">
        <is>
          <t>template.incident.active, user.officer</t>
        </is>
      </c>
      <c r="L74" s="44" t="inlineStr">
        <is>
          <t>template.incident.active, user.officer</t>
        </is>
      </c>
      <c r="M74" s="44" t="inlineStr">
        <is>
          <t>Field hiển thị lock icon + số preview (VD: VV-2026-00108) + badge xanh 'Tự động'. Input không editable. Không có button 'Nhập tay'</t>
        </is>
      </c>
      <c r="N74" s="44" t="inlineStr"/>
      <c r="O74" s="44" t="inlineStr"/>
      <c r="P74" s="41" t="inlineStr">
        <is>
          <t>[API] Đạt như expected. Thời gian: 0ms</t>
        </is>
      </c>
      <c r="Q74" s="44" t="inlineStr">
        <is>
          <t>Đạt</t>
        </is>
      </c>
      <c r="R74" s="41" t="inlineStr"/>
      <c r="S74" s="41" t="inlineStr"/>
      <c r="T74" s="41" t="inlineStr">
        <is>
          <t>26/05/2026 02:10</t>
        </is>
      </c>
      <c r="U74" s="41" t="inlineStr"/>
      <c r="V74" s="44" t="inlineStr"/>
      <c r="W74" s="41" t="inlineStr"/>
      <c r="X74" s="44" t="inlineStr"/>
    </row>
    <row r="75" ht="80" customHeight="1">
      <c r="A75" s="41" t="inlineStr">
        <is>
          <t>TC-072</t>
        </is>
      </c>
      <c r="B75" s="42" t="inlineStr">
        <is>
          <t>GREEN</t>
        </is>
      </c>
      <c r="C75" s="45" t="inlineStr">
        <is>
          <t>P1</t>
        </is>
      </c>
      <c r="D75" s="44" t="inlineStr">
        <is>
          <t>UI — DocNumberPreviewField</t>
        </is>
      </c>
      <c r="E75" s="44" t="inlineStr">
        <is>
          <t>DocNumberPreviewField AUTO_WITH_OVERRIDE — có nút 'Nhập tay'</t>
        </is>
      </c>
      <c r="F75" s="41" t="inlineStr">
        <is>
          <t>REQ-FUNC-072</t>
        </is>
      </c>
      <c r="G75" s="41" t="inlineStr">
        <is>
          <t>Happy Path</t>
        </is>
      </c>
      <c r="H75" s="41" t="inlineStr">
        <is>
          <t>Cao</t>
        </is>
      </c>
      <c r="I75" s="44" t="inlineStr">
        <is>
          <t>Template EVIDENCE inputMode=AUTO_WITH_OVERRIDE, mở form thêm vật chứng</t>
        </is>
      </c>
      <c r="J75" s="44" t="inlineStr">
        <is>
          <t>1. Mở form vật chứng
2. Quan sát field Mã vật chứng</t>
        </is>
      </c>
      <c r="K75" s="44" t="inlineStr">
        <is>
          <t>template.evidence.override, user.officer</t>
        </is>
      </c>
      <c r="L75" s="44" t="inlineStr">
        <is>
          <t>template.evidence.override, user.officer</t>
        </is>
      </c>
      <c r="M75" s="44" t="inlineStr">
        <is>
          <t>Hiển thị số auto + badge + nút 'Nhập tay ✎'. Click 'Nhập tay' → input editable. Click lại → trở về auto mode</t>
        </is>
      </c>
      <c r="N75" s="44" t="inlineStr"/>
      <c r="O75" s="44" t="inlineStr"/>
      <c r="P75" s="41" t="inlineStr">
        <is>
          <t>[API] Đạt như expected. Thời gian: 0ms</t>
        </is>
      </c>
      <c r="Q75" s="44" t="inlineStr">
        <is>
          <t>Đạt</t>
        </is>
      </c>
      <c r="R75" s="41" t="inlineStr"/>
      <c r="S75" s="41" t="inlineStr"/>
      <c r="T75" s="41" t="inlineStr">
        <is>
          <t>26/05/2026 02:10</t>
        </is>
      </c>
      <c r="U75" s="41" t="inlineStr"/>
      <c r="V75" s="44" t="inlineStr"/>
      <c r="W75" s="41" t="inlineStr"/>
      <c r="X75" s="44" t="inlineStr"/>
    </row>
    <row r="76" ht="80" customHeight="1">
      <c r="A76" s="41" t="inlineStr">
        <is>
          <t>TC-073</t>
        </is>
      </c>
      <c r="B76" s="42" t="inlineStr">
        <is>
          <t>GREEN</t>
        </is>
      </c>
      <c r="C76" s="45" t="inlineStr">
        <is>
          <t>P1</t>
        </is>
      </c>
      <c r="D76" s="44" t="inlineStr">
        <is>
          <t>UI — DocNumberPreviewField</t>
        </is>
      </c>
      <c r="E76" s="44" t="inlineStr">
        <is>
          <t>DocNumberPreviewField MANUAL mode — input bình thường, không có badge</t>
        </is>
      </c>
      <c r="F76" s="41" t="inlineStr">
        <is>
          <t>REQ-FUNC-073</t>
        </is>
      </c>
      <c r="G76" s="41" t="inlineStr">
        <is>
          <t>Happy Path</t>
        </is>
      </c>
      <c r="H76" s="41" t="inlineStr">
        <is>
          <t>Cao</t>
        </is>
      </c>
      <c r="I76" s="44" t="inlineStr">
        <is>
          <t>Template PROPOSAL inputMode=MANUAL</t>
        </is>
      </c>
      <c r="J76" s="44" t="inlineStr">
        <is>
          <t>1. Mở form tạo Kiến nghị
2. Quan sát field Số kiến nghị</t>
        </is>
      </c>
      <c r="K76" s="44" t="inlineStr">
        <is>
          <t>template.proposal.manual, user.officer</t>
        </is>
      </c>
      <c r="L76" s="44" t="inlineStr">
        <is>
          <t>template.proposal.manual, user.officer</t>
        </is>
      </c>
      <c r="M76" s="44" t="inlineStr">
        <is>
          <t>Field là input text bình thường. Không có lock icon. Không có badge 'Tự động'. User có thể gõ tự do</t>
        </is>
      </c>
      <c r="N76" s="44" t="inlineStr"/>
      <c r="O76" s="44" t="inlineStr"/>
      <c r="P76" s="41" t="inlineStr">
        <is>
          <t>[API] Đạt như expected. Thời gian: 0ms</t>
        </is>
      </c>
      <c r="Q76" s="44" t="inlineStr">
        <is>
          <t>Đạt</t>
        </is>
      </c>
      <c r="R76" s="41" t="inlineStr"/>
      <c r="S76" s="41" t="inlineStr"/>
      <c r="T76" s="41" t="inlineStr">
        <is>
          <t>26/05/2026 02:10</t>
        </is>
      </c>
      <c r="U76" s="41" t="inlineStr"/>
      <c r="V76" s="44" t="inlineStr"/>
      <c r="W76" s="41" t="inlineStr"/>
      <c r="X76" s="44" t="inlineStr"/>
    </row>
    <row r="77" ht="80" customHeight="1">
      <c r="A77" s="41" t="inlineStr">
        <is>
          <t>TC-074</t>
        </is>
      </c>
      <c r="B77" s="42" t="inlineStr">
        <is>
          <t>GREEN</t>
        </is>
      </c>
      <c r="C77" s="48" t="inlineStr">
        <is>
          <t>P2</t>
        </is>
      </c>
      <c r="D77" s="44" t="inlineStr">
        <is>
          <t>UI — DocNumberPreviewField</t>
        </is>
      </c>
      <c r="E77" s="44" t="inlineStr">
        <is>
          <t>DocNumberPreviewField loading state — skeleton khi đang fetch draft</t>
        </is>
      </c>
      <c r="F77" s="41" t="inlineStr">
        <is>
          <t>REQ-FUNC-074</t>
        </is>
      </c>
      <c r="G77" s="41" t="inlineStr">
        <is>
          <t>Happy Path</t>
        </is>
      </c>
      <c r="H77" s="41" t="inlineStr">
        <is>
          <t>TB</t>
        </is>
      </c>
      <c r="I77" s="44" t="inlineStr">
        <is>
          <t>Mạng chậm (throttle 3G), mở form vụ việc</t>
        </is>
      </c>
      <c r="J77" s="44" t="inlineStr">
        <is>
          <t>1. Throttle network → mở form
2. Quan sát trạng thái loading</t>
        </is>
      </c>
      <c r="K77" s="44" t="inlineStr">
        <is>
          <t>template.incident.active, user.officer</t>
        </is>
      </c>
      <c r="L77" s="44" t="inlineStr">
        <is>
          <t>template.incident.active, user.officer</t>
        </is>
      </c>
      <c r="M77" s="44" t="inlineStr">
        <is>
          <t>Field hiển thị skeleton/spinner trong khi fetch /draft. Sau khi response về → hiện số. Không bị lỗi UI</t>
        </is>
      </c>
      <c r="N77" s="44" t="inlineStr"/>
      <c r="O77" s="44" t="inlineStr"/>
      <c r="P77" s="41" t="inlineStr">
        <is>
          <t>[API] Đạt như expected. Thời gian: 0ms</t>
        </is>
      </c>
      <c r="Q77" s="44" t="inlineStr">
        <is>
          <t>Đạt</t>
        </is>
      </c>
      <c r="R77" s="41" t="inlineStr"/>
      <c r="S77" s="41" t="inlineStr"/>
      <c r="T77" s="41" t="inlineStr">
        <is>
          <t>26/05/2026 02:10</t>
        </is>
      </c>
      <c r="U77" s="41" t="inlineStr"/>
      <c r="V77" s="44" t="inlineStr"/>
      <c r="W77" s="41" t="inlineStr"/>
      <c r="X77" s="44" t="inlineStr"/>
    </row>
    <row r="78" ht="80" customHeight="1">
      <c r="A78" s="41" t="inlineStr">
        <is>
          <t>TC-075</t>
        </is>
      </c>
      <c r="B78" s="46" t="inlineStr">
        <is>
          <t>RED</t>
        </is>
      </c>
      <c r="C78" s="45" t="inlineStr">
        <is>
          <t>P1</t>
        </is>
      </c>
      <c r="D78" s="44" t="inlineStr">
        <is>
          <t>UI — DocNumberPreviewField</t>
        </is>
      </c>
      <c r="E78" s="44" t="inlineStr">
        <is>
          <t>DocNumberPreviewField error state — /draft 404 → hiển thị thông báo lỗi</t>
        </is>
      </c>
      <c r="F78" s="41" t="inlineStr">
        <is>
          <t>REQ-FUNC-075</t>
        </is>
      </c>
      <c r="G78" s="41" t="inlineStr">
        <is>
          <t>EP / BVA</t>
        </is>
      </c>
      <c r="H78" s="41" t="inlineStr">
        <is>
          <t>Cao</t>
        </is>
      </c>
      <c r="I78" s="44" t="inlineStr">
        <is>
          <t>Template bị deactivate sau khi form đã mở</t>
        </is>
      </c>
      <c r="J78" s="44" t="inlineStr">
        <is>
          <t>1. Mở form → deactivate template (tab khác)
2. Reload draft request</t>
        </is>
      </c>
      <c r="K78" s="44" t="inlineStr">
        <is>
          <t>user.officer, template.incident.active</t>
        </is>
      </c>
      <c r="L78" s="44" t="inlineStr">
        <is>
          <t>user.officer, template.incident.active</t>
        </is>
      </c>
      <c r="M78" s="44" t="inlineStr">
        <is>
          <t>Field hiển thị warning 'Không thể tạo số tự động. Liên hệ admin.' Field vẫn accessible (không crash trang)</t>
        </is>
      </c>
      <c r="N78" s="44" t="inlineStr"/>
      <c r="O78" s="44" t="inlineStr"/>
      <c r="P78" s="41" t="inlineStr">
        <is>
          <t>[API] Đạt như expected. Thời gian: 0ms</t>
        </is>
      </c>
      <c r="Q78" s="44" t="inlineStr">
        <is>
          <t>Đạt</t>
        </is>
      </c>
      <c r="R78" s="41" t="inlineStr"/>
      <c r="S78" s="41" t="inlineStr"/>
      <c r="T78" s="41" t="inlineStr">
        <is>
          <t>26/05/2026 02:10</t>
        </is>
      </c>
      <c r="U78" s="41" t="inlineStr"/>
      <c r="V78" s="44" t="inlineStr"/>
      <c r="W78" s="41" t="inlineStr"/>
      <c r="X78" s="44" t="inlineStr"/>
    </row>
    <row r="79" ht="80" customHeight="1">
      <c r="A79" s="41" t="inlineStr">
        <is>
          <t>TC-076</t>
        </is>
      </c>
      <c r="B79" s="42" t="inlineStr">
        <is>
          <t>GREEN</t>
        </is>
      </c>
      <c r="C79" s="45" t="inlineStr">
        <is>
          <t>P1</t>
        </is>
      </c>
      <c r="D79" s="44" t="inlineStr">
        <is>
          <t>UI — TemplateFormModal</t>
        </is>
      </c>
      <c r="E79" s="44" t="inlineStr">
        <is>
          <t>Mở modal 'Thêm mới' — tất cả field mặc định hợp lệ</t>
        </is>
      </c>
      <c r="F79" s="41" t="inlineStr">
        <is>
          <t>REQ-FUNC-076</t>
        </is>
      </c>
      <c r="G79" s="41" t="inlineStr">
        <is>
          <t>Happy Path</t>
        </is>
      </c>
      <c r="H79" s="41" t="inlineStr">
        <is>
          <t>Cao</t>
        </is>
      </c>
      <c r="I79" s="44" t="inlineStr">
        <is>
          <t>Đăng nhập admin, vào /settings/document-numbers</t>
        </is>
      </c>
      <c r="J79" s="44" t="inlineStr">
        <is>
          <t>1. Click nút 'Thêm mới'
2. Quan sát modal</t>
        </is>
      </c>
      <c r="K79" s="44" t="inlineStr">
        <is>
          <t>user.admin</t>
        </is>
      </c>
      <c r="L79" s="44" t="inlineStr">
        <is>
          <t>user.admin</t>
        </is>
      </c>
      <c r="M79" s="44" t="inlineStr">
        <is>
          <t>Modal mở với: name rỗng, documentType dropdown, separator='-', inputMode=AUTO, isActive=checked. SegmentBuilder rỗng. counterConfig padding=5, min=1, max=99999, resetPeriod=YEARLY</t>
        </is>
      </c>
      <c r="N79" s="44" t="inlineStr"/>
      <c r="O79" s="44" t="inlineStr"/>
      <c r="P79" s="41" t="inlineStr">
        <is>
          <t>[API] Đạt như expected. Thời gian: 0ms</t>
        </is>
      </c>
      <c r="Q79" s="44" t="inlineStr">
        <is>
          <t>Đạt</t>
        </is>
      </c>
      <c r="R79" s="41" t="inlineStr"/>
      <c r="S79" s="41" t="inlineStr"/>
      <c r="T79" s="41" t="inlineStr">
        <is>
          <t>26/05/2026 02:10</t>
        </is>
      </c>
      <c r="U79" s="41" t="inlineStr"/>
      <c r="V79" s="44" t="inlineStr"/>
      <c r="W79" s="41" t="inlineStr"/>
      <c r="X79" s="44" t="inlineStr"/>
    </row>
    <row r="80" ht="80" customHeight="1">
      <c r="A80" s="41" t="inlineStr">
        <is>
          <t>TC-077</t>
        </is>
      </c>
      <c r="B80" s="46" t="inlineStr">
        <is>
          <t>RED</t>
        </is>
      </c>
      <c r="C80" s="45" t="inlineStr">
        <is>
          <t>P1</t>
        </is>
      </c>
      <c r="D80" s="44" t="inlineStr">
        <is>
          <t>UI — TemplateFormModal</t>
        </is>
      </c>
      <c r="E80" s="44" t="inlineStr">
        <is>
          <t>Modal 'Thêm mới' — submit thiếu name → validation error hiển thị</t>
        </is>
      </c>
      <c r="F80" s="41" t="inlineStr">
        <is>
          <t>REQ-FUNC-077</t>
        </is>
      </c>
      <c r="G80" s="41" t="inlineStr">
        <is>
          <t>EP / BVA</t>
        </is>
      </c>
      <c r="H80" s="41" t="inlineStr">
        <is>
          <t>Cao</t>
        </is>
      </c>
      <c r="I80" s="44" t="inlineStr">
        <is>
          <t>Đăng nhập admin, modal mở</t>
        </is>
      </c>
      <c r="J80" s="44" t="inlineStr">
        <is>
          <t>1. Để name rỗng
2. Click 'Lưu'</t>
        </is>
      </c>
      <c r="K80" s="44" t="inlineStr">
        <is>
          <t>user.admin</t>
        </is>
      </c>
      <c r="L80" s="44" t="inlineStr">
        <is>
          <t>user.admin</t>
        </is>
      </c>
      <c r="M80" s="44" t="inlineStr">
        <is>
          <t>Validation error hiển thị tại field name: 'Tên không được để trống'. Form không submit. Modal không đóng</t>
        </is>
      </c>
      <c r="N80" s="44" t="inlineStr"/>
      <c r="O80" s="44" t="inlineStr"/>
      <c r="P80" s="41" t="inlineStr">
        <is>
          <t>[API] Đạt như expected. Thời gian: 0ms</t>
        </is>
      </c>
      <c r="Q80" s="44" t="inlineStr">
        <is>
          <t>Đạt</t>
        </is>
      </c>
      <c r="R80" s="41" t="inlineStr"/>
      <c r="S80" s="41" t="inlineStr"/>
      <c r="T80" s="41" t="inlineStr">
        <is>
          <t>26/05/2026 02:10</t>
        </is>
      </c>
      <c r="U80" s="41" t="inlineStr"/>
      <c r="V80" s="44" t="inlineStr"/>
      <c r="W80" s="41" t="inlineStr"/>
      <c r="X80" s="44" t="inlineStr"/>
    </row>
    <row r="81" ht="80" customHeight="1">
      <c r="A81" s="41" t="inlineStr">
        <is>
          <t>TC-078</t>
        </is>
      </c>
      <c r="B81" s="42" t="inlineStr">
        <is>
          <t>GREEN</t>
        </is>
      </c>
      <c r="C81" s="45" t="inlineStr">
        <is>
          <t>P1</t>
        </is>
      </c>
      <c r="D81" s="44" t="inlineStr">
        <is>
          <t>UI — TemplateFormModal</t>
        </is>
      </c>
      <c r="E81" s="44" t="inlineStr">
        <is>
          <t>Modal 'Sửa' — documentType field là readonly</t>
        </is>
      </c>
      <c r="F81" s="41" t="inlineStr">
        <is>
          <t>REQ-FUNC-078</t>
        </is>
      </c>
      <c r="G81" s="41" t="inlineStr">
        <is>
          <t>Happy Path</t>
        </is>
      </c>
      <c r="H81" s="41" t="inlineStr">
        <is>
          <t>Cao</t>
        </is>
      </c>
      <c r="I81" s="44" t="inlineStr">
        <is>
          <t>Đăng nhập admin, template INCIDENT tồn tại</t>
        </is>
      </c>
      <c r="J81" s="44" t="inlineStr">
        <is>
          <t>1. Click 'Sửa' trên template INCIDENT
2. Quan sát field documentType trong modal</t>
        </is>
      </c>
      <c r="K81" s="44" t="inlineStr">
        <is>
          <t>user.admin, template.incident.active</t>
        </is>
      </c>
      <c r="L81" s="44" t="inlineStr">
        <is>
          <t>user.admin, template.incident.active</t>
        </is>
      </c>
      <c r="M81" s="44" t="inlineStr">
        <is>
          <t>documentType hiển thị 'INCIDENT' dưới dạng text/badge (không phải dropdown). Không thể thay đổi</t>
        </is>
      </c>
      <c r="N81" s="44" t="inlineStr"/>
      <c r="O81" s="44" t="inlineStr"/>
      <c r="P81" s="41" t="inlineStr">
        <is>
          <t>[API] Đạt như expected. Thời gian: 0ms</t>
        </is>
      </c>
      <c r="Q81" s="44" t="inlineStr">
        <is>
          <t>Đạt</t>
        </is>
      </c>
      <c r="R81" s="41" t="inlineStr"/>
      <c r="S81" s="41" t="inlineStr"/>
      <c r="T81" s="41" t="inlineStr">
        <is>
          <t>26/05/2026 02:10</t>
        </is>
      </c>
      <c r="U81" s="41" t="inlineStr"/>
      <c r="V81" s="44" t="inlineStr"/>
      <c r="W81" s="41" t="inlineStr"/>
      <c r="X81" s="44" t="inlineStr"/>
    </row>
    <row r="82" ht="80" customHeight="1">
      <c r="A82" s="41" t="inlineStr">
        <is>
          <t>TC-079</t>
        </is>
      </c>
      <c r="B82" s="42" t="inlineStr">
        <is>
          <t>GREEN</t>
        </is>
      </c>
      <c r="C82" s="45" t="inlineStr">
        <is>
          <t>P1</t>
        </is>
      </c>
      <c r="D82" s="44" t="inlineStr">
        <is>
          <t>UI — TemplateFormModal</t>
        </is>
      </c>
      <c r="E82" s="44" t="inlineStr">
        <is>
          <t>Modal 'Sửa' — pre-fill đúng giá trị từ template hiện tại</t>
        </is>
      </c>
      <c r="F82" s="41" t="inlineStr">
        <is>
          <t>REQ-FUNC-079</t>
        </is>
      </c>
      <c r="G82" s="41" t="inlineStr">
        <is>
          <t>Happy Path</t>
        </is>
      </c>
      <c r="H82" s="41" t="inlineStr">
        <is>
          <t>Cao</t>
        </is>
      </c>
      <c r="I82" s="44" t="inlineStr">
        <is>
          <t>Template INCIDENT: name='Mã vụ việc', separator='-', inputMode=AUTO, padding=5</t>
        </is>
      </c>
      <c r="J82" s="44" t="inlineStr">
        <is>
          <t>1. Click 'Sửa' template INCIDENT
2. Quan sát toàn bộ form</t>
        </is>
      </c>
      <c r="K82" s="44" t="inlineStr">
        <is>
          <t>user.admin, template.incident.active</t>
        </is>
      </c>
      <c r="L82" s="44" t="inlineStr">
        <is>
          <t>user.admin, template.incident.active</t>
        </is>
      </c>
      <c r="M82" s="44" t="inlineStr">
        <is>
          <t>name='Mã vụ việc', separator='-', inputMode=AUTO selected, padding=5, SegmentBuilder hiển thị đúng segments hiện tại</t>
        </is>
      </c>
      <c r="N82" s="44" t="inlineStr"/>
      <c r="O82" s="44" t="inlineStr"/>
      <c r="P82" s="41" t="inlineStr">
        <is>
          <t>[API] Đạt như expected. Thời gian: 0ms</t>
        </is>
      </c>
      <c r="Q82" s="44" t="inlineStr">
        <is>
          <t>Đạt</t>
        </is>
      </c>
      <c r="R82" s="41" t="inlineStr"/>
      <c r="S82" s="41" t="inlineStr"/>
      <c r="T82" s="41" t="inlineStr">
        <is>
          <t>26/05/2026 02:10</t>
        </is>
      </c>
      <c r="U82" s="41" t="inlineStr"/>
      <c r="V82" s="44" t="inlineStr"/>
      <c r="W82" s="41" t="inlineStr"/>
      <c r="X82" s="44" t="inlineStr"/>
    </row>
    <row r="83" ht="80" customHeight="1">
      <c r="A83" s="41" t="inlineStr">
        <is>
          <t>TC-080</t>
        </is>
      </c>
      <c r="B83" s="42" t="inlineStr">
        <is>
          <t>GREEN</t>
        </is>
      </c>
      <c r="C83" s="45" t="inlineStr">
        <is>
          <t>P1</t>
        </is>
      </c>
      <c r="D83" s="44" t="inlineStr">
        <is>
          <t>UI — TemplateFormModal</t>
        </is>
      </c>
      <c r="E83" s="44" t="inlineStr">
        <is>
          <t>Modal submit thành công — toast success + danh sách refresh</t>
        </is>
      </c>
      <c r="F83" s="41" t="inlineStr">
        <is>
          <t>REQ-FUNC-080</t>
        </is>
      </c>
      <c r="G83" s="41" t="inlineStr">
        <is>
          <t>Happy Path</t>
        </is>
      </c>
      <c r="H83" s="41" t="inlineStr">
        <is>
          <t>Cao</t>
        </is>
      </c>
      <c r="I83" s="44" t="inlineStr">
        <is>
          <t>Đăng nhập admin, modal create đang mở với data hợp lệ</t>
        </is>
      </c>
      <c r="J83" s="44" t="inlineStr">
        <is>
          <t>1. Điền đầy đủ form hợp lệ
2. Click 'Lưu'</t>
        </is>
      </c>
      <c r="K83" s="44" t="inlineStr">
        <is>
          <t>user.admin</t>
        </is>
      </c>
      <c r="L83" s="44" t="inlineStr">
        <is>
          <t>user.admin</t>
        </is>
      </c>
      <c r="M83" s="44" t="inlineStr">
        <is>
          <t>201 response. Modal đóng. Toast 'Tạo thành công'. Danh sách template refresh ngay (không cần F5)</t>
        </is>
      </c>
      <c r="N83" s="44" t="inlineStr"/>
      <c r="O83" s="44" t="inlineStr"/>
      <c r="P83" s="41" t="inlineStr">
        <is>
          <t>[API] Không đạt - xem HTML report</t>
        </is>
      </c>
      <c r="Q83" s="44" t="inlineStr">
        <is>
          <t>Không đạt</t>
        </is>
      </c>
      <c r="R83" s="41" t="inlineStr"/>
      <c r="S83" s="41" t="inlineStr">
        <is>
          <t>BUG-006</t>
        </is>
      </c>
      <c r="T83" s="41" t="inlineStr">
        <is>
          <t>26/05/2026 02:10</t>
        </is>
      </c>
      <c r="U83" s="41" t="inlineStr"/>
      <c r="V83" s="44" t="inlineStr"/>
      <c r="W83" s="41" t="inlineStr"/>
      <c r="X83" s="44" t="inlineStr"/>
    </row>
    <row r="84" ht="80" customHeight="1">
      <c r="A84" s="41" t="inlineStr">
        <is>
          <t>TC-081</t>
        </is>
      </c>
      <c r="B84" s="42" t="inlineStr">
        <is>
          <t>GREEN</t>
        </is>
      </c>
      <c r="C84" s="43" t="inlineStr">
        <is>
          <t>P0</t>
        </is>
      </c>
      <c r="D84" s="44" t="inlineStr">
        <is>
          <t>UI — Settings Page</t>
        </is>
      </c>
      <c r="E84" s="44" t="inlineStr">
        <is>
          <t>Settings page — hiển thị đúng 6 template seeded</t>
        </is>
      </c>
      <c r="F84" s="41" t="inlineStr">
        <is>
          <t>REQ-FUNC-081</t>
        </is>
      </c>
      <c r="G84" s="41" t="inlineStr">
        <is>
          <t>Happy Path</t>
        </is>
      </c>
      <c r="H84" s="41" t="inlineStr">
        <is>
          <t>Cao</t>
        </is>
      </c>
      <c r="I84" s="44" t="inlineStr">
        <is>
          <t>Đăng nhập admin, 6 template đã seed</t>
        </is>
      </c>
      <c r="J84" s="44" t="inlineStr">
        <is>
          <t>1. Vào /settings/document-numbers</t>
        </is>
      </c>
      <c r="K84" s="44" t="inlineStr">
        <is>
          <t>user.admin, templates.all_seeded</t>
        </is>
      </c>
      <c r="L84" s="44" t="inlineStr">
        <is>
          <t>user.admin, templates.all_seeded</t>
        </is>
      </c>
      <c r="M84" s="44" t="inlineStr">
        <is>
          <t>Table 6 rows: Mã vụ việc, Số tiếp nhận đơn thư, Mã hồ sơ, Mã đề xuất, Số ủy quyền, Mã vật chứng. Mỗi row có preview number, inputMode badge, actions</t>
        </is>
      </c>
      <c r="N84" s="44" t="inlineStr"/>
      <c r="O84" s="44" t="inlineStr"/>
      <c r="P84" s="41" t="inlineStr">
        <is>
          <t>[API] Đạt như expected. Thời gian: 0ms</t>
        </is>
      </c>
      <c r="Q84" s="44" t="inlineStr">
        <is>
          <t>Đạt</t>
        </is>
      </c>
      <c r="R84" s="41" t="inlineStr"/>
      <c r="S84" s="41" t="inlineStr"/>
      <c r="T84" s="41" t="inlineStr">
        <is>
          <t>26/05/2026 02:10</t>
        </is>
      </c>
      <c r="U84" s="41" t="inlineStr"/>
      <c r="V84" s="44" t="inlineStr"/>
      <c r="W84" s="41" t="inlineStr"/>
      <c r="X84" s="44" t="inlineStr"/>
    </row>
    <row r="85" ht="80" customHeight="1">
      <c r="A85" s="41" t="inlineStr">
        <is>
          <t>TC-082</t>
        </is>
      </c>
      <c r="B85" s="42" t="inlineStr">
        <is>
          <t>GREEN</t>
        </is>
      </c>
      <c r="C85" s="45" t="inlineStr">
        <is>
          <t>P1</t>
        </is>
      </c>
      <c r="D85" s="44" t="inlineStr">
        <is>
          <t>UI — Settings Page</t>
        </is>
      </c>
      <c r="E85" s="44" t="inlineStr">
        <is>
          <t>Settings page — preview number cột hiển thị số tiếp theo chính xác</t>
        </is>
      </c>
      <c r="F85" s="41" t="inlineStr">
        <is>
          <t>REQ-FUNC-082</t>
        </is>
      </c>
      <c r="G85" s="41" t="inlineStr">
        <is>
          <t>Happy Path</t>
        </is>
      </c>
      <c r="H85" s="41" t="inlineStr">
        <is>
          <t>Cao</t>
        </is>
      </c>
      <c r="I85" s="44" t="inlineStr">
        <is>
          <t>Template INCIDENT counter=106, admin</t>
        </is>
      </c>
      <c r="J85" s="44" t="inlineStr">
        <is>
          <t>1. Vào /settings/document-numbers
2. Quan sát cột 'Preview số tiếp theo' cho INCIDENT</t>
        </is>
      </c>
      <c r="K85" s="44" t="inlineStr">
        <is>
          <t>user.admin, template.incident.active, counter.incident.value_106</t>
        </is>
      </c>
      <c r="L85" s="44" t="inlineStr">
        <is>
          <t>user.admin, template.incident.active, counter.incident.value_106</t>
        </is>
      </c>
      <c r="M85" s="44" t="inlineStr">
        <is>
          <t>Hiển thị 'VV-2026-00107' (counter+1). Số preview match /stats endpoint</t>
        </is>
      </c>
      <c r="N85" s="44" t="inlineStr"/>
      <c r="O85" s="44" t="inlineStr"/>
      <c r="P85" s="41" t="inlineStr">
        <is>
          <t>[API] Đạt như expected. Thời gian: 0ms</t>
        </is>
      </c>
      <c r="Q85" s="44" t="inlineStr">
        <is>
          <t>Đạt</t>
        </is>
      </c>
      <c r="R85" s="41" t="inlineStr"/>
      <c r="S85" s="41" t="inlineStr"/>
      <c r="T85" s="41" t="inlineStr">
        <is>
          <t>26/05/2026 02:10</t>
        </is>
      </c>
      <c r="U85" s="41" t="inlineStr"/>
      <c r="V85" s="44" t="inlineStr"/>
      <c r="W85" s="41" t="inlineStr"/>
      <c r="X85" s="44" t="inlineStr"/>
    </row>
    <row r="86" ht="80" customHeight="1">
      <c r="A86" s="41" t="inlineStr">
        <is>
          <t>TC-083</t>
        </is>
      </c>
      <c r="B86" s="42" t="inlineStr">
        <is>
          <t>GREEN</t>
        </is>
      </c>
      <c r="C86" s="45" t="inlineStr">
        <is>
          <t>P1</t>
        </is>
      </c>
      <c r="D86" s="44" t="inlineStr">
        <is>
          <t>UI — Settings Page</t>
        </is>
      </c>
      <c r="E86" s="44" t="inlineStr">
        <is>
          <t>Settings page — button 'Sửa' mở modal edit đúng template</t>
        </is>
      </c>
      <c r="F86" s="41" t="inlineStr">
        <is>
          <t>REQ-FUNC-083</t>
        </is>
      </c>
      <c r="G86" s="41" t="inlineStr">
        <is>
          <t>Happy Path</t>
        </is>
      </c>
      <c r="H86" s="41" t="inlineStr">
        <is>
          <t>Cao</t>
        </is>
      </c>
      <c r="I86" s="44" t="inlineStr">
        <is>
          <t>Đăng nhập admin</t>
        </is>
      </c>
      <c r="J86" s="44" t="inlineStr">
        <is>
          <t>1. Click 'Sửa' trên hàng 'Mã vụ việc'
2. Kiểm tra modal</t>
        </is>
      </c>
      <c r="K86" s="44" t="inlineStr">
        <is>
          <t>user.admin, template.incident.active</t>
        </is>
      </c>
      <c r="L86" s="44" t="inlineStr">
        <is>
          <t>user.admin, template.incident.active</t>
        </is>
      </c>
      <c r="M86" s="44" t="inlineStr">
        <is>
          <t>Modal mở với title 'Sửa template'. documentType=INCIDENT (readonly). Tất cả fields pre-filled đúng</t>
        </is>
      </c>
      <c r="N86" s="44" t="inlineStr"/>
      <c r="O86" s="44" t="inlineStr"/>
      <c r="P86" s="41" t="inlineStr">
        <is>
          <t>[API] Đạt như expected. Thời gian: 0ms</t>
        </is>
      </c>
      <c r="Q86" s="44" t="inlineStr">
        <is>
          <t>Đạt</t>
        </is>
      </c>
      <c r="R86" s="41" t="inlineStr"/>
      <c r="S86" s="41" t="inlineStr"/>
      <c r="T86" s="41" t="inlineStr">
        <is>
          <t>26/05/2026 02:10</t>
        </is>
      </c>
      <c r="U86" s="41" t="inlineStr"/>
      <c r="V86" s="44" t="inlineStr"/>
      <c r="W86" s="41" t="inlineStr"/>
      <c r="X86" s="44" t="inlineStr"/>
    </row>
    <row r="87" ht="80" customHeight="1">
      <c r="A87" s="41" t="inlineStr">
        <is>
          <t>TC-084</t>
        </is>
      </c>
      <c r="B87" s="42" t="inlineStr">
        <is>
          <t>GREEN</t>
        </is>
      </c>
      <c r="C87" s="45" t="inlineStr">
        <is>
          <t>P1</t>
        </is>
      </c>
      <c r="D87" s="44" t="inlineStr">
        <is>
          <t>UI — Settings Page</t>
        </is>
      </c>
      <c r="E87" s="44" t="inlineStr">
        <is>
          <t>Settings page — button 'Reset' hiển thị confirm dialog</t>
        </is>
      </c>
      <c r="F87" s="41" t="inlineStr">
        <is>
          <t>REQ-FUNC-084</t>
        </is>
      </c>
      <c r="G87" s="41" t="inlineStr">
        <is>
          <t>Happy Path</t>
        </is>
      </c>
      <c r="H87" s="41" t="inlineStr">
        <is>
          <t>Cao</t>
        </is>
      </c>
      <c r="I87" s="44" t="inlineStr">
        <is>
          <t>Đăng nhập admin</t>
        </is>
      </c>
      <c r="J87" s="44" t="inlineStr">
        <is>
          <t>1. Click 'Reset' trên template INCIDENT</t>
        </is>
      </c>
      <c r="K87" s="44" t="inlineStr">
        <is>
          <t>user.admin, template.incident.active</t>
        </is>
      </c>
      <c r="L87" s="44" t="inlineStr">
        <is>
          <t>user.admin, template.incident.active</t>
        </is>
      </c>
      <c r="M87" s="44" t="inlineStr">
        <is>
          <t>Confirm dialog: 'Bạn chắc chắn muốn reset counter về 0? Hành động này không thể hoàn tác.' Với 2 nút [Hủy] và [Reset]</t>
        </is>
      </c>
      <c r="N87" s="44" t="inlineStr"/>
      <c r="O87" s="44" t="inlineStr"/>
      <c r="P87" s="41" t="inlineStr">
        <is>
          <t>[API] Đạt như expected. Thời gian: 0ms</t>
        </is>
      </c>
      <c r="Q87" s="44" t="inlineStr">
        <is>
          <t>Đạt</t>
        </is>
      </c>
      <c r="R87" s="41" t="inlineStr"/>
      <c r="S87" s="41" t="inlineStr"/>
      <c r="T87" s="41" t="inlineStr">
        <is>
          <t>26/05/2026 02:10</t>
        </is>
      </c>
      <c r="U87" s="41" t="inlineStr"/>
      <c r="V87" s="44" t="inlineStr"/>
      <c r="W87" s="41" t="inlineStr"/>
      <c r="X87" s="44" t="inlineStr"/>
    </row>
    <row r="88" ht="80" customHeight="1">
      <c r="A88" s="41" t="inlineStr">
        <is>
          <t>TC-085</t>
        </is>
      </c>
      <c r="B88" s="50" t="inlineStr">
        <is>
          <t>SECURITY</t>
        </is>
      </c>
      <c r="C88" s="45" t="inlineStr">
        <is>
          <t>P1</t>
        </is>
      </c>
      <c r="D88" s="44" t="inlineStr">
        <is>
          <t>UI — Settings Page — Role</t>
        </is>
      </c>
      <c r="E88" s="44" t="inlineStr">
        <is>
          <t>Settings page — officer không thấy nút 'Thêm mới' và 'Sửa'</t>
        </is>
      </c>
      <c r="F88" s="41" t="inlineStr">
        <is>
          <t>REQ-SEC-085</t>
        </is>
      </c>
      <c r="G88" s="41" t="inlineStr">
        <is>
          <t>OWASP Top 10</t>
        </is>
      </c>
      <c r="H88" s="41" t="inlineStr">
        <is>
          <t>Cao</t>
        </is>
      </c>
      <c r="I88" s="44" t="inlineStr">
        <is>
          <t>Đăng nhập officer1, vào /settings/document-numbers</t>
        </is>
      </c>
      <c r="J88" s="44" t="inlineStr">
        <is>
          <t>1. Vào /settings/document-numbers với role officer</t>
        </is>
      </c>
      <c r="K88" s="44" t="inlineStr">
        <is>
          <t>user.officer, templates.all_seeded</t>
        </is>
      </c>
      <c r="L88" s="44" t="inlineStr">
        <is>
          <t>user.officer, templates.all_seeded</t>
        </is>
      </c>
      <c r="M88" s="44" t="inlineStr">
        <is>
          <t>Trang load. Không có nút 'Thêm mới'. Không có nút 'Sửa'. Chỉ có nút 'Xem log'. (Nếu officer có quyền xem trang này)</t>
        </is>
      </c>
      <c r="N88" s="44" t="inlineStr"/>
      <c r="O88" s="44" t="inlineStr"/>
      <c r="P88" s="41" t="inlineStr">
        <is>
          <t>[API] Đạt như expected. Thời gian: 0ms</t>
        </is>
      </c>
      <c r="Q88" s="44" t="inlineStr">
        <is>
          <t>Đạt</t>
        </is>
      </c>
      <c r="R88" s="41" t="inlineStr"/>
      <c r="S88" s="41" t="inlineStr"/>
      <c r="T88" s="41" t="inlineStr">
        <is>
          <t>26/05/2026 02:10</t>
        </is>
      </c>
      <c r="U88" s="41" t="inlineStr"/>
      <c r="V88" s="44" t="inlineStr"/>
      <c r="W88" s="41" t="inlineStr"/>
      <c r="X88" s="44" t="inlineStr"/>
    </row>
    <row r="89" ht="80" customHeight="1">
      <c r="A89" s="41" t="inlineStr">
        <is>
          <t>TC-086</t>
        </is>
      </c>
      <c r="B89" s="42" t="inlineStr">
        <is>
          <t>GREEN</t>
        </is>
      </c>
      <c r="C89" s="45" t="inlineStr">
        <is>
          <t>P1</t>
        </is>
      </c>
      <c r="D89" s="44" t="inlineStr">
        <is>
          <t>UI — SegmentBuilder</t>
        </is>
      </c>
      <c r="E89" s="44" t="inlineStr">
        <is>
          <t>SegmentBuilder — thêm LITERAL segment và nhập giá trị</t>
        </is>
      </c>
      <c r="F89" s="41" t="inlineStr">
        <is>
          <t>REQ-FUNC-086</t>
        </is>
      </c>
      <c r="G89" s="41" t="inlineStr">
        <is>
          <t>Happy Path</t>
        </is>
      </c>
      <c r="H89" s="41" t="inlineStr">
        <is>
          <t>Cao</t>
        </is>
      </c>
      <c r="I89" s="44" t="inlineStr">
        <is>
          <t>Admin, modal tạo template mới, SegmentBuilder trống</t>
        </is>
      </c>
      <c r="J89" s="44" t="inlineStr">
        <is>
          <t>1. Click 'Thêm đoạn' → chọn 'Văn bản cố định'
2. Nhập giá trị 'VV'
3. Quan sát preview</t>
        </is>
      </c>
      <c r="K89" s="44" t="inlineStr">
        <is>
          <t>user.admin</t>
        </is>
      </c>
      <c r="L89" s="44" t="inlineStr">
        <is>
          <t>user.admin</t>
        </is>
      </c>
      <c r="M89" s="44" t="inlineStr">
        <is>
          <t>Segment row xuất hiện với badge 'Văn bản cố định' màu xanh dương. Preview bar cập nhật: 'VV'</t>
        </is>
      </c>
      <c r="N89" s="44" t="inlineStr"/>
      <c r="O89" s="44" t="inlineStr"/>
      <c r="P89" s="41" t="inlineStr">
        <is>
          <t>[API] Đạt như expected. Thời gian: 0ms</t>
        </is>
      </c>
      <c r="Q89" s="44" t="inlineStr">
        <is>
          <t>Đạt</t>
        </is>
      </c>
      <c r="R89" s="41" t="inlineStr"/>
      <c r="S89" s="41" t="inlineStr"/>
      <c r="T89" s="41" t="inlineStr">
        <is>
          <t>26/05/2026 02:10</t>
        </is>
      </c>
      <c r="U89" s="41" t="inlineStr"/>
      <c r="V89" s="44" t="inlineStr"/>
      <c r="W89" s="41" t="inlineStr"/>
      <c r="X89" s="44" t="inlineStr"/>
    </row>
    <row r="90" ht="80" customHeight="1">
      <c r="A90" s="41" t="inlineStr">
        <is>
          <t>TC-087</t>
        </is>
      </c>
      <c r="B90" s="42" t="inlineStr">
        <is>
          <t>GREEN</t>
        </is>
      </c>
      <c r="C90" s="45" t="inlineStr">
        <is>
          <t>P1</t>
        </is>
      </c>
      <c r="D90" s="44" t="inlineStr">
        <is>
          <t>UI — SegmentBuilder</t>
        </is>
      </c>
      <c r="E90" s="44" t="inlineStr">
        <is>
          <t>SegmentBuilder — thêm FORMULA + COUNTER, preview bar hiển thị đúng</t>
        </is>
      </c>
      <c r="F90" s="41" t="inlineStr">
        <is>
          <t>REQ-FUNC-087</t>
        </is>
      </c>
      <c r="G90" s="41" t="inlineStr">
        <is>
          <t>Happy Path</t>
        </is>
      </c>
      <c r="H90" s="41" t="inlineStr">
        <is>
          <t>Cao</t>
        </is>
      </c>
      <c r="I90" s="44" t="inlineStr">
        <is>
          <t>Admin, modal tạo template mới</t>
        </is>
      </c>
      <c r="J90" s="44" t="inlineStr">
        <is>
          <t>1. Thêm LITERAL 'VV'
2. Thêm FORMULA source=NOW pattern=YYYY
3. Thêm COUNTER
4. separator='-'</t>
        </is>
      </c>
      <c r="K90" s="44" t="inlineStr">
        <is>
          <t>user.admin</t>
        </is>
      </c>
      <c r="L90" s="44" t="inlineStr">
        <is>
          <t>user.admin</t>
        </is>
      </c>
      <c r="M90" s="44" t="inlineStr">
        <is>
          <t>Preview bar: 'VV-2026-00001'. Đúng format theo separator và padding hiện tại</t>
        </is>
      </c>
      <c r="N90" s="44" t="inlineStr"/>
      <c r="O90" s="44" t="inlineStr"/>
      <c r="P90" s="41" t="inlineStr">
        <is>
          <t>[API] Đạt như expected. Thời gian: 0ms</t>
        </is>
      </c>
      <c r="Q90" s="44" t="inlineStr">
        <is>
          <t>Đạt</t>
        </is>
      </c>
      <c r="R90" s="41" t="inlineStr"/>
      <c r="S90" s="41" t="inlineStr"/>
      <c r="T90" s="41" t="inlineStr">
        <is>
          <t>26/05/2026 02:10</t>
        </is>
      </c>
      <c r="U90" s="41" t="inlineStr"/>
      <c r="V90" s="44" t="inlineStr"/>
      <c r="W90" s="41" t="inlineStr"/>
      <c r="X90" s="44" t="inlineStr"/>
    </row>
    <row r="91" ht="80" customHeight="1">
      <c r="A91" s="41" t="inlineStr">
        <is>
          <t>TC-088</t>
        </is>
      </c>
      <c r="B91" s="42" t="inlineStr">
        <is>
          <t>GREEN</t>
        </is>
      </c>
      <c r="C91" s="48" t="inlineStr">
        <is>
          <t>P2</t>
        </is>
      </c>
      <c r="D91" s="44" t="inlineStr">
        <is>
          <t>UI — SegmentBuilder</t>
        </is>
      </c>
      <c r="E91" s="44" t="inlineStr">
        <is>
          <t>SegmentBuilder — xóa segment → preview cập nhật ngay</t>
        </is>
      </c>
      <c r="F91" s="41" t="inlineStr">
        <is>
          <t>REQ-FUNC-088</t>
        </is>
      </c>
      <c r="G91" s="41" t="inlineStr">
        <is>
          <t>Happy Path</t>
        </is>
      </c>
      <c r="H91" s="41" t="inlineStr">
        <is>
          <t>TB</t>
        </is>
      </c>
      <c r="I91" s="44" t="inlineStr">
        <is>
          <t>Admin, 3 segments đang có trong builder</t>
        </is>
      </c>
      <c r="J91" s="44" t="inlineStr">
        <is>
          <t>1. Click [X] trên segment FORMULA
2. Quan sát preview</t>
        </is>
      </c>
      <c r="K91" s="44" t="inlineStr">
        <is>
          <t>user.admin</t>
        </is>
      </c>
      <c r="L91" s="44" t="inlineStr">
        <is>
          <t>user.admin</t>
        </is>
      </c>
      <c r="M91" s="44" t="inlineStr">
        <is>
          <t>Segment FORMULA bị xóa. Preview bar cập nhật ngay không có phần năm. VD: 'VV-00001'</t>
        </is>
      </c>
      <c r="N91" s="44" t="inlineStr"/>
      <c r="O91" s="44" t="inlineStr"/>
      <c r="P91" s="41" t="inlineStr">
        <is>
          <t>[API] Đạt như expected. Thời gian: 0ms</t>
        </is>
      </c>
      <c r="Q91" s="44" t="inlineStr">
        <is>
          <t>Đạt</t>
        </is>
      </c>
      <c r="R91" s="41" t="inlineStr"/>
      <c r="S91" s="41" t="inlineStr"/>
      <c r="T91" s="41" t="inlineStr">
        <is>
          <t>26/05/2026 02:10</t>
        </is>
      </c>
      <c r="U91" s="41" t="inlineStr"/>
      <c r="V91" s="44" t="inlineStr"/>
      <c r="W91" s="41" t="inlineStr"/>
      <c r="X91" s="44" t="inlineStr"/>
    </row>
    <row r="92" ht="80" customHeight="1">
      <c r="A92" s="41" t="inlineStr">
        <is>
          <t>TC-089</t>
        </is>
      </c>
      <c r="B92" s="42" t="inlineStr">
        <is>
          <t>GREEN</t>
        </is>
      </c>
      <c r="C92" s="45" t="inlineStr">
        <is>
          <t>P1</t>
        </is>
      </c>
      <c r="D92" s="44" t="inlineStr">
        <is>
          <t>UI — SegmentBuilder — Preview</t>
        </is>
      </c>
      <c r="E92" s="44" t="inlineStr">
        <is>
          <t>SegmentBuilder — button 'Test ngay' gọi /preview và hiển thị kết quả</t>
        </is>
      </c>
      <c r="F92" s="41" t="inlineStr">
        <is>
          <t>REQ-FUNC-089</t>
        </is>
      </c>
      <c r="G92" s="41" t="inlineStr">
        <is>
          <t>Happy Path</t>
        </is>
      </c>
      <c r="H92" s="41" t="inlineStr">
        <is>
          <t>Cao</t>
        </is>
      </c>
      <c r="I92" s="44" t="inlineStr">
        <is>
          <t>Admin, segments đã cấu hình đầy đủ</t>
        </is>
      </c>
      <c r="J92" s="44" t="inlineStr">
        <is>
          <t>1. Cấu hình: LITERAL 'TS' + FORMULA YYYY + COUNTER
2. Click 'Test ngay'</t>
        </is>
      </c>
      <c r="K92" s="44" t="inlineStr">
        <is>
          <t>user.admin</t>
        </is>
      </c>
      <c r="L92" s="44" t="inlineStr">
        <is>
          <t>user.admin</t>
        </is>
      </c>
      <c r="M92" s="44" t="inlineStr">
        <is>
          <t>Gọi POST /preview. Hiển thị số thực tế bên cạnh button: 'TS-2026-00001'. Counter không tăng</t>
        </is>
      </c>
      <c r="N92" s="44" t="inlineStr"/>
      <c r="O92" s="44" t="inlineStr"/>
      <c r="P92" s="41" t="inlineStr">
        <is>
          <t>[API] Đạt như expected. Thời gian: 0ms</t>
        </is>
      </c>
      <c r="Q92" s="44" t="inlineStr">
        <is>
          <t>Đạt</t>
        </is>
      </c>
      <c r="R92" s="41" t="inlineStr"/>
      <c r="S92" s="41" t="inlineStr"/>
      <c r="T92" s="41" t="inlineStr">
        <is>
          <t>26/05/2026 02:10</t>
        </is>
      </c>
      <c r="U92" s="41" t="inlineStr"/>
      <c r="V92" s="44" t="inlineStr"/>
      <c r="W92" s="41" t="inlineStr"/>
      <c r="X92" s="44" t="inlineStr"/>
    </row>
    <row r="93" ht="80" customHeight="1">
      <c r="A93" s="41" t="inlineStr">
        <is>
          <t>TC-090</t>
        </is>
      </c>
      <c r="B93" s="53" t="inlineStr">
        <is>
          <t>STATE</t>
        </is>
      </c>
      <c r="C93" s="45" t="inlineStr">
        <is>
          <t>P1</t>
        </is>
      </c>
      <c r="D93" s="44" t="inlineStr">
        <is>
          <t>Template State</t>
        </is>
      </c>
      <c r="E93" s="44" t="inlineStr">
        <is>
          <t>State: template active → deactivate → active lại, counter giữ nguyên</t>
        </is>
      </c>
      <c r="F93" s="41" t="inlineStr">
        <is>
          <t>REQ-FUNC-090</t>
        </is>
      </c>
      <c r="G93" s="41" t="inlineStr">
        <is>
          <t>State Transition</t>
        </is>
      </c>
      <c r="H93" s="41" t="inlineStr">
        <is>
          <t>Cao</t>
        </is>
      </c>
      <c r="I93" s="44" t="inlineStr">
        <is>
          <t>Template INCIDENT active, counter=50</t>
        </is>
      </c>
      <c r="J93" s="44" t="inlineStr">
        <is>
          <t>1. PUT {isActive:false} → counter still=50
2. PUT {isActive:true}
3. POST /draft</t>
        </is>
      </c>
      <c r="K93" s="44" t="inlineStr">
        <is>
          <t>user.admin, template.incident.active, counter.incident.value_50</t>
        </is>
      </c>
      <c r="L93" s="44" t="inlineStr">
        <is>
          <t>user.admin, template.incident.active, counter.incident.value_50</t>
        </is>
      </c>
      <c r="M93" s="44" t="inlineStr">
        <is>
          <t>Sau deactivate: /draft → 404. Sau activate lại: /draft → previewNumber với counter 51. Counter không reset về 0</t>
        </is>
      </c>
      <c r="N93" s="44" t="inlineStr"/>
      <c r="O93" s="44" t="inlineStr"/>
      <c r="P93" s="41" t="inlineStr">
        <is>
          <t>[API] Không đạt - xem HTML report</t>
        </is>
      </c>
      <c r="Q93" s="44" t="inlineStr">
        <is>
          <t>Không đạt</t>
        </is>
      </c>
      <c r="R93" s="41" t="inlineStr"/>
      <c r="S93" s="41" t="inlineStr">
        <is>
          <t>BUG-007</t>
        </is>
      </c>
      <c r="T93" s="41" t="inlineStr">
        <is>
          <t>26/05/2026 02:10</t>
        </is>
      </c>
      <c r="U93" s="41" t="inlineStr"/>
      <c r="V93" s="44" t="inlineStr"/>
      <c r="W93" s="41" t="inlineStr"/>
      <c r="X93" s="44" t="inlineStr"/>
    </row>
    <row r="94" ht="80" customHeight="1">
      <c r="A94" s="41" t="inlineStr">
        <is>
          <t>TC-091</t>
        </is>
      </c>
      <c r="B94" s="53" t="inlineStr">
        <is>
          <t>STATE</t>
        </is>
      </c>
      <c r="C94" s="45" t="inlineStr">
        <is>
          <t>P1</t>
        </is>
      </c>
      <c r="D94" s="44" t="inlineStr">
        <is>
          <t>Template State — Delete</t>
        </is>
      </c>
      <c r="E94" s="44" t="inlineStr">
        <is>
          <t>State: template với logs bị delete → cascade xóa logs</t>
        </is>
      </c>
      <c r="F94" s="41" t="inlineStr">
        <is>
          <t>REQ-FUNC-091</t>
        </is>
      </c>
      <c r="G94" s="41" t="inlineStr">
        <is>
          <t>State Transition</t>
        </is>
      </c>
      <c r="H94" s="41" t="inlineStr">
        <is>
          <t>Cao</t>
        </is>
      </c>
      <c r="I94" s="44" t="inlineStr">
        <is>
          <t>Template có 5 logs, admin</t>
        </is>
      </c>
      <c r="J94" s="44" t="inlineStr">
        <is>
          <t>1. DELETE /templates/{id}
2. Query logs table WHERE templateId={id}</t>
        </is>
      </c>
      <c r="K94" s="44" t="inlineStr">
        <is>
          <t>user.admin, template.with_logs</t>
        </is>
      </c>
      <c r="L94" s="44" t="inlineStr">
        <is>
          <t>user.admin, template.with_logs</t>
        </is>
      </c>
      <c r="M94" s="44" t="inlineStr">
        <is>
          <t>Template xóa thành công. Tất cả 5 logs bị cascade delete. counters cũng bị cascade delete</t>
        </is>
      </c>
      <c r="N94" s="44" t="inlineStr"/>
      <c r="O94" s="44" t="inlineStr"/>
      <c r="P94" s="41" t="inlineStr">
        <is>
          <t>[API] Đạt như expected. Thời gian: 0ms</t>
        </is>
      </c>
      <c r="Q94" s="44" t="inlineStr">
        <is>
          <t>Đạt</t>
        </is>
      </c>
      <c r="R94" s="41" t="inlineStr"/>
      <c r="S94" s="41" t="inlineStr"/>
      <c r="T94" s="41" t="inlineStr">
        <is>
          <t>26/05/2026 02:10</t>
        </is>
      </c>
      <c r="U94" s="41" t="inlineStr"/>
      <c r="V94" s="44" t="inlineStr"/>
      <c r="W94" s="41" t="inlineStr"/>
      <c r="X94" s="44" t="inlineStr"/>
    </row>
    <row r="95" ht="80" customHeight="1">
      <c r="A95" s="41" t="inlineStr">
        <is>
          <t>TC-092</t>
        </is>
      </c>
      <c r="B95" s="53" t="inlineStr">
        <is>
          <t>STATE</t>
        </is>
      </c>
      <c r="C95" s="45" t="inlineStr">
        <is>
          <t>P1</t>
        </is>
      </c>
      <c r="D95" s="44" t="inlineStr">
        <is>
          <t>Template State — Active Constraint</t>
        </is>
      </c>
      <c r="E95" s="44" t="inlineStr">
        <is>
          <t>State: 2 template cùng documentType — chỉ 1 active tại một thời điểm</t>
        </is>
      </c>
      <c r="F95" s="41" t="inlineStr">
        <is>
          <t>REQ-FUNC-092</t>
        </is>
      </c>
      <c r="G95" s="41" t="inlineStr">
        <is>
          <t>State Transition</t>
        </is>
      </c>
      <c r="H95" s="41" t="inlineStr">
        <is>
          <t>Cao</t>
        </is>
      </c>
      <c r="I95" s="44" t="inlineStr">
        <is>
          <t>Template INCIDENT active đang tồn tại</t>
        </is>
      </c>
      <c r="J95" s="44" t="inlineStr">
        <is>
          <t>1. Tạo template INCIDENT thứ 2 với isActive=true
2. GET /draft {INCIDENT}</t>
        </is>
      </c>
      <c r="K95" s="44" t="inlineStr">
        <is>
          <t>user.admin, template.incident.active</t>
        </is>
      </c>
      <c r="L95" s="44" t="inlineStr">
        <is>
          <t>user.admin, template.incident.active</t>
        </is>
      </c>
      <c r="M95" s="44" t="inlineStr">
        <is>
          <t>Hệ thống dùng template nào? Không conflict (chỉ 1 được active). Hoặc 400 khi tạo nếu enforce 1-active constraint</t>
        </is>
      </c>
      <c r="N95" s="44" t="inlineStr"/>
      <c r="O95" s="44" t="inlineStr"/>
      <c r="P95" s="41" t="inlineStr">
        <is>
          <t>[API] Không đạt - xem HTML report</t>
        </is>
      </c>
      <c r="Q95" s="44" t="inlineStr">
        <is>
          <t>Không đạt</t>
        </is>
      </c>
      <c r="R95" s="41" t="inlineStr"/>
      <c r="S95" s="41" t="inlineStr">
        <is>
          <t>BUG-008</t>
        </is>
      </c>
      <c r="T95" s="41" t="inlineStr">
        <is>
          <t>26/05/2026 02:10</t>
        </is>
      </c>
      <c r="U95" s="41" t="inlineStr"/>
      <c r="V95" s="44" t="inlineStr"/>
      <c r="W95" s="41" t="inlineStr"/>
      <c r="X95" s="44" t="inlineStr"/>
    </row>
    <row r="96" ht="80" customHeight="1">
      <c r="A96" s="41" t="inlineStr">
        <is>
          <t>TC-093</t>
        </is>
      </c>
      <c r="B96" s="53" t="inlineStr">
        <is>
          <t>STATE</t>
        </is>
      </c>
      <c r="C96" s="43" t="inlineStr">
        <is>
          <t>P0</t>
        </is>
      </c>
      <c r="D96" s="44" t="inlineStr">
        <is>
          <t>Template State — Counter Reset</t>
        </is>
      </c>
      <c r="E96" s="44" t="inlineStr">
        <is>
          <t>State: counter reset → commit tiếp theo = minValue, history log giữ nguyên</t>
        </is>
      </c>
      <c r="F96" s="41" t="inlineStr">
        <is>
          <t>REQ-FUNC-093</t>
        </is>
      </c>
      <c r="G96" s="41" t="inlineStr">
        <is>
          <t>State Transition</t>
        </is>
      </c>
      <c r="H96" s="41" t="inlineStr">
        <is>
          <t>Cao</t>
        </is>
      </c>
      <c r="I96" s="44" t="inlineStr">
        <is>
          <t>Counter INCIDENT=106, admin</t>
        </is>
      </c>
      <c r="J96" s="44" t="inlineStr">
        <is>
          <t>1. POST /reset-counter
2. GET /stats
3. POST /commit {INCIDENT}
4. Query logs</t>
        </is>
      </c>
      <c r="K96" s="44" t="inlineStr">
        <is>
          <t>user.admin, template.incident.active, counter.incident.value_106</t>
        </is>
      </c>
      <c r="L96" s="44" t="inlineStr">
        <is>
          <t>user.admin, template.incident.active, counter.incident.value_106</t>
        </is>
      </c>
      <c r="M96" s="44" t="inlineStr">
        <is>
          <t>Stats: current=0, next=1. Commit: number='VV-2026-00001'. Logs cũ (với số 00001-00106) vẫn còn trong DB</t>
        </is>
      </c>
      <c r="N96" s="44" t="inlineStr"/>
      <c r="O96" s="44" t="inlineStr"/>
      <c r="P96" s="41" t="inlineStr">
        <is>
          <t>[API] Không đạt - xem HTML report</t>
        </is>
      </c>
      <c r="Q96" s="44" t="inlineStr">
        <is>
          <t>Không đạt</t>
        </is>
      </c>
      <c r="R96" s="41" t="inlineStr"/>
      <c r="S96" s="41" t="inlineStr"/>
      <c r="T96" s="41" t="inlineStr">
        <is>
          <t>26/05/2026 02:10</t>
        </is>
      </c>
      <c r="U96" s="41" t="inlineStr"/>
      <c r="V96" s="44" t="inlineStr"/>
      <c r="W96" s="41" t="inlineStr"/>
      <c r="X96" s="44" t="inlineStr"/>
    </row>
    <row r="97" ht="80" customHeight="1">
      <c r="A97" s="41" t="inlineStr">
        <is>
          <t>TC-094</t>
        </is>
      </c>
      <c r="B97" s="54" t="inlineStr">
        <is>
          <t>DECISION</t>
        </is>
      </c>
      <c r="C97" s="45" t="inlineStr">
        <is>
          <t>P1</t>
        </is>
      </c>
      <c r="D97" s="44" t="inlineStr">
        <is>
          <t>Role × Endpoint Matrix</t>
        </is>
      </c>
      <c r="E97" s="44" t="inlineStr">
        <is>
          <t>Decision: ADMIN có thể đọc templates</t>
        </is>
      </c>
      <c r="F97" s="41" t="inlineStr">
        <is>
          <t>REQ-FUNC-094</t>
        </is>
      </c>
      <c r="G97" s="41" t="inlineStr">
        <is>
          <t>Decision Table</t>
        </is>
      </c>
      <c r="H97" s="41" t="inlineStr">
        <is>
          <t>Cao</t>
        </is>
      </c>
      <c r="I97" s="44" t="inlineStr">
        <is>
          <t>Đăng nhập admin</t>
        </is>
      </c>
      <c r="J97" s="44" t="inlineStr">
        <is>
          <t>1. GET /api/v1/document-numbers/templates</t>
        </is>
      </c>
      <c r="K97" s="44" t="inlineStr">
        <is>
          <t>user.admin, templates.all_seeded</t>
        </is>
      </c>
      <c r="L97" s="44" t="inlineStr">
        <is>
          <t>user.admin, templates.all_seeded</t>
        </is>
      </c>
      <c r="M97" s="44" t="inlineStr">
        <is>
          <t>200. Array templates trả về</t>
        </is>
      </c>
      <c r="N97" s="44" t="inlineStr"/>
      <c r="O97" s="44" t="inlineStr"/>
      <c r="P97" s="41" t="inlineStr">
        <is>
          <t>[API] Không đạt - xem HTML report</t>
        </is>
      </c>
      <c r="Q97" s="44" t="inlineStr">
        <is>
          <t>Không đạt</t>
        </is>
      </c>
      <c r="R97" s="41" t="inlineStr"/>
      <c r="S97" s="41" t="inlineStr"/>
      <c r="T97" s="41" t="inlineStr">
        <is>
          <t>26/05/2026 02:10</t>
        </is>
      </c>
      <c r="U97" s="41" t="inlineStr"/>
      <c r="V97" s="44" t="inlineStr"/>
      <c r="W97" s="41" t="inlineStr"/>
      <c r="X97" s="44" t="inlineStr"/>
    </row>
    <row r="98" ht="80" customHeight="1">
      <c r="A98" s="41" t="inlineStr">
        <is>
          <t>TC-095</t>
        </is>
      </c>
      <c r="B98" s="54" t="inlineStr">
        <is>
          <t>DECISION</t>
        </is>
      </c>
      <c r="C98" s="45" t="inlineStr">
        <is>
          <t>P1</t>
        </is>
      </c>
      <c r="D98" s="44" t="inlineStr">
        <is>
          <t>Role × Endpoint Matrix</t>
        </is>
      </c>
      <c r="E98" s="44" t="inlineStr">
        <is>
          <t>Decision: ADMIN có thể tạo template</t>
        </is>
      </c>
      <c r="F98" s="41" t="inlineStr">
        <is>
          <t>REQ-FUNC-095</t>
        </is>
      </c>
      <c r="G98" s="41" t="inlineStr">
        <is>
          <t>Decision Table</t>
        </is>
      </c>
      <c r="H98" s="41" t="inlineStr">
        <is>
          <t>Cao</t>
        </is>
      </c>
      <c r="I98" s="44" t="inlineStr">
        <is>
          <t>Đăng nhập admin</t>
        </is>
      </c>
      <c r="J98" s="44" t="inlineStr">
        <is>
          <t>1. POST /templates với body hợp lệ</t>
        </is>
      </c>
      <c r="K98" s="44" t="inlineStr">
        <is>
          <t>user.admin</t>
        </is>
      </c>
      <c r="L98" s="44" t="inlineStr">
        <is>
          <t>user.admin</t>
        </is>
      </c>
      <c r="M98" s="44" t="inlineStr">
        <is>
          <t>201 Created</t>
        </is>
      </c>
      <c r="N98" s="44" t="inlineStr"/>
      <c r="O98" s="44" t="inlineStr"/>
      <c r="P98" s="41" t="inlineStr">
        <is>
          <t>[API] Đạt như expected. Thời gian: 0ms</t>
        </is>
      </c>
      <c r="Q98" s="44" t="inlineStr">
        <is>
          <t>Đạt</t>
        </is>
      </c>
      <c r="R98" s="41" t="inlineStr"/>
      <c r="S98" s="41" t="inlineStr"/>
      <c r="T98" s="41" t="inlineStr">
        <is>
          <t>26/05/2026 02:10</t>
        </is>
      </c>
      <c r="U98" s="41" t="inlineStr"/>
      <c r="V98" s="44" t="inlineStr"/>
      <c r="W98" s="41" t="inlineStr"/>
      <c r="X98" s="44" t="inlineStr"/>
    </row>
    <row r="99" ht="80" customHeight="1">
      <c r="A99" s="41" t="inlineStr">
        <is>
          <t>TC-096</t>
        </is>
      </c>
      <c r="B99" s="54" t="inlineStr">
        <is>
          <t>DECISION</t>
        </is>
      </c>
      <c r="C99" s="45" t="inlineStr">
        <is>
          <t>P1</t>
        </is>
      </c>
      <c r="D99" s="44" t="inlineStr">
        <is>
          <t>Role × Endpoint Matrix</t>
        </is>
      </c>
      <c r="E99" s="44" t="inlineStr">
        <is>
          <t>Decision: ADMIN có thể reset counter</t>
        </is>
      </c>
      <c r="F99" s="41" t="inlineStr">
        <is>
          <t>REQ-FUNC-096</t>
        </is>
      </c>
      <c r="G99" s="41" t="inlineStr">
        <is>
          <t>Decision Table</t>
        </is>
      </c>
      <c r="H99" s="41" t="inlineStr">
        <is>
          <t>Cao</t>
        </is>
      </c>
      <c r="I99" s="44" t="inlineStr">
        <is>
          <t>Đăng nhập admin</t>
        </is>
      </c>
      <c r="J99" s="44" t="inlineStr">
        <is>
          <t>1. POST /templates/{id}/reset-counter</t>
        </is>
      </c>
      <c r="K99" s="44" t="inlineStr">
        <is>
          <t>user.admin, template.incident.active</t>
        </is>
      </c>
      <c r="L99" s="44" t="inlineStr">
        <is>
          <t>user.admin, template.incident.active</t>
        </is>
      </c>
      <c r="M99" s="44" t="inlineStr">
        <is>
          <t>200 OK. Counter reset về 0</t>
        </is>
      </c>
      <c r="N99" s="44" t="inlineStr"/>
      <c r="O99" s="44" t="inlineStr"/>
      <c r="P99" s="41" t="inlineStr">
        <is>
          <t>[API] Không đạt - xem HTML report</t>
        </is>
      </c>
      <c r="Q99" s="44" t="inlineStr">
        <is>
          <t>Không đạt</t>
        </is>
      </c>
      <c r="R99" s="41" t="inlineStr"/>
      <c r="S99" s="41" t="inlineStr"/>
      <c r="T99" s="41" t="inlineStr">
        <is>
          <t>26/05/2026 02:10</t>
        </is>
      </c>
      <c r="U99" s="41" t="inlineStr"/>
      <c r="V99" s="44" t="inlineStr"/>
      <c r="W99" s="41" t="inlineStr"/>
      <c r="X99" s="44" t="inlineStr"/>
    </row>
    <row r="100" ht="80" customHeight="1">
      <c r="A100" s="41" t="inlineStr">
        <is>
          <t>TC-097</t>
        </is>
      </c>
      <c r="B100" s="54" t="inlineStr">
        <is>
          <t>DECISION</t>
        </is>
      </c>
      <c r="C100" s="45" t="inlineStr">
        <is>
          <t>P1</t>
        </is>
      </c>
      <c r="D100" s="44" t="inlineStr">
        <is>
          <t>Role × Endpoint Matrix</t>
        </is>
      </c>
      <c r="E100" s="44" t="inlineStr">
        <is>
          <t>Decision: OFFICER có thể gọi /draft</t>
        </is>
      </c>
      <c r="F100" s="41" t="inlineStr">
        <is>
          <t>REQ-FUNC-097</t>
        </is>
      </c>
      <c r="G100" s="41" t="inlineStr">
        <is>
          <t>Decision Table</t>
        </is>
      </c>
      <c r="H100" s="41" t="inlineStr">
        <is>
          <t>Cao</t>
        </is>
      </c>
      <c r="I100" s="44" t="inlineStr">
        <is>
          <t>Đăng nhập officer1</t>
        </is>
      </c>
      <c r="J100" s="44" t="inlineStr">
        <is>
          <t>1. POST /draft {documentType:"INCIDENT"}</t>
        </is>
      </c>
      <c r="K100" s="44" t="inlineStr">
        <is>
          <t>user.officer, template.incident.active</t>
        </is>
      </c>
      <c r="L100" s="44" t="inlineStr">
        <is>
          <t>user.officer, template.incident.active</t>
        </is>
      </c>
      <c r="M100" s="44" t="inlineStr">
        <is>
          <t>200. previewNumber trả về</t>
        </is>
      </c>
      <c r="N100" s="44" t="inlineStr"/>
      <c r="O100" s="44" t="inlineStr"/>
      <c r="P100" s="41" t="inlineStr">
        <is>
          <t>[API] Không đạt - xem HTML report</t>
        </is>
      </c>
      <c r="Q100" s="44" t="inlineStr">
        <is>
          <t>Không đạt</t>
        </is>
      </c>
      <c r="R100" s="41" t="inlineStr"/>
      <c r="S100" s="41" t="inlineStr"/>
      <c r="T100" s="41" t="inlineStr">
        <is>
          <t>26/05/2026 02:10</t>
        </is>
      </c>
      <c r="U100" s="41" t="inlineStr"/>
      <c r="V100" s="44" t="inlineStr"/>
      <c r="W100" s="41" t="inlineStr"/>
      <c r="X100" s="44" t="inlineStr"/>
    </row>
    <row r="101" ht="80" customHeight="1">
      <c r="A101" s="41" t="inlineStr">
        <is>
          <t>TC-098</t>
        </is>
      </c>
      <c r="B101" s="54" t="inlineStr">
        <is>
          <t>DECISION</t>
        </is>
      </c>
      <c r="C101" s="43" t="inlineStr">
        <is>
          <t>P0</t>
        </is>
      </c>
      <c r="D101" s="44" t="inlineStr">
        <is>
          <t>Role × Endpoint Matrix</t>
        </is>
      </c>
      <c r="E101" s="44" t="inlineStr">
        <is>
          <t>Decision: OFFICER KHÔNG thể gọi /reset-counter → 403</t>
        </is>
      </c>
      <c r="F101" s="41" t="inlineStr">
        <is>
          <t>REQ-FUNC-098</t>
        </is>
      </c>
      <c r="G101" s="41" t="inlineStr">
        <is>
          <t>Decision Table</t>
        </is>
      </c>
      <c r="H101" s="41" t="inlineStr">
        <is>
          <t>Cao</t>
        </is>
      </c>
      <c r="I101" s="44" t="inlineStr">
        <is>
          <t>Đăng nhập officer1</t>
        </is>
      </c>
      <c r="J101" s="44" t="inlineStr">
        <is>
          <t>1. POST /templates/{id}/reset-counter với token officer1</t>
        </is>
      </c>
      <c r="K101" s="44" t="inlineStr">
        <is>
          <t>user.officer, template.incident.active</t>
        </is>
      </c>
      <c r="L101" s="44" t="inlineStr">
        <is>
          <t>user.officer, template.incident.active</t>
        </is>
      </c>
      <c r="M101" s="44" t="inlineStr">
        <is>
          <t>403 Forbidden. Counter không đổi</t>
        </is>
      </c>
      <c r="N101" s="44" t="inlineStr"/>
      <c r="O101" s="44" t="inlineStr"/>
      <c r="P101" s="41" t="inlineStr">
        <is>
          <t>[API] Đạt như expected. Thời gian: 0ms</t>
        </is>
      </c>
      <c r="Q101" s="44" t="inlineStr">
        <is>
          <t>Đạt</t>
        </is>
      </c>
      <c r="R101" s="41" t="inlineStr"/>
      <c r="S101" s="41" t="inlineStr"/>
      <c r="T101" s="41" t="inlineStr">
        <is>
          <t>26/05/2026 02:10</t>
        </is>
      </c>
      <c r="U101" s="41" t="inlineStr"/>
      <c r="V101" s="44" t="inlineStr"/>
      <c r="W101" s="41" t="inlineStr"/>
      <c r="X101" s="44" t="inlineStr"/>
    </row>
    <row r="102" ht="80" customHeight="1">
      <c r="A102" s="41" t="inlineStr">
        <is>
          <t>TC-099</t>
        </is>
      </c>
      <c r="B102" s="54" t="inlineStr">
        <is>
          <t>DECISION</t>
        </is>
      </c>
      <c r="C102" s="43" t="inlineStr">
        <is>
          <t>P0</t>
        </is>
      </c>
      <c r="D102" s="44" t="inlineStr">
        <is>
          <t>Role × Endpoint Matrix</t>
        </is>
      </c>
      <c r="E102" s="44" t="inlineStr">
        <is>
          <t>Decision: OFFICER KHÔNG thể tạo template → 403</t>
        </is>
      </c>
      <c r="F102" s="41" t="inlineStr">
        <is>
          <t>REQ-FUNC-099</t>
        </is>
      </c>
      <c r="G102" s="41" t="inlineStr">
        <is>
          <t>Decision Table</t>
        </is>
      </c>
      <c r="H102" s="41" t="inlineStr">
        <is>
          <t>Cao</t>
        </is>
      </c>
      <c r="I102" s="44" t="inlineStr">
        <is>
          <t>Đăng nhập officer1</t>
        </is>
      </c>
      <c r="J102" s="44" t="inlineStr">
        <is>
          <t>1. POST /templates với body hợp lệ</t>
        </is>
      </c>
      <c r="K102" s="44" t="inlineStr">
        <is>
          <t>user.officer</t>
        </is>
      </c>
      <c r="L102" s="44" t="inlineStr">
        <is>
          <t>user.officer</t>
        </is>
      </c>
      <c r="M102" s="44" t="inlineStr">
        <is>
          <t>403 Forbidden</t>
        </is>
      </c>
      <c r="N102" s="44" t="inlineStr"/>
      <c r="O102" s="44" t="inlineStr"/>
      <c r="P102" s="41" t="inlineStr">
        <is>
          <t>[API] Đạt như expected. Thời gian: 0ms</t>
        </is>
      </c>
      <c r="Q102" s="44" t="inlineStr">
        <is>
          <t>Đạt</t>
        </is>
      </c>
      <c r="R102" s="41" t="inlineStr"/>
      <c r="S102" s="41" t="inlineStr"/>
      <c r="T102" s="41" t="inlineStr">
        <is>
          <t>26/05/2026 02:10</t>
        </is>
      </c>
      <c r="U102" s="41" t="inlineStr"/>
      <c r="V102" s="44" t="inlineStr"/>
      <c r="W102" s="41" t="inlineStr"/>
      <c r="X102" s="44" t="inlineStr"/>
    </row>
    <row r="103" ht="80" customHeight="1">
      <c r="A103" s="41" t="inlineStr">
        <is>
          <t>TC-100</t>
        </is>
      </c>
      <c r="B103" s="54" t="inlineStr">
        <is>
          <t>DECISION</t>
        </is>
      </c>
      <c r="C103" s="43" t="inlineStr">
        <is>
          <t>P0</t>
        </is>
      </c>
      <c r="D103" s="44" t="inlineStr">
        <is>
          <t>Role × Endpoint Matrix</t>
        </is>
      </c>
      <c r="E103" s="44" t="inlineStr">
        <is>
          <t>Decision: OFFICER KHÔNG thể delete template → 403</t>
        </is>
      </c>
      <c r="F103" s="41" t="inlineStr">
        <is>
          <t>REQ-FUNC-100</t>
        </is>
      </c>
      <c r="G103" s="41" t="inlineStr">
        <is>
          <t>Decision Table</t>
        </is>
      </c>
      <c r="H103" s="41" t="inlineStr">
        <is>
          <t>Cao</t>
        </is>
      </c>
      <c r="I103" s="44" t="inlineStr">
        <is>
          <t>Đăng nhập officer1</t>
        </is>
      </c>
      <c r="J103" s="44" t="inlineStr">
        <is>
          <t>1. DELETE /templates/{id}</t>
        </is>
      </c>
      <c r="K103" s="44" t="inlineStr">
        <is>
          <t>user.officer, template.incident.active</t>
        </is>
      </c>
      <c r="L103" s="44" t="inlineStr">
        <is>
          <t>user.officer, template.incident.active</t>
        </is>
      </c>
      <c r="M103" s="44" t="inlineStr">
        <is>
          <t>403 Forbidden. Template không bị xóa</t>
        </is>
      </c>
      <c r="N103" s="44" t="inlineStr"/>
      <c r="O103" s="44" t="inlineStr"/>
      <c r="P103" s="41" t="inlineStr">
        <is>
          <t>[API] Không đạt - xem HTML report</t>
        </is>
      </c>
      <c r="Q103" s="44" t="inlineStr">
        <is>
          <t>Không đạt</t>
        </is>
      </c>
      <c r="R103" s="41" t="inlineStr"/>
      <c r="S103" s="41" t="inlineStr">
        <is>
          <t>BUG-009</t>
        </is>
      </c>
      <c r="T103" s="41" t="inlineStr">
        <is>
          <t>26/05/2026 02:10</t>
        </is>
      </c>
      <c r="U103" s="41" t="inlineStr"/>
      <c r="V103" s="44" t="inlineStr"/>
      <c r="W103" s="41" t="inlineStr"/>
      <c r="X103" s="44" t="inlineStr"/>
    </row>
    <row r="104" ht="80" customHeight="1">
      <c r="A104" s="41" t="inlineStr">
        <is>
          <t>TC-101</t>
        </is>
      </c>
      <c r="B104" s="55" t="inlineStr">
        <is>
          <t>EP</t>
        </is>
      </c>
      <c r="C104" s="43" t="inlineStr">
        <is>
          <t>P0</t>
        </is>
      </c>
      <c r="D104" s="44" t="inlineStr">
        <is>
          <t>EP — documentType</t>
        </is>
      </c>
      <c r="E104" s="44" t="inlineStr">
        <is>
          <t>EP documentType: INCIDENT valid</t>
        </is>
      </c>
      <c r="F104" s="41" t="inlineStr">
        <is>
          <t>REQ-FUNC-101</t>
        </is>
      </c>
      <c r="G104" s="41" t="inlineStr">
        <is>
          <t>Equivalence Partitioning</t>
        </is>
      </c>
      <c r="H104" s="41" t="inlineStr">
        <is>
          <t>Cao</t>
        </is>
      </c>
      <c r="I104" s="44" t="inlineStr">
        <is>
          <t>Template INCIDENT active</t>
        </is>
      </c>
      <c r="J104" s="44" t="inlineStr">
        <is>
          <t>1. POST /draft {documentType:"INCIDENT"}</t>
        </is>
      </c>
      <c r="K104" s="44" t="inlineStr">
        <is>
          <t>template.incident.active, user.officer</t>
        </is>
      </c>
      <c r="L104" s="44" t="inlineStr">
        <is>
          <t>template.incident.active, user.officer</t>
        </is>
      </c>
      <c r="M104" s="44" t="inlineStr">
        <is>
          <t>200</t>
        </is>
      </c>
      <c r="N104" s="44" t="inlineStr"/>
      <c r="O104" s="44" t="inlineStr"/>
      <c r="P104" s="41" t="inlineStr">
        <is>
          <t>[API] Đạt như expected. Thời gian: 0ms</t>
        </is>
      </c>
      <c r="Q104" s="44" t="inlineStr">
        <is>
          <t>Đạt</t>
        </is>
      </c>
      <c r="R104" s="41" t="inlineStr"/>
      <c r="S104" s="41" t="inlineStr"/>
      <c r="T104" s="41" t="inlineStr">
        <is>
          <t>26/05/2026 02:10</t>
        </is>
      </c>
      <c r="U104" s="41" t="inlineStr"/>
      <c r="V104" s="44" t="inlineStr"/>
      <c r="W104" s="41" t="inlineStr"/>
      <c r="X104" s="44" t="inlineStr"/>
    </row>
    <row r="105" ht="80" customHeight="1">
      <c r="A105" s="41" t="inlineStr">
        <is>
          <t>TC-102</t>
        </is>
      </c>
      <c r="B105" s="55" t="inlineStr">
        <is>
          <t>EP</t>
        </is>
      </c>
      <c r="C105" s="43" t="inlineStr">
        <is>
          <t>P0</t>
        </is>
      </c>
      <c r="D105" s="44" t="inlineStr">
        <is>
          <t>EP — documentType</t>
        </is>
      </c>
      <c r="E105" s="44" t="inlineStr">
        <is>
          <t>EP documentType: PETITION valid</t>
        </is>
      </c>
      <c r="F105" s="41" t="inlineStr">
        <is>
          <t>REQ-FUNC-102</t>
        </is>
      </c>
      <c r="G105" s="41" t="inlineStr">
        <is>
          <t>Equivalence Partitioning</t>
        </is>
      </c>
      <c r="H105" s="41" t="inlineStr">
        <is>
          <t>Cao</t>
        </is>
      </c>
      <c r="I105" s="44" t="inlineStr">
        <is>
          <t>Template PETITION active</t>
        </is>
      </c>
      <c r="J105" s="44" t="inlineStr">
        <is>
          <t>1. POST /draft {documentType:"PETITION"}</t>
        </is>
      </c>
      <c r="K105" s="44" t="inlineStr">
        <is>
          <t>template.petition.active, user.officer</t>
        </is>
      </c>
      <c r="L105" s="44" t="inlineStr">
        <is>
          <t>template.petition.active, user.officer</t>
        </is>
      </c>
      <c r="M105" s="44" t="inlineStr">
        <is>
          <t>200</t>
        </is>
      </c>
      <c r="N105" s="44" t="inlineStr"/>
      <c r="O105" s="44" t="inlineStr"/>
      <c r="P105" s="41" t="inlineStr">
        <is>
          <t>[API] Đạt như expected. Thời gian: 0ms</t>
        </is>
      </c>
      <c r="Q105" s="44" t="inlineStr">
        <is>
          <t>Đạt</t>
        </is>
      </c>
      <c r="R105" s="41" t="inlineStr"/>
      <c r="S105" s="41" t="inlineStr"/>
      <c r="T105" s="41" t="inlineStr">
        <is>
          <t>26/05/2026 02:10</t>
        </is>
      </c>
      <c r="U105" s="41" t="inlineStr"/>
      <c r="V105" s="44" t="inlineStr"/>
      <c r="W105" s="41" t="inlineStr"/>
      <c r="X105" s="44" t="inlineStr"/>
    </row>
    <row r="106" ht="80" customHeight="1">
      <c r="A106" s="41" t="inlineStr">
        <is>
          <t>TC-103</t>
        </is>
      </c>
      <c r="B106" s="55" t="inlineStr">
        <is>
          <t>EP</t>
        </is>
      </c>
      <c r="C106" s="43" t="inlineStr">
        <is>
          <t>P0</t>
        </is>
      </c>
      <c r="D106" s="44" t="inlineStr">
        <is>
          <t>EP — documentType</t>
        </is>
      </c>
      <c r="E106" s="44" t="inlineStr">
        <is>
          <t>EP documentType: CASE valid</t>
        </is>
      </c>
      <c r="F106" s="41" t="inlineStr">
        <is>
          <t>REQ-FUNC-103</t>
        </is>
      </c>
      <c r="G106" s="41" t="inlineStr">
        <is>
          <t>Equivalence Partitioning</t>
        </is>
      </c>
      <c r="H106" s="41" t="inlineStr">
        <is>
          <t>Cao</t>
        </is>
      </c>
      <c r="I106" s="44" t="inlineStr">
        <is>
          <t>Template CASE active</t>
        </is>
      </c>
      <c r="J106" s="44" t="inlineStr">
        <is>
          <t>1. POST /draft {documentType:"CASE"}</t>
        </is>
      </c>
      <c r="K106" s="44" t="inlineStr">
        <is>
          <t>template.case.active, user.officer</t>
        </is>
      </c>
      <c r="L106" s="44" t="inlineStr">
        <is>
          <t>template.case.active, user.officer</t>
        </is>
      </c>
      <c r="M106" s="44" t="inlineStr">
        <is>
          <t>200</t>
        </is>
      </c>
      <c r="N106" s="44" t="inlineStr"/>
      <c r="O106" s="44" t="inlineStr"/>
      <c r="P106" s="41" t="inlineStr">
        <is>
          <t>[API] Đạt như expected. Thời gian: 0ms</t>
        </is>
      </c>
      <c r="Q106" s="44" t="inlineStr">
        <is>
          <t>Đạt</t>
        </is>
      </c>
      <c r="R106" s="41" t="inlineStr"/>
      <c r="S106" s="41" t="inlineStr"/>
      <c r="T106" s="41" t="inlineStr">
        <is>
          <t>26/05/2026 02:10</t>
        </is>
      </c>
      <c r="U106" s="41" t="inlineStr"/>
      <c r="V106" s="44" t="inlineStr"/>
      <c r="W106" s="41" t="inlineStr"/>
      <c r="X106" s="44" t="inlineStr"/>
    </row>
    <row r="107" ht="80" customHeight="1">
      <c r="A107" s="41" t="inlineStr">
        <is>
          <t>TC-104</t>
        </is>
      </c>
      <c r="B107" s="55" t="inlineStr">
        <is>
          <t>EP</t>
        </is>
      </c>
      <c r="C107" s="45" t="inlineStr">
        <is>
          <t>P1</t>
        </is>
      </c>
      <c r="D107" s="44" t="inlineStr">
        <is>
          <t>EP — documentType</t>
        </is>
      </c>
      <c r="E107" s="44" t="inlineStr">
        <is>
          <t>EP documentType: null → 400</t>
        </is>
      </c>
      <c r="F107" s="41" t="inlineStr">
        <is>
          <t>REQ-FUNC-104</t>
        </is>
      </c>
      <c r="G107" s="41" t="inlineStr">
        <is>
          <t>Equivalence Partitioning</t>
        </is>
      </c>
      <c r="H107" s="41" t="inlineStr">
        <is>
          <t>Cao</t>
        </is>
      </c>
      <c r="I107" s="44" t="inlineStr">
        <is>
          <t>Đăng nhập officer</t>
        </is>
      </c>
      <c r="J107" s="44" t="inlineStr">
        <is>
          <t>1. POST /draft {documentType:null}</t>
        </is>
      </c>
      <c r="K107" s="44" t="inlineStr">
        <is>
          <t>user.officer</t>
        </is>
      </c>
      <c r="L107" s="44" t="inlineStr">
        <is>
          <t>user.officer</t>
        </is>
      </c>
      <c r="M107" s="44" t="inlineStr">
        <is>
          <t>400 Bad Request</t>
        </is>
      </c>
      <c r="N107" s="44" t="inlineStr"/>
      <c r="O107" s="44" t="inlineStr"/>
      <c r="P107" s="41" t="inlineStr">
        <is>
          <t>[API] Không đạt - xem HTML report</t>
        </is>
      </c>
      <c r="Q107" s="44" t="inlineStr">
        <is>
          <t>Không đạt</t>
        </is>
      </c>
      <c r="R107" s="41" t="inlineStr"/>
      <c r="S107" s="41" t="inlineStr">
        <is>
          <t>BUG-010</t>
        </is>
      </c>
      <c r="T107" s="41" t="inlineStr">
        <is>
          <t>26/05/2026 02:10</t>
        </is>
      </c>
      <c r="U107" s="41" t="inlineStr"/>
      <c r="V107" s="44" t="inlineStr"/>
      <c r="W107" s="41" t="inlineStr"/>
      <c r="X107" s="44" t="inlineStr"/>
    </row>
    <row r="108" ht="80" customHeight="1">
      <c r="A108" s="41" t="inlineStr">
        <is>
          <t>TC-105</t>
        </is>
      </c>
      <c r="B108" s="55" t="inlineStr">
        <is>
          <t>EP</t>
        </is>
      </c>
      <c r="C108" s="45" t="inlineStr">
        <is>
          <t>P1</t>
        </is>
      </c>
      <c r="D108" s="44" t="inlineStr">
        <is>
          <t>EP — documentType</t>
        </is>
      </c>
      <c r="E108" s="44" t="inlineStr">
        <is>
          <t>EP documentType: số nguyên → 400</t>
        </is>
      </c>
      <c r="F108" s="41" t="inlineStr">
        <is>
          <t>REQ-FUNC-105</t>
        </is>
      </c>
      <c r="G108" s="41" t="inlineStr">
        <is>
          <t>Equivalence Partitioning</t>
        </is>
      </c>
      <c r="H108" s="41" t="inlineStr">
        <is>
          <t>Cao</t>
        </is>
      </c>
      <c r="I108" s="44" t="inlineStr">
        <is>
          <t>Đăng nhập officer</t>
        </is>
      </c>
      <c r="J108" s="44" t="inlineStr">
        <is>
          <t>1. POST /draft {documentType:12345}</t>
        </is>
      </c>
      <c r="K108" s="44" t="inlineStr">
        <is>
          <t>user.officer</t>
        </is>
      </c>
      <c r="L108" s="44" t="inlineStr">
        <is>
          <t>user.officer</t>
        </is>
      </c>
      <c r="M108" s="44" t="inlineStr">
        <is>
          <t>400 Bad Request</t>
        </is>
      </c>
      <c r="N108" s="44" t="inlineStr"/>
      <c r="O108" s="44" t="inlineStr"/>
      <c r="P108" s="41" t="inlineStr">
        <is>
          <t>[API] Không đạt - xem HTML report</t>
        </is>
      </c>
      <c r="Q108" s="44" t="inlineStr">
        <is>
          <t>Không đạt</t>
        </is>
      </c>
      <c r="R108" s="41" t="inlineStr"/>
      <c r="S108" s="41" t="inlineStr">
        <is>
          <t>BUG-011</t>
        </is>
      </c>
      <c r="T108" s="41" t="inlineStr">
        <is>
          <t>26/05/2026 02:10</t>
        </is>
      </c>
      <c r="U108" s="41" t="inlineStr"/>
      <c r="V108" s="44" t="inlineStr"/>
      <c r="W108" s="41" t="inlineStr"/>
      <c r="X108" s="44" t="inlineStr"/>
    </row>
    <row r="109" ht="80" customHeight="1">
      <c r="A109" s="41" t="inlineStr">
        <is>
          <t>TC-106</t>
        </is>
      </c>
      <c r="B109" s="56" t="inlineStr">
        <is>
          <t>A11Y</t>
        </is>
      </c>
      <c r="C109" s="45" t="inlineStr">
        <is>
          <t>P1</t>
        </is>
      </c>
      <c r="D109" s="44" t="inlineStr">
        <is>
          <t>A11Y — DocNumberPreviewField</t>
        </is>
      </c>
      <c r="E109" s="44" t="inlineStr">
        <is>
          <t>A11Y: DocNumberPreviewField AUTO mode có aria-label mô tả</t>
        </is>
      </c>
      <c r="F109" s="41" t="inlineStr">
        <is>
          <t>REQ-A11Y-106</t>
        </is>
      </c>
      <c r="G109" s="41" t="inlineStr">
        <is>
          <t>WCAG 2.1 AA</t>
        </is>
      </c>
      <c r="H109" s="41" t="inlineStr">
        <is>
          <t>Cao</t>
        </is>
      </c>
      <c r="I109" s="44" t="inlineStr">
        <is>
          <t>Form tạo vụ việc, trình đọc màn hình NVDA/JAWS</t>
        </is>
      </c>
      <c r="J109" s="44" t="inlineStr">
        <is>
          <t>1. Tab đến field Mã vụ việc
2. Nghe screen reader đọc</t>
        </is>
      </c>
      <c r="K109" s="44" t="inlineStr">
        <is>
          <t>template.incident.active, user.officer</t>
        </is>
      </c>
      <c r="L109" s="44" t="inlineStr">
        <is>
          <t>template.incident.active, user.officer</t>
        </is>
      </c>
      <c r="M109" s="44" t="inlineStr">
        <is>
          <t>Screen reader đọc: 'Mã vụ việc: VV-2026-00108, Tự động sinh'. Không đọc mã kỹ thuật như UUID. aria-label hoặc aria-describedby có mô tả đầy đủ</t>
        </is>
      </c>
      <c r="N109" s="44" t="inlineStr"/>
      <c r="O109" s="44" t="inlineStr"/>
      <c r="P109" s="41" t="inlineStr">
        <is>
          <t>High
[E2E] Đạt như expected. Thời gian: 0ms</t>
        </is>
      </c>
      <c r="Q109" s="44" t="inlineStr"/>
      <c r="R109" s="41" t="inlineStr">
        <is>
          <t>Đạt</t>
        </is>
      </c>
      <c r="S109" s="41" t="inlineStr"/>
      <c r="T109" s="41" t="inlineStr">
        <is>
          <t>25/05/2026 15:54</t>
        </is>
      </c>
      <c r="U109" s="41" t="inlineStr">
        <is>
          <t>R1:Đạt</t>
        </is>
      </c>
      <c r="V109" s="44" t="inlineStr"/>
      <c r="W109" s="41" t="inlineStr"/>
      <c r="X109" s="44" t="inlineStr"/>
    </row>
    <row r="110" ht="80" customHeight="1">
      <c r="A110" s="41" t="inlineStr">
        <is>
          <t>TC-107</t>
        </is>
      </c>
      <c r="B110" s="56" t="inlineStr">
        <is>
          <t>A11Y</t>
        </is>
      </c>
      <c r="C110" s="48" t="inlineStr">
        <is>
          <t>P2</t>
        </is>
      </c>
      <c r="D110" s="44" t="inlineStr">
        <is>
          <t>A11Y — DocNumberPreviewField</t>
        </is>
      </c>
      <c r="E110" s="44" t="inlineStr">
        <is>
          <t>A11Y: lock icon trong DocNumberPreviewField có aria-hidden</t>
        </is>
      </c>
      <c r="F110" s="41" t="inlineStr">
        <is>
          <t>REQ-A11Y-107</t>
        </is>
      </c>
      <c r="G110" s="41" t="inlineStr">
        <is>
          <t>WCAG 2.1 AA</t>
        </is>
      </c>
      <c r="H110" s="41" t="inlineStr">
        <is>
          <t>TB</t>
        </is>
      </c>
      <c r="I110" s="44" t="inlineStr">
        <is>
          <t>Form tạo vụ việc</t>
        </is>
      </c>
      <c r="J110" s="44" t="inlineStr">
        <is>
          <t>1. Inspect DOM của field
2. Kiểm tra lock icon SVG</t>
        </is>
      </c>
      <c r="K110" s="44" t="inlineStr">
        <is>
          <t>template.incident.active, user.officer</t>
        </is>
      </c>
      <c r="L110" s="44" t="inlineStr">
        <is>
          <t>template.incident.active, user.officer</t>
        </is>
      </c>
      <c r="M110" s="44" t="inlineStr">
        <is>
          <t>Lock icon SVG có aria-hidden='true'. Screen reader không đọc icon, chỉ đọc text và aria-label</t>
        </is>
      </c>
      <c r="N110" s="44" t="inlineStr"/>
      <c r="O110" s="44" t="inlineStr"/>
      <c r="P110" s="41" t="inlineStr">
        <is>
          <t>Medium
[E2E] Đạt như expected. Thời gian: 0ms</t>
        </is>
      </c>
      <c r="Q110" s="44" t="inlineStr"/>
      <c r="R110" s="41" t="inlineStr">
        <is>
          <t>Đạt</t>
        </is>
      </c>
      <c r="S110" s="41" t="inlineStr"/>
      <c r="T110" s="41" t="inlineStr">
        <is>
          <t>25/05/2026 15:54</t>
        </is>
      </c>
      <c r="U110" s="41" t="inlineStr">
        <is>
          <t>R1:Đạt</t>
        </is>
      </c>
      <c r="V110" s="44" t="inlineStr"/>
      <c r="W110" s="41" t="inlineStr"/>
      <c r="X110" s="44" t="inlineStr"/>
    </row>
    <row r="111" ht="80" customHeight="1">
      <c r="A111" s="41" t="inlineStr">
        <is>
          <t>TC-108</t>
        </is>
      </c>
      <c r="B111" s="56" t="inlineStr">
        <is>
          <t>A11Y</t>
        </is>
      </c>
      <c r="C111" s="45" t="inlineStr">
        <is>
          <t>P1</t>
        </is>
      </c>
      <c r="D111" s="44" t="inlineStr">
        <is>
          <t>A11Y — DocNumberPreviewField OVERRIDE</t>
        </is>
      </c>
      <c r="E111" s="44" t="inlineStr">
        <is>
          <t>A11Y: nút 'Nhập tay' focusable bằng keyboard (Tab)</t>
        </is>
      </c>
      <c r="F111" s="41" t="inlineStr">
        <is>
          <t>REQ-A11Y-108</t>
        </is>
      </c>
      <c r="G111" s="41" t="inlineStr">
        <is>
          <t>WCAG 2.1 AA</t>
        </is>
      </c>
      <c r="H111" s="41" t="inlineStr">
        <is>
          <t>Cao</t>
        </is>
      </c>
      <c r="I111" s="44" t="inlineStr">
        <is>
          <t>Form vật chứng, inputMode=AUTO_WITH_OVERRIDE</t>
        </is>
      </c>
      <c r="J111" s="44" t="inlineStr">
        <is>
          <t>1. Tab đến field vật chứng
2. Tab một lần nữa → focus vào nút 'Nhập tay'
3. Enter để click</t>
        </is>
      </c>
      <c r="K111" s="44" t="inlineStr">
        <is>
          <t>template.evidence.override, user.officer</t>
        </is>
      </c>
      <c r="L111" s="44" t="inlineStr">
        <is>
          <t>template.evidence.override, user.officer</t>
        </is>
      </c>
      <c r="M111" s="44" t="inlineStr">
        <is>
          <t>Nút 'Nhập tay' nhận focus (visible focus ring). Enter kích hoạt toggle sang manual mode. Không cần chuột</t>
        </is>
      </c>
      <c r="N111" s="44" t="inlineStr"/>
      <c r="O111" s="44" t="inlineStr"/>
      <c r="P111" s="41" t="inlineStr">
        <is>
          <t>High
[E2E] Lỗi: TimeoutError: page.waitForURL: Timeout 10000ms exceeded.
=========================== logs ===========================
waiting for navigation until "load"
==============================================</t>
        </is>
      </c>
      <c r="Q111" s="44" t="inlineStr"/>
      <c r="R111" s="41" t="inlineStr">
        <is>
          <t>Không đạt</t>
        </is>
      </c>
      <c r="S111" s="41" t="inlineStr">
        <is>
          <t>BUG-116</t>
        </is>
      </c>
      <c r="T111" s="41" t="inlineStr">
        <is>
          <t>25/05/2026 15:54</t>
        </is>
      </c>
      <c r="U111" s="41" t="inlineStr">
        <is>
          <t>R1:Không đạt</t>
        </is>
      </c>
      <c r="V111" s="44" t="inlineStr"/>
      <c r="W111" s="41" t="inlineStr"/>
      <c r="X111" s="44" t="inlineStr"/>
    </row>
    <row r="112" ht="80" customHeight="1">
      <c r="A112" s="41" t="inlineStr">
        <is>
          <t>TC-109</t>
        </is>
      </c>
      <c r="B112" s="56" t="inlineStr">
        <is>
          <t>A11Y</t>
        </is>
      </c>
      <c r="C112" s="45" t="inlineStr">
        <is>
          <t>P1</t>
        </is>
      </c>
      <c r="D112" s="44" t="inlineStr">
        <is>
          <t>A11Y — TemplateFormModal</t>
        </is>
      </c>
      <c r="E112" s="44" t="inlineStr">
        <is>
          <t>A11Y: modal TemplateFormModal trap focus khi mở</t>
        </is>
      </c>
      <c r="F112" s="41" t="inlineStr">
        <is>
          <t>REQ-A11Y-109</t>
        </is>
      </c>
      <c r="G112" s="41" t="inlineStr">
        <is>
          <t>WCAG 2.1 AA</t>
        </is>
      </c>
      <c r="H112" s="41" t="inlineStr">
        <is>
          <t>Cao</t>
        </is>
      </c>
      <c r="I112" s="44" t="inlineStr">
        <is>
          <t>Admin mở modal 'Thêm mới'</t>
        </is>
      </c>
      <c r="J112" s="44" t="inlineStr">
        <is>
          <t>1. Mở modal
2. Tab nhiều lần
3. Shift+Tab từ element đầu tiên</t>
        </is>
      </c>
      <c r="K112" s="44" t="inlineStr">
        <is>
          <t>user.admin</t>
        </is>
      </c>
      <c r="L112" s="44" t="inlineStr">
        <is>
          <t>user.admin</t>
        </is>
      </c>
      <c r="M112" s="44" t="inlineStr">
        <is>
          <t>Focus cycle trong modal: không thoát ra ngoài. Shift+Tab từ element đầu → focus về element cuối. Không trapped ở ngoài modal</t>
        </is>
      </c>
      <c r="N112" s="44" t="inlineStr"/>
      <c r="O112" s="44" t="inlineStr"/>
      <c r="P112" s="41" t="inlineStr">
        <is>
          <t>High
[E2E] Lỗi: Error: expect(received).toBe(expected) // Object.is equality
Expected: false
Received: true
  87 |     await page.waitForT</t>
        </is>
      </c>
      <c r="Q112" s="44" t="inlineStr"/>
      <c r="R112" s="41" t="inlineStr">
        <is>
          <t>Không đạt</t>
        </is>
      </c>
      <c r="S112" s="41" t="inlineStr">
        <is>
          <t>BUG-117</t>
        </is>
      </c>
      <c r="T112" s="41" t="inlineStr">
        <is>
          <t>25/05/2026 15:54</t>
        </is>
      </c>
      <c r="U112" s="41" t="inlineStr">
        <is>
          <t>R1:Không đạt</t>
        </is>
      </c>
      <c r="V112" s="44" t="inlineStr"/>
      <c r="W112" s="41" t="inlineStr"/>
      <c r="X112" s="44" t="inlineStr"/>
    </row>
    <row r="113" ht="80" customHeight="1">
      <c r="A113" s="41" t="inlineStr">
        <is>
          <t>TC-110</t>
        </is>
      </c>
      <c r="B113" s="56" t="inlineStr">
        <is>
          <t>A11Y</t>
        </is>
      </c>
      <c r="C113" s="45" t="inlineStr">
        <is>
          <t>P1</t>
        </is>
      </c>
      <c r="D113" s="44" t="inlineStr">
        <is>
          <t>A11Y — TemplateFormModal</t>
        </is>
      </c>
      <c r="E113" s="44" t="inlineStr">
        <is>
          <t>A11Y: Escape key đóng modal TemplateFormModal</t>
        </is>
      </c>
      <c r="F113" s="41" t="inlineStr">
        <is>
          <t>REQ-A11Y-110</t>
        </is>
      </c>
      <c r="G113" s="41" t="inlineStr">
        <is>
          <t>WCAG 2.1 AA</t>
        </is>
      </c>
      <c r="H113" s="41" t="inlineStr">
        <is>
          <t>Cao</t>
        </is>
      </c>
      <c r="I113" s="44" t="inlineStr">
        <is>
          <t>Admin, modal đang mở</t>
        </is>
      </c>
      <c r="J113" s="44" t="inlineStr">
        <is>
          <t>1. Mở modal
2. Nhấn Escape</t>
        </is>
      </c>
      <c r="K113" s="44" t="inlineStr">
        <is>
          <t>user.admin</t>
        </is>
      </c>
      <c r="L113" s="44" t="inlineStr">
        <is>
          <t>user.admin</t>
        </is>
      </c>
      <c r="M113" s="44" t="inlineStr">
        <is>
          <t>Modal đóng. Focus trả về nút 'Thêm mới' (trigger). Không mất context</t>
        </is>
      </c>
      <c r="N113" s="44" t="inlineStr"/>
      <c r="O113" s="44" t="inlineStr"/>
      <c r="P113" s="41" t="inlineStr">
        <is>
          <t>High
[E2E] Lỗi: TimeoutError: page.waitForURL: Timeout 10000ms exceeded.
=========================== logs ===========================
waiting for navigation until "load"
==============================================</t>
        </is>
      </c>
      <c r="Q113" s="44" t="inlineStr"/>
      <c r="R113" s="41" t="inlineStr">
        <is>
          <t>Không đạt</t>
        </is>
      </c>
      <c r="S113" s="41" t="inlineStr">
        <is>
          <t>BUG-118</t>
        </is>
      </c>
      <c r="T113" s="41" t="inlineStr">
        <is>
          <t>25/05/2026 15:54</t>
        </is>
      </c>
      <c r="U113" s="41" t="inlineStr">
        <is>
          <t>R1:Không đạt</t>
        </is>
      </c>
      <c r="V113" s="44" t="inlineStr"/>
      <c r="W113" s="41" t="inlineStr"/>
      <c r="X113" s="44" t="inlineStr"/>
    </row>
    <row r="114" ht="80" customHeight="1">
      <c r="A114" s="41" t="inlineStr">
        <is>
          <t>TC-111</t>
        </is>
      </c>
      <c r="B114" s="56" t="inlineStr">
        <is>
          <t>A11Y</t>
        </is>
      </c>
      <c r="C114" s="48" t="inlineStr">
        <is>
          <t>P2</t>
        </is>
      </c>
      <c r="D114" s="44" t="inlineStr">
        <is>
          <t>A11Y — Color Contrast</t>
        </is>
      </c>
      <c r="E114" s="44" t="inlineStr">
        <is>
          <t>A11Y: badge inputMode có đủ contrast 4.5:1 (WCAG AA)</t>
        </is>
      </c>
      <c r="F114" s="41" t="inlineStr">
        <is>
          <t>REQ-A11Y-111</t>
        </is>
      </c>
      <c r="G114" s="41" t="inlineStr">
        <is>
          <t>WCAG 2.1 AA</t>
        </is>
      </c>
      <c r="H114" s="41" t="inlineStr">
        <is>
          <t>TB</t>
        </is>
      </c>
      <c r="I114" s="44" t="inlineStr">
        <is>
          <t>Trang /settings/document-numbers</t>
        </is>
      </c>
      <c r="J114" s="44" t="inlineStr">
        <is>
          <t>1. Kiểm tra badge 'Tự động' (xanh lá) bằng browser DevTools Accessibility panel
2. Tính contrast ratio</t>
        </is>
      </c>
      <c r="K114" s="44" t="inlineStr">
        <is>
          <t>user.admin, templates.all_seeded</t>
        </is>
      </c>
      <c r="L114" s="44" t="inlineStr">
        <is>
          <t>user.admin, templates.all_seeded</t>
        </is>
      </c>
      <c r="M114" s="44" t="inlineStr">
        <is>
          <t>Contrast ratio badge text vs background &gt;= 4.5:1. Nếu dùng --docnum-auto-bg=#dcfce7, --docnum-auto-text=#166534 → ratio ≈ 7.5:1 (PASS)</t>
        </is>
      </c>
      <c r="N114" s="44" t="inlineStr"/>
      <c r="O114" s="44" t="inlineStr"/>
      <c r="P114" s="41" t="inlineStr">
        <is>
          <t>Medium
[E2E] Lỗi: TimeoutError: page.waitForURL: Timeout 10000ms exceeded.
=========================== logs ===========================
waiting for navigation until "load"
==============================================</t>
        </is>
      </c>
      <c r="Q114" s="44" t="inlineStr"/>
      <c r="R114" s="41" t="inlineStr">
        <is>
          <t>Không đạt</t>
        </is>
      </c>
      <c r="S114" s="41" t="inlineStr">
        <is>
          <t>BUG-119</t>
        </is>
      </c>
      <c r="T114" s="41" t="inlineStr">
        <is>
          <t>25/05/2026 15:54</t>
        </is>
      </c>
      <c r="U114" s="41" t="inlineStr">
        <is>
          <t>R1:Không đạt</t>
        </is>
      </c>
      <c r="V114" s="44" t="inlineStr"/>
      <c r="W114" s="41" t="inlineStr"/>
      <c r="X114" s="44" t="inlineStr"/>
    </row>
    <row r="115" ht="80" customHeight="1">
      <c r="A115" s="41" t="inlineStr">
        <is>
          <t>TC-112</t>
        </is>
      </c>
      <c r="B115" s="56" t="inlineStr">
        <is>
          <t>A11Y</t>
        </is>
      </c>
      <c r="C115" s="48" t="inlineStr">
        <is>
          <t>P2</t>
        </is>
      </c>
      <c r="D115" s="44" t="inlineStr">
        <is>
          <t>A11Y — Table</t>
        </is>
      </c>
      <c r="E115" s="44" t="inlineStr">
        <is>
          <t>A11Y: Settings page table có caption/role='table' và headers scope</t>
        </is>
      </c>
      <c r="F115" s="41" t="inlineStr">
        <is>
          <t>REQ-A11Y-112</t>
        </is>
      </c>
      <c r="G115" s="41" t="inlineStr">
        <is>
          <t>WCAG 2.1 AA</t>
        </is>
      </c>
      <c r="H115" s="41" t="inlineStr">
        <is>
          <t>TB</t>
        </is>
      </c>
      <c r="I115" s="44" t="inlineStr">
        <is>
          <t>Đăng nhập admin, trang settings</t>
        </is>
      </c>
      <c r="J115" s="44" t="inlineStr">
        <is>
          <t>1. Inspect DOM của table danh sách templates
2. Kiểm tra markup</t>
        </is>
      </c>
      <c r="K115" s="44" t="inlineStr">
        <is>
          <t>user.admin, templates.all_seeded</t>
        </is>
      </c>
      <c r="L115" s="44" t="inlineStr">
        <is>
          <t>user.admin, templates.all_seeded</t>
        </is>
      </c>
      <c r="M115" s="44" t="inlineStr">
        <is>
          <t>&lt;table&gt; có &lt;caption&gt; hoặc aria-label. &lt;th&gt; có scope='col'. Screen reader có thể đọc 'Tên: Mã vụ việc, Loại: INCIDENT, ...'</t>
        </is>
      </c>
      <c r="N115" s="44" t="inlineStr"/>
      <c r="O115" s="44" t="inlineStr"/>
      <c r="P115" s="41" t="inlineStr">
        <is>
          <t>Medium
[E2E] Lỗi: TimeoutError: page.waitForURL: Timeout 10000ms exceeded.
=========================== logs ===========================
waiting for navigation until "load"
==============================================</t>
        </is>
      </c>
      <c r="Q115" s="44" t="inlineStr"/>
      <c r="R115" s="41" t="inlineStr">
        <is>
          <t>Không đạt</t>
        </is>
      </c>
      <c r="S115" s="41" t="inlineStr">
        <is>
          <t>BUG-120</t>
        </is>
      </c>
      <c r="T115" s="41" t="inlineStr">
        <is>
          <t>25/05/2026 15:54</t>
        </is>
      </c>
      <c r="U115" s="41" t="inlineStr">
        <is>
          <t>R1:Không đạt</t>
        </is>
      </c>
      <c r="V115" s="44" t="inlineStr"/>
      <c r="W115" s="41" t="inlineStr"/>
      <c r="X115" s="44" t="inlineStr"/>
    </row>
    <row r="116" ht="80" customHeight="1">
      <c r="A116" s="41" t="inlineStr">
        <is>
          <t>TC-113</t>
        </is>
      </c>
      <c r="B116" s="56" t="inlineStr">
        <is>
          <t>A11Y</t>
        </is>
      </c>
      <c r="C116" s="45" t="inlineStr">
        <is>
          <t>P1</t>
        </is>
      </c>
      <c r="D116" s="44" t="inlineStr">
        <is>
          <t>A11Y — Error Messages</t>
        </is>
      </c>
      <c r="E116" s="44" t="inlineStr">
        <is>
          <t>A11Y: thông báo error validation role='alert' để screen reader đọc</t>
        </is>
      </c>
      <c r="F116" s="41" t="inlineStr">
        <is>
          <t>REQ-A11Y-113</t>
        </is>
      </c>
      <c r="G116" s="41" t="inlineStr">
        <is>
          <t>WCAG 2.1 AA</t>
        </is>
      </c>
      <c r="H116" s="41" t="inlineStr">
        <is>
          <t>Cao</t>
        </is>
      </c>
      <c r="I116" s="44" t="inlineStr">
        <is>
          <t>Admin, modal tạo template</t>
        </is>
      </c>
      <c r="J116" s="44" t="inlineStr">
        <is>
          <t>1. Submit form thiếu name
2. Kiểm tra DOM của error message</t>
        </is>
      </c>
      <c r="K116" s="44" t="inlineStr">
        <is>
          <t>user.admin</t>
        </is>
      </c>
      <c r="L116" s="44" t="inlineStr">
        <is>
          <t>user.admin</t>
        </is>
      </c>
      <c r="M116" s="44" t="inlineStr">
        <is>
          <t>Error message có role='alert' hoặc aria-live='assertive'. Screen reader thông báo lỗi ngay khi xuất hiện</t>
        </is>
      </c>
      <c r="N116" s="44" t="inlineStr"/>
      <c r="O116" s="44" t="inlineStr"/>
      <c r="P116" s="41" t="inlineStr">
        <is>
          <t>High
[E2E] Đạt như expected. Thời gian: 0ms</t>
        </is>
      </c>
      <c r="Q116" s="44" t="inlineStr"/>
      <c r="R116" s="41" t="inlineStr">
        <is>
          <t>Đạt</t>
        </is>
      </c>
      <c r="S116" s="41" t="inlineStr"/>
      <c r="T116" s="41" t="inlineStr">
        <is>
          <t>25/05/2026 15:54</t>
        </is>
      </c>
      <c r="U116" s="41" t="inlineStr">
        <is>
          <t>R1:Đạt</t>
        </is>
      </c>
      <c r="V116" s="44" t="inlineStr"/>
      <c r="W116" s="41" t="inlineStr"/>
      <c r="X116" s="44" t="inlineStr"/>
    </row>
    <row r="117" ht="80" customHeight="1">
      <c r="A117" s="41" t="inlineStr">
        <is>
          <t>TC-114</t>
        </is>
      </c>
      <c r="B117" s="57" t="inlineStr">
        <is>
          <t>COMPAT</t>
        </is>
      </c>
      <c r="C117" s="45" t="inlineStr">
        <is>
          <t>P1</t>
        </is>
      </c>
      <c r="D117" s="44" t="inlineStr">
        <is>
          <t>COMPAT — Browser</t>
        </is>
      </c>
      <c r="E117" s="44" t="inlineStr">
        <is>
          <t>COMPAT: Chrome 120+ — trang settings render đúng</t>
        </is>
      </c>
      <c r="F117" s="41" t="inlineStr">
        <is>
          <t>REQ-COMPAT-114</t>
        </is>
      </c>
      <c r="G117" s="41" t="inlineStr">
        <is>
          <t>Browser / Device</t>
        </is>
      </c>
      <c r="H117" s="41" t="inlineStr">
        <is>
          <t>Cao</t>
        </is>
      </c>
      <c r="I117" s="44" t="inlineStr">
        <is>
          <t>Chrome 120+, đăng nhập admin</t>
        </is>
      </c>
      <c r="J117" s="44" t="inlineStr">
        <is>
          <t>1. Vào /settings/document-numbers trên Chrome 120+</t>
        </is>
      </c>
      <c r="K117" s="44" t="inlineStr">
        <is>
          <t>user.admin, templates.all_seeded</t>
        </is>
      </c>
      <c r="L117" s="44" t="inlineStr">
        <is>
          <t>user.admin, templates.all_seeded</t>
        </is>
      </c>
      <c r="M117" s="44" t="inlineStr">
        <is>
          <t>Table render đúng, badge hiển thị màu đúng, modal mở đúng. Không lỗi console JS</t>
        </is>
      </c>
      <c r="N117" s="44" t="inlineStr"/>
      <c r="O117" s="44" t="inlineStr"/>
      <c r="P117" s="41" t="inlineStr">
        <is>
          <t>High
[E2E] Đạt như expected. Thời gian: 0ms</t>
        </is>
      </c>
      <c r="Q117" s="44" t="inlineStr"/>
      <c r="R117" s="41" t="inlineStr">
        <is>
          <t>Đạt</t>
        </is>
      </c>
      <c r="S117" s="41" t="inlineStr"/>
      <c r="T117" s="41" t="inlineStr">
        <is>
          <t>25/05/2026 15:54</t>
        </is>
      </c>
      <c r="U117" s="41" t="inlineStr">
        <is>
          <t>R1:Đạt</t>
        </is>
      </c>
      <c r="V117" s="44" t="inlineStr"/>
      <c r="W117" s="41" t="inlineStr"/>
      <c r="X117" s="44" t="inlineStr"/>
    </row>
    <row r="118" ht="80" customHeight="1">
      <c r="A118" s="41" t="inlineStr">
        <is>
          <t>TC-115</t>
        </is>
      </c>
      <c r="B118" s="57" t="inlineStr">
        <is>
          <t>COMPAT</t>
        </is>
      </c>
      <c r="C118" s="45" t="inlineStr">
        <is>
          <t>P1</t>
        </is>
      </c>
      <c r="D118" s="44" t="inlineStr">
        <is>
          <t>COMPAT — Browser</t>
        </is>
      </c>
      <c r="E118" s="44" t="inlineStr">
        <is>
          <t>COMPAT: Edge 120+ — modal và form hoạt động</t>
        </is>
      </c>
      <c r="F118" s="41" t="inlineStr">
        <is>
          <t>REQ-COMPAT-115</t>
        </is>
      </c>
      <c r="G118" s="41" t="inlineStr">
        <is>
          <t>Browser / Device</t>
        </is>
      </c>
      <c r="H118" s="41" t="inlineStr">
        <is>
          <t>Cao</t>
        </is>
      </c>
      <c r="I118" s="44" t="inlineStr">
        <is>
          <t>Edge 120+, đăng nhập admin</t>
        </is>
      </c>
      <c r="J118" s="44" t="inlineStr">
        <is>
          <t>1. Mở modal 'Thêm mới' trên Edge
2. Điền form, submit</t>
        </is>
      </c>
      <c r="K118" s="44" t="inlineStr">
        <is>
          <t>user.admin</t>
        </is>
      </c>
      <c r="L118" s="44" t="inlineStr">
        <is>
          <t>user.admin</t>
        </is>
      </c>
      <c r="M118" s="44" t="inlineStr">
        <is>
          <t>Modal render đúng. Form submit. Dropdown và input đều hoạt động bình thường</t>
        </is>
      </c>
      <c r="N118" s="44" t="inlineStr"/>
      <c r="O118" s="44" t="inlineStr"/>
      <c r="P118" s="41" t="inlineStr">
        <is>
          <t>High
[E2E] Đạt như expected. Thời gian: 0ms</t>
        </is>
      </c>
      <c r="Q118" s="44" t="inlineStr"/>
      <c r="R118" s="41" t="inlineStr">
        <is>
          <t>Đạt</t>
        </is>
      </c>
      <c r="S118" s="41" t="inlineStr"/>
      <c r="T118" s="41" t="inlineStr">
        <is>
          <t>25/05/2026 15:54</t>
        </is>
      </c>
      <c r="U118" s="41" t="inlineStr">
        <is>
          <t>R1:Đạt</t>
        </is>
      </c>
      <c r="V118" s="44" t="inlineStr"/>
      <c r="W118" s="41" t="inlineStr"/>
      <c r="X118" s="44" t="inlineStr"/>
    </row>
    <row r="119" ht="80" customHeight="1">
      <c r="A119" s="41" t="inlineStr">
        <is>
          <t>TC-116</t>
        </is>
      </c>
      <c r="B119" s="57" t="inlineStr">
        <is>
          <t>COMPAT</t>
        </is>
      </c>
      <c r="C119" s="45" t="inlineStr">
        <is>
          <t>P1</t>
        </is>
      </c>
      <c r="D119" s="44" t="inlineStr">
        <is>
          <t>COMPAT — Browser</t>
        </is>
      </c>
      <c r="E119" s="44" t="inlineStr">
        <is>
          <t>COMPAT: Firefox 120+ — DocNumberPreviewField hiển thị đúng</t>
        </is>
      </c>
      <c r="F119" s="41" t="inlineStr">
        <is>
          <t>REQ-COMPAT-116</t>
        </is>
      </c>
      <c r="G119" s="41" t="inlineStr">
        <is>
          <t>Browser / Device</t>
        </is>
      </c>
      <c r="H119" s="41" t="inlineStr">
        <is>
          <t>Cao</t>
        </is>
      </c>
      <c r="I119" s="44" t="inlineStr">
        <is>
          <t>Firefox 120+, form tạo vụ việc</t>
        </is>
      </c>
      <c r="J119" s="44" t="inlineStr">
        <is>
          <t>1. Mở form trên Firefox
2. Quan sát field preview number</t>
        </is>
      </c>
      <c r="K119" s="44" t="inlineStr">
        <is>
          <t>template.incident.active, user.officer</t>
        </is>
      </c>
      <c r="L119" s="44" t="inlineStr">
        <is>
          <t>template.incident.active, user.officer</t>
        </is>
      </c>
      <c r="M119" s="44" t="inlineStr">
        <is>
          <t>Field hiển thị lock icon + preview number + badge. Không có layout shift. Font mono hiển thị đúng</t>
        </is>
      </c>
      <c r="N119" s="44" t="inlineStr"/>
      <c r="O119" s="44" t="inlineStr"/>
      <c r="P119" s="41" t="inlineStr">
        <is>
          <t>High
[E2E] Đạt như expected. Thời gian: 0ms</t>
        </is>
      </c>
      <c r="Q119" s="44" t="inlineStr"/>
      <c r="R119" s="41" t="inlineStr">
        <is>
          <t>Đạt</t>
        </is>
      </c>
      <c r="S119" s="41" t="inlineStr"/>
      <c r="T119" s="41" t="inlineStr">
        <is>
          <t>25/05/2026 15:54</t>
        </is>
      </c>
      <c r="U119" s="41" t="inlineStr">
        <is>
          <t>R1:Đạt</t>
        </is>
      </c>
      <c r="V119" s="44" t="inlineStr"/>
      <c r="W119" s="41" t="inlineStr"/>
      <c r="X119" s="44" t="inlineStr"/>
    </row>
    <row r="120" ht="80" customHeight="1">
      <c r="A120" s="41" t="inlineStr">
        <is>
          <t>TC-117</t>
        </is>
      </c>
      <c r="B120" s="57" t="inlineStr">
        <is>
          <t>COMPAT</t>
        </is>
      </c>
      <c r="C120" s="48" t="inlineStr">
        <is>
          <t>P2</t>
        </is>
      </c>
      <c r="D120" s="44" t="inlineStr">
        <is>
          <t>COMPAT — Mobile</t>
        </is>
      </c>
      <c r="E120" s="44" t="inlineStr">
        <is>
          <t>COMPAT: Mobile viewport 375px — settings page scrollable</t>
        </is>
      </c>
      <c r="F120" s="41" t="inlineStr">
        <is>
          <t>REQ-COMPAT-117</t>
        </is>
      </c>
      <c r="G120" s="41" t="inlineStr">
        <is>
          <t>Browser / Device</t>
        </is>
      </c>
      <c r="H120" s="41" t="inlineStr">
        <is>
          <t>TB</t>
        </is>
      </c>
      <c r="I120" s="44" t="inlineStr">
        <is>
          <t>DevTools mobile emulation iPhone SE (375px), admin</t>
        </is>
      </c>
      <c r="J120" s="44" t="inlineStr">
        <is>
          <t>1. Vào /settings/document-numbers
2. Scroll table ngang</t>
        </is>
      </c>
      <c r="K120" s="44" t="inlineStr">
        <is>
          <t>user.admin, templates.all_seeded</t>
        </is>
      </c>
      <c r="L120" s="44" t="inlineStr">
        <is>
          <t>user.admin, templates.all_seeded</t>
        </is>
      </c>
      <c r="M120" s="44" t="inlineStr">
        <is>
          <t>Table có horizontal scroll. Không bị cut off. Nút actions vẫn accessible. Text không tràn</t>
        </is>
      </c>
      <c r="N120" s="44" t="inlineStr"/>
      <c r="O120" s="44" t="inlineStr"/>
      <c r="P120" s="41" t="inlineStr">
        <is>
          <t>Medium
[E2E] Lỗi: Error: expect(locator).toBeVisible() failed
Locator:  locator('h1, h2').first()
Expected: visible
Received: hidden
Timeout:  8000ms
Call log:
  - Ex</t>
        </is>
      </c>
      <c r="Q120" s="44" t="inlineStr"/>
      <c r="R120" s="41" t="inlineStr">
        <is>
          <t>Không đạt</t>
        </is>
      </c>
      <c r="S120" s="41" t="inlineStr">
        <is>
          <t>BUG-121</t>
        </is>
      </c>
      <c r="T120" s="41" t="inlineStr">
        <is>
          <t>25/05/2026 15:54</t>
        </is>
      </c>
      <c r="U120" s="41" t="inlineStr">
        <is>
          <t>R1:Không đạt</t>
        </is>
      </c>
      <c r="V120" s="44" t="inlineStr"/>
      <c r="W120" s="41" t="inlineStr"/>
      <c r="X120" s="44" t="inlineStr"/>
    </row>
    <row r="121" ht="80" customHeight="1">
      <c r="A121" s="41" t="inlineStr">
        <is>
          <t>TC-118</t>
        </is>
      </c>
      <c r="B121" s="57" t="inlineStr">
        <is>
          <t>COMPAT</t>
        </is>
      </c>
      <c r="C121" s="48" t="inlineStr">
        <is>
          <t>P2</t>
        </is>
      </c>
      <c r="D121" s="44" t="inlineStr">
        <is>
          <t>COMPAT — Tablet</t>
        </is>
      </c>
      <c r="E121" s="44" t="inlineStr">
        <is>
          <t>COMPAT: Tablet 768px — modal form không bị overflow</t>
        </is>
      </c>
      <c r="F121" s="41" t="inlineStr">
        <is>
          <t>REQ-COMPAT-118</t>
        </is>
      </c>
      <c r="G121" s="41" t="inlineStr">
        <is>
          <t>Browser / Device</t>
        </is>
      </c>
      <c r="H121" s="41" t="inlineStr">
        <is>
          <t>TB</t>
        </is>
      </c>
      <c r="I121" s="44" t="inlineStr">
        <is>
          <t>DevTools tablet 768px, admin, modal mở</t>
        </is>
      </c>
      <c r="J121" s="44" t="inlineStr">
        <is>
          <t>1. Mở modal trên viewport 768px</t>
        </is>
      </c>
      <c r="K121" s="44" t="inlineStr">
        <is>
          <t>user.admin</t>
        </is>
      </c>
      <c r="L121" s="44" t="inlineStr">
        <is>
          <t>user.admin</t>
        </is>
      </c>
      <c r="M121" s="44" t="inlineStr">
        <is>
          <t>Modal chiều rộng phù hợp (max-w-2xl hoặc tương đương). Không bị overlap với edge. Scroll bên trong modal nếu nội dung dài</t>
        </is>
      </c>
      <c r="N121" s="44" t="inlineStr"/>
      <c r="O121" s="44" t="inlineStr"/>
      <c r="P121" s="41" t="inlineStr">
        <is>
          <t>Medium
[E2E] Lỗi: Error: expect(locator).toBeVisible() failed
Locator:  locator('h1, h2').first()
Expected: visible
Received: hidden
Timeout:  8000ms
Call log:
  - Ex</t>
        </is>
      </c>
      <c r="Q121" s="44" t="inlineStr"/>
      <c r="R121" s="41" t="inlineStr">
        <is>
          <t>Không đạt</t>
        </is>
      </c>
      <c r="S121" s="41" t="inlineStr">
        <is>
          <t>BUG-122</t>
        </is>
      </c>
      <c r="T121" s="41" t="inlineStr">
        <is>
          <t>25/05/2026 15:54</t>
        </is>
      </c>
      <c r="U121" s="41" t="inlineStr">
        <is>
          <t>R1:Không đạt</t>
        </is>
      </c>
      <c r="V121" s="44" t="inlineStr"/>
      <c r="W121" s="41" t="inlineStr"/>
      <c r="X121" s="44" t="inlineStr"/>
    </row>
    <row r="122" ht="80" customHeight="1">
      <c r="A122" s="41" t="inlineStr">
        <is>
          <t>TC-119</t>
        </is>
      </c>
      <c r="B122" s="49" t="inlineStr">
        <is>
          <t>PERFORMANCE</t>
        </is>
      </c>
      <c r="C122" s="45" t="inlineStr">
        <is>
          <t>P1</t>
        </is>
      </c>
      <c r="D122" s="44" t="inlineStr">
        <is>
          <t>Performance — Draft</t>
        </is>
      </c>
      <c r="E122" s="44" t="inlineStr">
        <is>
          <t>PERF: /draft response &lt; 200ms (p95) khi không có lock contention</t>
        </is>
      </c>
      <c r="F122" s="41" t="inlineStr">
        <is>
          <t>REQ-PERF-119</t>
        </is>
      </c>
      <c r="G122" s="41" t="inlineStr">
        <is>
          <t>Load / Stress</t>
        </is>
      </c>
      <c r="H122" s="41" t="inlineStr">
        <is>
          <t>Cao</t>
        </is>
      </c>
      <c r="I122" s="44" t="inlineStr">
        <is>
          <t>Server không tải, template INCIDENT active</t>
        </is>
      </c>
      <c r="J122" s="44" t="inlineStr">
        <is>
          <t>1. Gửi 20 POST /draft sequential
2. Đo response time mỗi request</t>
        </is>
      </c>
      <c r="K122" s="44" t="inlineStr">
        <is>
          <t>template.incident.active, user.officer</t>
        </is>
      </c>
      <c r="L122" s="44" t="inlineStr">
        <is>
          <t>template.incident.active, user.officer</t>
        </is>
      </c>
      <c r="M122" s="44" t="inlineStr">
        <is>
          <t>p95 &lt; 200ms. Không có request nào &gt; 500ms. No timeout</t>
        </is>
      </c>
      <c r="N122" s="44" t="inlineStr"/>
      <c r="O122" s="44" t="inlineStr"/>
      <c r="P122" s="41" t="inlineStr">
        <is>
          <t>[API] Không đạt - xem HTML report</t>
        </is>
      </c>
      <c r="Q122" s="44" t="inlineStr">
        <is>
          <t>Không đạt</t>
        </is>
      </c>
      <c r="R122" s="41" t="inlineStr">
        <is>
          <t>Không đạt</t>
        </is>
      </c>
      <c r="S122" s="41" t="inlineStr">
        <is>
          <t>BUG-123</t>
        </is>
      </c>
      <c r="T122" s="41" t="inlineStr">
        <is>
          <t>26/05/2026 02:10</t>
        </is>
      </c>
      <c r="U122" s="41" t="inlineStr">
        <is>
          <t>R1:Không đạt</t>
        </is>
      </c>
      <c r="V122" s="44" t="inlineStr"/>
      <c r="W122" s="41" t="inlineStr"/>
      <c r="X122" s="44" t="inlineStr"/>
    </row>
    <row r="123" ht="80" customHeight="1">
      <c r="A123" s="41" t="inlineStr">
        <is>
          <t>TC-120</t>
        </is>
      </c>
      <c r="B123" s="49" t="inlineStr">
        <is>
          <t>PERFORMANCE</t>
        </is>
      </c>
      <c r="C123" s="45" t="inlineStr">
        <is>
          <t>P1</t>
        </is>
      </c>
      <c r="D123" s="44" t="inlineStr">
        <is>
          <t>Performance — Commit</t>
        </is>
      </c>
      <c r="E123" s="44" t="inlineStr">
        <is>
          <t>PERF: /commit response &lt; 500ms (p95) với row lock</t>
        </is>
      </c>
      <c r="F123" s="41" t="inlineStr">
        <is>
          <t>REQ-PERF-120</t>
        </is>
      </c>
      <c r="G123" s="41" t="inlineStr">
        <is>
          <t>Load / Stress</t>
        </is>
      </c>
      <c r="H123" s="41" t="inlineStr">
        <is>
          <t>Cao</t>
        </is>
      </c>
      <c r="I123" s="44" t="inlineStr">
        <is>
          <t>Server không tải, template INCIDENT active</t>
        </is>
      </c>
      <c r="J123" s="44" t="inlineStr">
        <is>
          <t>1. Gửi 20 POST /commit sequential
2. Đo response time</t>
        </is>
      </c>
      <c r="K123" s="44" t="inlineStr">
        <is>
          <t>template.incident.active, user.officer</t>
        </is>
      </c>
      <c r="L123" s="44" t="inlineStr">
        <is>
          <t>template.incident.active, user.officer</t>
        </is>
      </c>
      <c r="M123" s="44" t="inlineStr">
        <is>
          <t>p95 &lt; 500ms (bao gồm SELECT FOR UPDATE + UPDATE + log INSERT). Không timeout</t>
        </is>
      </c>
      <c r="N123" s="44" t="inlineStr"/>
      <c r="O123" s="44" t="inlineStr"/>
      <c r="P123" s="41" t="inlineStr">
        <is>
          <t>[API] Đạt như expected. Thời gian: 0ms</t>
        </is>
      </c>
      <c r="Q123" s="44" t="inlineStr">
        <is>
          <t>Đạt</t>
        </is>
      </c>
      <c r="R123" s="41" t="inlineStr">
        <is>
          <t>Đạt</t>
        </is>
      </c>
      <c r="S123" s="41" t="inlineStr"/>
      <c r="T123" s="41" t="inlineStr">
        <is>
          <t>26/05/2026 02:10</t>
        </is>
      </c>
      <c r="U123" s="41" t="inlineStr">
        <is>
          <t>R1:Đạt</t>
        </is>
      </c>
      <c r="V123" s="44" t="inlineStr"/>
      <c r="W123" s="41" t="inlineStr"/>
      <c r="X123" s="44" t="inlineStr"/>
    </row>
    <row r="124" ht="80" customHeight="1">
      <c r="A124" s="41" t="inlineStr">
        <is>
          <t>TC-121</t>
        </is>
      </c>
      <c r="B124" s="49" t="inlineStr">
        <is>
          <t>PERFORMANCE</t>
        </is>
      </c>
      <c r="C124" s="48" t="inlineStr">
        <is>
          <t>P2</t>
        </is>
      </c>
      <c r="D124" s="44" t="inlineStr">
        <is>
          <t>Performance — UI</t>
        </is>
      </c>
      <c r="E124" s="44" t="inlineStr">
        <is>
          <t>PERF: Settings page load &lt; 1s (6 templates + stats)</t>
        </is>
      </c>
      <c r="F124" s="41" t="inlineStr">
        <is>
          <t>REQ-PERF-121</t>
        </is>
      </c>
      <c r="G124" s="41" t="inlineStr">
        <is>
          <t>Load / Stress</t>
        </is>
      </c>
      <c r="H124" s="41" t="inlineStr">
        <is>
          <t>TB</t>
        </is>
      </c>
      <c r="I124" s="44" t="inlineStr">
        <is>
          <t>Admin, 6 templates với counters</t>
        </is>
      </c>
      <c r="J124" s="44" t="inlineStr">
        <is>
          <t>1. Mở /settings/document-numbers
2. Đo time đến khi table hiện đủ 6 rows</t>
        </is>
      </c>
      <c r="K124" s="44" t="inlineStr">
        <is>
          <t>user.admin, templates.all_seeded</t>
        </is>
      </c>
      <c r="L124" s="44" t="inlineStr">
        <is>
          <t>user.admin, templates.all_seeded</t>
        </is>
      </c>
      <c r="M124" s="44" t="inlineStr">
        <is>
          <t>Page fully loaded &lt; 1s (Network Fast 3G). Không có waterfall chờ tuần tự — requests song song</t>
        </is>
      </c>
      <c r="N124" s="44" t="inlineStr"/>
      <c r="O124" s="44" t="inlineStr"/>
      <c r="P124" s="41" t="inlineStr">
        <is>
          <t>[API] Đạt như expected. Thời gian: 0ms</t>
        </is>
      </c>
      <c r="Q124" s="44" t="inlineStr">
        <is>
          <t>Đạt</t>
        </is>
      </c>
      <c r="R124" s="41" t="inlineStr">
        <is>
          <t>Đạt</t>
        </is>
      </c>
      <c r="S124" s="41" t="inlineStr"/>
      <c r="T124" s="41" t="inlineStr">
        <is>
          <t>26/05/2026 02:10</t>
        </is>
      </c>
      <c r="U124" s="41" t="inlineStr">
        <is>
          <t>R1:Đạt</t>
        </is>
      </c>
      <c r="V124" s="44" t="inlineStr"/>
      <c r="W124" s="41" t="inlineStr"/>
      <c r="X124" s="44" t="inlineStr"/>
    </row>
    <row r="125" ht="80" customHeight="1">
      <c r="A125" s="41" t="inlineStr">
        <is>
          <t>TC-122</t>
        </is>
      </c>
      <c r="B125" s="49" t="inlineStr">
        <is>
          <t>PERFORMANCE</t>
        </is>
      </c>
      <c r="C125" s="45" t="inlineStr">
        <is>
          <t>P1</t>
        </is>
      </c>
      <c r="D125" s="44" t="inlineStr">
        <is>
          <t>Performance — Draft Concurrency</t>
        </is>
      </c>
      <c r="E125" s="44" t="inlineStr">
        <is>
          <t>PERF: 5 concurrent /draft requests — tất cả trả về 200, không block nhau</t>
        </is>
      </c>
      <c r="F125" s="41" t="inlineStr">
        <is>
          <t>REQ-PERF-122</t>
        </is>
      </c>
      <c r="G125" s="41" t="inlineStr">
        <is>
          <t>Load / Stress</t>
        </is>
      </c>
      <c r="H125" s="41" t="inlineStr">
        <is>
          <t>Cao</t>
        </is>
      </c>
      <c r="I125" s="44" t="inlineStr">
        <is>
          <t>Template INCIDENT active</t>
        </is>
      </c>
      <c r="J125" s="44" t="inlineStr">
        <is>
          <t>1. Gửi 5 POST /draft đồng thời
2. Đo thời gian tổng</t>
        </is>
      </c>
      <c r="K125" s="44" t="inlineStr">
        <is>
          <t>template.incident.active, user.officer</t>
        </is>
      </c>
      <c r="L125" s="44" t="inlineStr">
        <is>
          <t>template.incident.active, user.officer</t>
        </is>
      </c>
      <c r="M125" s="44" t="inlineStr">
        <is>
          <t>5 responses 200. Tất cả cùng previewNumber (counter chưa tăng). Tổng thời gian &lt; 300ms (không queue nhau do draft không lock)</t>
        </is>
      </c>
      <c r="N125" s="44" t="inlineStr"/>
      <c r="O125" s="44" t="inlineStr"/>
      <c r="P125" s="41" t="inlineStr">
        <is>
          <t>[API] Không đạt - xem HTML report</t>
        </is>
      </c>
      <c r="Q125" s="44" t="inlineStr">
        <is>
          <t>Không đạt</t>
        </is>
      </c>
      <c r="R125" s="41" t="inlineStr"/>
      <c r="S125" s="41" t="inlineStr">
        <is>
          <t>BUG-012</t>
        </is>
      </c>
      <c r="T125" s="41" t="inlineStr">
        <is>
          <t>26/05/2026 02:10</t>
        </is>
      </c>
      <c r="U125" s="41" t="inlineStr"/>
      <c r="V125" s="44" t="inlineStr"/>
      <c r="W125" s="41" t="inlineStr"/>
      <c r="X125" s="44" t="inlineStr"/>
    </row>
    <row r="126" ht="80" customHeight="1">
      <c r="A126" s="41" t="inlineStr">
        <is>
          <t>TC-123</t>
        </is>
      </c>
      <c r="B126" s="58" t="inlineStr">
        <is>
          <t>INTEGRATION</t>
        </is>
      </c>
      <c r="C126" s="43" t="inlineStr">
        <is>
          <t>P0</t>
        </is>
      </c>
      <c r="D126" s="44" t="inlineStr">
        <is>
          <t>Integration — Case atomic commit</t>
        </is>
      </c>
      <c r="E126" s="44" t="inlineStr">
        <is>
          <t>INTEGRATION: Tạo Case → caseCode trong DB, log linked, counter tăng atomic</t>
        </is>
      </c>
      <c r="F126" s="41" t="inlineStr">
        <is>
          <t>REQ-INTG-123</t>
        </is>
      </c>
      <c r="G126" s="41" t="inlineStr">
        <is>
          <t>Integration</t>
        </is>
      </c>
      <c r="H126" s="41" t="inlineStr">
        <is>
          <t>Cao</t>
        </is>
      </c>
      <c r="I126" s="44" t="inlineStr">
        <is>
          <t>Template CASE active, counter=0, không có case nào</t>
        </is>
      </c>
      <c r="J126" s="44" t="inlineStr">
        <is>
          <t>1. Tạo hồ sơ vụ án từ UI (POST /cases)
2. Query DB: SELECT caseCode FROM cases WHERE id=... 
3. Query logs: SELECT * FROM document_number_logs WHERE documentId=case.id</t>
        </is>
      </c>
      <c r="K126" s="44" t="inlineStr">
        <is>
          <t>template.case.active, counter.case.value_0, user.officer</t>
        </is>
      </c>
      <c r="L126" s="44" t="inlineStr">
        <is>
          <t>template.case.active, counter.case.value_0, user.officer</t>
        </is>
      </c>
      <c r="M126" s="44" t="inlineStr">
        <is>
          <t>case.caseCode='HS-2026-001'. log.isDraft=false, log.documentId=case.id. Counter=1. Nếu case.create fail → counter KHÔNG tăng (rollback atomic)</t>
        </is>
      </c>
      <c r="N126" s="44" t="inlineStr"/>
      <c r="O126" s="44" t="inlineStr"/>
      <c r="P126" s="41" t="inlineStr">
        <is>
          <t>[API] Đạt như expected. Thời gian: 0ms</t>
        </is>
      </c>
      <c r="Q126" s="44" t="inlineStr">
        <is>
          <t>Đạt</t>
        </is>
      </c>
      <c r="R126" s="41" t="inlineStr"/>
      <c r="S126" s="41" t="inlineStr"/>
      <c r="T126" s="41" t="inlineStr">
        <is>
          <t>26/05/2026 02:10</t>
        </is>
      </c>
      <c r="U126" s="41" t="inlineStr"/>
      <c r="V126" s="44" t="inlineStr"/>
      <c r="W126" s="41" t="inlineStr"/>
      <c r="X126" s="44" t="inlineStr"/>
    </row>
    <row r="127" ht="80" customHeight="1">
      <c r="A127" s="41" t="inlineStr">
        <is>
          <t>TC-124</t>
        </is>
      </c>
      <c r="B127" s="58" t="inlineStr">
        <is>
          <t>INTEGRATION</t>
        </is>
      </c>
      <c r="C127" s="43" t="inlineStr">
        <is>
          <t>P0</t>
        </is>
      </c>
      <c r="D127" s="44" t="inlineStr">
        <is>
          <t>Integration — Petition atomic commit</t>
        </is>
      </c>
      <c r="E127" s="44" t="inlineStr">
        <is>
          <t>INTEGRATION: Tạo Petition → stt trong DB, log linked</t>
        </is>
      </c>
      <c r="F127" s="41" t="inlineStr">
        <is>
          <t>REQ-INTG-124</t>
        </is>
      </c>
      <c r="G127" s="41" t="inlineStr">
        <is>
          <t>Integration</t>
        </is>
      </c>
      <c r="H127" s="41" t="inlineStr">
        <is>
          <t>Cao</t>
        </is>
      </c>
      <c r="I127" s="44" t="inlineStr">
        <is>
          <t>Template PETITION active, counter=0</t>
        </is>
      </c>
      <c r="J127" s="44" t="inlineStr">
        <is>
          <t>1. Tạo đơn thư từ UI
2. Query DB: SELECT stt FROM petitions WHERE id=...
3. Query logs</t>
        </is>
      </c>
      <c r="K127" s="44" t="inlineStr">
        <is>
          <t>template.petition.active, counter.petition.value_0, user.officer</t>
        </is>
      </c>
      <c r="L127" s="44" t="inlineStr">
        <is>
          <t>template.petition.active, counter.petition.value_0, user.officer</t>
        </is>
      </c>
      <c r="M127" s="44" t="inlineStr">
        <is>
          <t>petition.stt='DT-2026-00001'. log linked. Counter=1. Atomic: nếu petition.create fail → counter không tăng</t>
        </is>
      </c>
      <c r="N127" s="44" t="inlineStr"/>
      <c r="O127" s="44" t="inlineStr"/>
      <c r="P127" s="41" t="inlineStr">
        <is>
          <t>[API] Đạt như expected. Thời gian: 0ms</t>
        </is>
      </c>
      <c r="Q127" s="44" t="inlineStr">
        <is>
          <t>Đạt</t>
        </is>
      </c>
      <c r="R127" s="41" t="inlineStr"/>
      <c r="S127" s="41" t="inlineStr"/>
      <c r="T127" s="41" t="inlineStr">
        <is>
          <t>26/05/2026 02:10</t>
        </is>
      </c>
      <c r="U127" s="41" t="inlineStr"/>
      <c r="V127" s="44" t="inlineStr"/>
      <c r="W127" s="41" t="inlineStr"/>
      <c r="X127" s="44" t="inlineStr"/>
    </row>
    <row r="128" ht="80" customHeight="1">
      <c r="A128" s="41" t="inlineStr">
        <is>
          <t>TC-125</t>
        </is>
      </c>
      <c r="B128" s="58" t="inlineStr">
        <is>
          <t>INTEGRATION</t>
        </is>
      </c>
      <c r="C128" s="43" t="inlineStr">
        <is>
          <t>P0</t>
        </is>
      </c>
      <c r="D128" s="44" t="inlineStr">
        <is>
          <t>Integration — Incident atomic commit</t>
        </is>
      </c>
      <c r="E128" s="44" t="inlineStr">
        <is>
          <t>INTEGRATION: Tạo Incident → code trong DB, log linked</t>
        </is>
      </c>
      <c r="F128" s="41" t="inlineStr">
        <is>
          <t>REQ-INTG-125</t>
        </is>
      </c>
      <c r="G128" s="41" t="inlineStr">
        <is>
          <t>Integration</t>
        </is>
      </c>
      <c r="H128" s="41" t="inlineStr">
        <is>
          <t>Cao</t>
        </is>
      </c>
      <c r="I128" s="44" t="inlineStr">
        <is>
          <t>Template INCIDENT active, counter=106</t>
        </is>
      </c>
      <c r="J128" s="44" t="inlineStr">
        <is>
          <t>1. Tạo vụ việc từ UI
2. Query DB: SELECT code FROM incidents WHERE id=...</t>
        </is>
      </c>
      <c r="K128" s="44" t="inlineStr">
        <is>
          <t>template.incident.active, counter.incident.value_106, user.officer</t>
        </is>
      </c>
      <c r="L128" s="44" t="inlineStr">
        <is>
          <t>template.incident.active, counter.incident.value_106, user.officer</t>
        </is>
      </c>
      <c r="M128" s="44" t="inlineStr">
        <is>
          <t>incident.code='VV-2026-00107'. Log linked. Counter=107</t>
        </is>
      </c>
      <c r="N128" s="44" t="inlineStr"/>
      <c r="O128" s="44" t="inlineStr"/>
      <c r="P128" s="41" t="inlineStr">
        <is>
          <t>[API] Đạt như expected. Thời gian: 0ms</t>
        </is>
      </c>
      <c r="Q128" s="44" t="inlineStr">
        <is>
          <t>Đạt</t>
        </is>
      </c>
      <c r="R128" s="41" t="inlineStr"/>
      <c r="S128" s="41" t="inlineStr"/>
      <c r="T128" s="41" t="inlineStr">
        <is>
          <t>26/05/2026 02:10</t>
        </is>
      </c>
      <c r="U128" s="41" t="inlineStr"/>
      <c r="V128" s="44" t="inlineStr"/>
      <c r="W128" s="41" t="inlineStr"/>
      <c r="X128" s="44" t="inlineStr"/>
    </row>
    <row r="129" ht="80" customHeight="1">
      <c r="A129" s="41" t="inlineStr">
        <is>
          <t>TC-126</t>
        </is>
      </c>
      <c r="B129" s="58" t="inlineStr">
        <is>
          <t>INTEGRATION</t>
        </is>
      </c>
      <c r="C129" s="45" t="inlineStr">
        <is>
          <t>P1</t>
        </is>
      </c>
      <c r="D129" s="44" t="inlineStr">
        <is>
          <t>Integration — Proposal atomic commit</t>
        </is>
      </c>
      <c r="E129" s="44" t="inlineStr">
        <is>
          <t>INTEGRATION: Tạo Proposal → số kiến nghị trong DB</t>
        </is>
      </c>
      <c r="F129" s="41" t="inlineStr">
        <is>
          <t>REQ-INTG-126</t>
        </is>
      </c>
      <c r="G129" s="41" t="inlineStr">
        <is>
          <t>Integration</t>
        </is>
      </c>
      <c r="H129" s="41" t="inlineStr">
        <is>
          <t>Cao</t>
        </is>
      </c>
      <c r="I129" s="44" t="inlineStr">
        <is>
          <t>Template PROPOSAL active, counter=0</t>
        </is>
      </c>
      <c r="J129" s="44" t="inlineStr">
        <is>
          <t>1. Tạo kiến nghị từ UI
2. Kiểm tra DB</t>
        </is>
      </c>
      <c r="K129" s="44" t="inlineStr">
        <is>
          <t>template.proposal.active, counter.proposal.value_0, user.officer</t>
        </is>
      </c>
      <c r="L129" s="44" t="inlineStr">
        <is>
          <t>template.proposal.active, counter.proposal.value_0, user.officer</t>
        </is>
      </c>
      <c r="M129" s="44" t="inlineStr">
        <is>
          <t>proposal.proposalNumber='DX-2026-00001'. Counter=1</t>
        </is>
      </c>
      <c r="N129" s="44" t="inlineStr"/>
      <c r="O129" s="44" t="inlineStr"/>
      <c r="P129" s="41" t="inlineStr">
        <is>
          <t>[API] Đạt như expected. Thời gian: 0ms</t>
        </is>
      </c>
      <c r="Q129" s="44" t="inlineStr">
        <is>
          <t>Đạt</t>
        </is>
      </c>
      <c r="R129" s="41" t="inlineStr"/>
      <c r="S129" s="41" t="inlineStr"/>
      <c r="T129" s="41" t="inlineStr">
        <is>
          <t>26/05/2026 02:10</t>
        </is>
      </c>
      <c r="U129" s="41" t="inlineStr"/>
      <c r="V129" s="44" t="inlineStr"/>
      <c r="W129" s="41" t="inlineStr"/>
      <c r="X129" s="44" t="inlineStr"/>
    </row>
    <row r="130" ht="80" customHeight="1">
      <c r="A130" s="41" t="inlineStr">
        <is>
          <t>TC-127</t>
        </is>
      </c>
      <c r="B130" s="58" t="inlineStr">
        <is>
          <t>INTEGRATION</t>
        </is>
      </c>
      <c r="C130" s="45" t="inlineStr">
        <is>
          <t>P1</t>
        </is>
      </c>
      <c r="D130" s="44" t="inlineStr">
        <is>
          <t>Integration — Delegation atomic commit</t>
        </is>
      </c>
      <c r="E130" s="44" t="inlineStr">
        <is>
          <t>INTEGRATION: Tạo Delegation → số ủy quyền trong DB</t>
        </is>
      </c>
      <c r="F130" s="41" t="inlineStr">
        <is>
          <t>REQ-INTG-127</t>
        </is>
      </c>
      <c r="G130" s="41" t="inlineStr">
        <is>
          <t>Integration</t>
        </is>
      </c>
      <c r="H130" s="41" t="inlineStr">
        <is>
          <t>Cao</t>
        </is>
      </c>
      <c r="I130" s="44" t="inlineStr">
        <is>
          <t>Template DELEGATION active, counter=0</t>
        </is>
      </c>
      <c r="J130" s="44" t="inlineStr">
        <is>
          <t>1. Tạo ủy thác từ UI
2. Kiểm tra DB</t>
        </is>
      </c>
      <c r="K130" s="44" t="inlineStr">
        <is>
          <t>template.delegation.active, counter.delegation.value_0, user.officer</t>
        </is>
      </c>
      <c r="L130" s="44" t="inlineStr">
        <is>
          <t>template.delegation.active, counter.delegation.value_0, user.officer</t>
        </is>
      </c>
      <c r="M130" s="44" t="inlineStr">
        <is>
          <t>delegation.delegationNumber='UT/2026/0001'. Counter=1</t>
        </is>
      </c>
      <c r="N130" s="44" t="inlineStr"/>
      <c r="O130" s="44" t="inlineStr"/>
      <c r="P130" s="41" t="inlineStr">
        <is>
          <t>[API] Đạt như expected. Thời gian: 0ms</t>
        </is>
      </c>
      <c r="Q130" s="44" t="inlineStr">
        <is>
          <t>Đạt</t>
        </is>
      </c>
      <c r="R130" s="41" t="inlineStr"/>
      <c r="S130" s="41" t="inlineStr"/>
      <c r="T130" s="41" t="inlineStr">
        <is>
          <t>26/05/2026 02:10</t>
        </is>
      </c>
      <c r="U130" s="41" t="inlineStr"/>
      <c r="V130" s="44" t="inlineStr"/>
      <c r="W130" s="41" t="inlineStr"/>
      <c r="X130" s="44" t="inlineStr"/>
    </row>
    <row r="131" ht="80" customHeight="1">
      <c r="A131" s="41" t="inlineStr">
        <is>
          <t>TC-128</t>
        </is>
      </c>
      <c r="B131" s="58" t="inlineStr">
        <is>
          <t>INTEGRATION</t>
        </is>
      </c>
      <c r="C131" s="43" t="inlineStr">
        <is>
          <t>P0</t>
        </is>
      </c>
      <c r="D131" s="44" t="inlineStr">
        <is>
          <t>Integration — Case from Petition with Incident</t>
        </is>
      </c>
      <c r="E131" s="44" t="inlineStr">
        <is>
          <t>INTEGRATION: Tạo Case từ Petition existing — caseCode + incidentCode đều sinh atomic</t>
        </is>
      </c>
      <c r="F131" s="41" t="inlineStr">
        <is>
          <t>REQ-INTG-128</t>
        </is>
      </c>
      <c r="G131" s="41" t="inlineStr">
        <is>
          <t>Integration</t>
        </is>
      </c>
      <c r="H131" s="41" t="inlineStr">
        <is>
          <t>Cao</t>
        </is>
      </c>
      <c r="I131" s="44" t="inlineStr">
        <is>
          <t>Petition tồn tại, Template CASE + INCIDENT active</t>
        </is>
      </c>
      <c r="J131" s="44" t="inlineStr">
        <is>
          <t>1. Convert petition to case (Branch 3 flow) qua UI
2. Check case.caseCode, incident.code</t>
        </is>
      </c>
      <c r="K131" s="44" t="inlineStr">
        <is>
          <t>template.case.active, template.incident.active, user.officer</t>
        </is>
      </c>
      <c r="L131" s="44" t="inlineStr">
        <is>
          <t>template.case.active, template.incident.active, user.officer</t>
        </is>
      </c>
      <c r="M131" s="44" t="inlineStr">
        <is>
          <t>case.caseCode và incident.code đều được sinh trong cùng transaction. Nếu 1 bước fail → cả 2 rollback. Không trường hợp case có caseCode nhưng incident không có code</t>
        </is>
      </c>
      <c r="N131" s="44" t="inlineStr"/>
      <c r="O131" s="44" t="inlineStr"/>
      <c r="P131" s="41" t="inlineStr">
        <is>
          <t>[API] Đạt như expected. Thời gian: 0ms</t>
        </is>
      </c>
      <c r="Q131" s="44" t="inlineStr">
        <is>
          <t>Đạt</t>
        </is>
      </c>
      <c r="R131" s="41" t="inlineStr"/>
      <c r="S131" s="41" t="inlineStr"/>
      <c r="T131" s="41" t="inlineStr">
        <is>
          <t>26/05/2026 02:10</t>
        </is>
      </c>
      <c r="U131" s="41" t="inlineStr"/>
      <c r="V131" s="44" t="inlineStr"/>
      <c r="W131" s="41" t="inlineStr"/>
      <c r="X131" s="44" t="inlineStr"/>
    </row>
    <row r="132" ht="80" customHeight="1">
      <c r="A132" s="41" t="inlineStr">
        <is>
          <t>TC-129</t>
        </is>
      </c>
      <c r="B132" s="42" t="inlineStr">
        <is>
          <t>GREEN</t>
        </is>
      </c>
      <c r="C132" s="43" t="inlineStr">
        <is>
          <t>P0</t>
        </is>
      </c>
      <c r="D132" s="44" t="inlineStr">
        <is>
          <t>Regression — Incident Create</t>
        </is>
      </c>
      <c r="E132" s="44" t="inlineStr">
        <is>
          <t>REGRESSION: Tạo incident qua UI vẫn hoạt động sau deploy v0.42</t>
        </is>
      </c>
      <c r="F132" s="41" t="inlineStr">
        <is>
          <t>REQ-FUNC-129</t>
        </is>
      </c>
      <c r="G132" s="41" t="inlineStr">
        <is>
          <t>Happy Path</t>
        </is>
      </c>
      <c r="H132" s="41" t="inlineStr">
        <is>
          <t>Cao</t>
        </is>
      </c>
      <c r="I132" s="44" t="inlineStr">
        <is>
          <t>Đăng nhập officer1</t>
        </is>
      </c>
      <c r="J132" s="44" t="inlineStr">
        <is>
          <t>1. Vào /incidents/new
2. Điền form và submit</t>
        </is>
      </c>
      <c r="K132" s="44" t="inlineStr">
        <is>
          <t>template.incident.active, user.officer</t>
        </is>
      </c>
      <c r="L132" s="44" t="inlineStr">
        <is>
          <t>template.incident.active, user.officer</t>
        </is>
      </c>
      <c r="M132" s="44" t="inlineStr">
        <is>
          <t>Incident tạo thành công. Code VV-YYYY-NNNNN đúng format. Không có 500 error. Không conflict với engine mới</t>
        </is>
      </c>
      <c r="N132" s="44" t="inlineStr"/>
      <c r="O132" s="44" t="inlineStr"/>
      <c r="P132" s="41" t="inlineStr">
        <is>
          <t>[API] Test đã bị skip</t>
        </is>
      </c>
      <c r="Q132" s="44" t="inlineStr">
        <is>
          <t>Bỏ qua</t>
        </is>
      </c>
      <c r="R132" s="41" t="inlineStr"/>
      <c r="S132" s="41" t="inlineStr">
        <is>
          <t>BUG-013</t>
        </is>
      </c>
      <c r="T132" s="41" t="inlineStr">
        <is>
          <t>26/05/2026 02:10</t>
        </is>
      </c>
      <c r="U132" s="41" t="inlineStr"/>
      <c r="V132" s="44" t="inlineStr"/>
      <c r="W132" s="41" t="inlineStr"/>
      <c r="X132" s="44" t="inlineStr"/>
    </row>
    <row r="133" ht="80" customHeight="1">
      <c r="A133" s="41" t="inlineStr">
        <is>
          <t>TC-130</t>
        </is>
      </c>
      <c r="B133" s="42" t="inlineStr">
        <is>
          <t>GREEN</t>
        </is>
      </c>
      <c r="C133" s="43" t="inlineStr">
        <is>
          <t>P0</t>
        </is>
      </c>
      <c r="D133" s="44" t="inlineStr">
        <is>
          <t>Regression — Petition Create</t>
        </is>
      </c>
      <c r="E133" s="44" t="inlineStr">
        <is>
          <t>REGRESSION: Tạo petition qua UI vẫn hoạt động sau deploy v0.42</t>
        </is>
      </c>
      <c r="F133" s="41" t="inlineStr">
        <is>
          <t>REQ-FUNC-130</t>
        </is>
      </c>
      <c r="G133" s="41" t="inlineStr">
        <is>
          <t>Happy Path</t>
        </is>
      </c>
      <c r="H133" s="41" t="inlineStr">
        <is>
          <t>Cao</t>
        </is>
      </c>
      <c r="I133" s="44" t="inlineStr">
        <is>
          <t>Đăng nhập officer1</t>
        </is>
      </c>
      <c r="J133" s="44" t="inlineStr">
        <is>
          <t>1. Tạo đơn thư mới từ UI
2. Kiểm tra stt field</t>
        </is>
      </c>
      <c r="K133" s="44" t="inlineStr">
        <is>
          <t>template.petition.active, user.officer</t>
        </is>
      </c>
      <c r="L133" s="44" t="inlineStr">
        <is>
          <t>template.petition.active, user.officer</t>
        </is>
      </c>
      <c r="M133" s="44" t="inlineStr">
        <is>
          <t>Petition tạo với stt tự động DT-YYYY-NNNNN. Không bắt nhập tay nữa</t>
        </is>
      </c>
      <c r="N133" s="44" t="inlineStr"/>
      <c r="O133" s="44" t="inlineStr"/>
      <c r="P133" s="41" t="inlineStr">
        <is>
          <t>[API] Đạt như expected. Thời gian: 0ms</t>
        </is>
      </c>
      <c r="Q133" s="44" t="inlineStr">
        <is>
          <t>Đạt</t>
        </is>
      </c>
      <c r="R133" s="41" t="inlineStr"/>
      <c r="S133" s="41" t="inlineStr"/>
      <c r="T133" s="41" t="inlineStr">
        <is>
          <t>26/05/2026 02:10</t>
        </is>
      </c>
      <c r="U133" s="41" t="inlineStr"/>
      <c r="V133" s="44" t="inlineStr"/>
      <c r="W133" s="41" t="inlineStr"/>
      <c r="X133" s="44" t="inlineStr"/>
    </row>
    <row r="134" ht="80" customHeight="1">
      <c r="A134" s="41" t="inlineStr">
        <is>
          <t>TC-131</t>
        </is>
      </c>
      <c r="B134" s="42" t="inlineStr">
        <is>
          <t>GREEN</t>
        </is>
      </c>
      <c r="C134" s="43" t="inlineStr">
        <is>
          <t>P0</t>
        </is>
      </c>
      <c r="D134" s="44" t="inlineStr">
        <is>
          <t>Regression — Incident List</t>
        </is>
      </c>
      <c r="E134" s="44" t="inlineStr">
        <is>
          <t>REGRESSION: Danh sách vụ việc hiển thị code cũ (VV-2026-00001 → 00106) đúng</t>
        </is>
      </c>
      <c r="F134" s="41" t="inlineStr">
        <is>
          <t>REQ-FUNC-131</t>
        </is>
      </c>
      <c r="G134" s="41" t="inlineStr">
        <is>
          <t>Happy Path</t>
        </is>
      </c>
      <c r="H134" s="41" t="inlineStr">
        <is>
          <t>Cao</t>
        </is>
      </c>
      <c r="I134" s="44" t="inlineStr">
        <is>
          <t>106 incident với code VV-2026-00001 → VV-2026-00106 đã tồn tại</t>
        </is>
      </c>
      <c r="J134" s="44" t="inlineStr">
        <is>
          <t>1. Vào /incidents
2. Kiểm tra các code hiện thị</t>
        </is>
      </c>
      <c r="K134" s="44" t="inlineStr">
        <is>
          <t>user.officer</t>
        </is>
      </c>
      <c r="L134" s="44" t="inlineStr">
        <is>
          <t>user.officer</t>
        </is>
      </c>
      <c r="M134" s="44" t="inlineStr">
        <is>
          <t>Code hiển thị đúng VV-2026-XXXXX. Không bị thay bằng caseCode hay UUID. Không lỗi 500</t>
        </is>
      </c>
      <c r="N134" s="44" t="inlineStr"/>
      <c r="O134" s="44" t="inlineStr"/>
      <c r="P134" s="41" t="inlineStr">
        <is>
          <t>[API] Test đã bị skip</t>
        </is>
      </c>
      <c r="Q134" s="44" t="inlineStr">
        <is>
          <t>Bỏ qua</t>
        </is>
      </c>
      <c r="R134" s="41" t="inlineStr"/>
      <c r="S134" s="41" t="inlineStr">
        <is>
          <t>BUG-014</t>
        </is>
      </c>
      <c r="T134" s="41" t="inlineStr">
        <is>
          <t>26/05/2026 02:10</t>
        </is>
      </c>
      <c r="U134" s="41" t="inlineStr"/>
      <c r="V134" s="44" t="inlineStr"/>
      <c r="W134" s="41" t="inlineStr"/>
      <c r="X134" s="44" t="inlineStr"/>
    </row>
    <row r="135" ht="80" customHeight="1">
      <c r="A135" s="41" t="inlineStr">
        <is>
          <t>TC-132</t>
        </is>
      </c>
      <c r="B135" s="42" t="inlineStr">
        <is>
          <t>GREEN</t>
        </is>
      </c>
      <c r="C135" s="43" t="inlineStr">
        <is>
          <t>P0</t>
        </is>
      </c>
      <c r="D135" s="44" t="inlineStr">
        <is>
          <t>Regression — Case List caseCode</t>
        </is>
      </c>
      <c r="E135" s="44" t="inlineStr">
        <is>
          <t>REGRESSION: Danh sách hồ sơ hiển thị caseCode (HS-2026-NNN) không phải CUID</t>
        </is>
      </c>
      <c r="F135" s="41" t="inlineStr">
        <is>
          <t>REQ-FUNC-132</t>
        </is>
      </c>
      <c r="G135" s="41" t="inlineStr">
        <is>
          <t>Happy Path</t>
        </is>
      </c>
      <c r="H135" s="41" t="inlineStr">
        <is>
          <t>Cao</t>
        </is>
      </c>
      <c r="I135" s="44" t="inlineStr">
        <is>
          <t>Cases có caseCode từ engine v0.42</t>
        </is>
      </c>
      <c r="J135" s="44" t="inlineStr">
        <is>
          <t>1. Vào /cases
2. Kiểm tra cột 'Mã vụ án'</t>
        </is>
      </c>
      <c r="K135" s="44" t="inlineStr">
        <is>
          <t>user.officer, template.case.active</t>
        </is>
      </c>
      <c r="L135" s="44" t="inlineStr">
        <is>
          <t>user.officer, template.case.active</t>
        </is>
      </c>
      <c r="M135" s="44" t="inlineStr">
        <is>
          <t>Cột Mã vụ án hiển thị HS-2026-001 (business code). Không hiển thị CUID cmpj9kxg... hoặc UUID</t>
        </is>
      </c>
      <c r="N135" s="44" t="inlineStr"/>
      <c r="O135" s="44" t="inlineStr"/>
      <c r="P135" s="41" t="inlineStr">
        <is>
          <t>[API] Đạt như expected. Thời gian: 0ms</t>
        </is>
      </c>
      <c r="Q135" s="44" t="inlineStr">
        <is>
          <t>Đạt</t>
        </is>
      </c>
      <c r="R135" s="41" t="inlineStr"/>
      <c r="S135" s="41" t="inlineStr">
        <is>
          <t>BUG-015</t>
        </is>
      </c>
      <c r="T135" s="41" t="inlineStr">
        <is>
          <t>26/05/2026 02:10</t>
        </is>
      </c>
      <c r="U135" s="41" t="inlineStr"/>
      <c r="V135" s="44" t="inlineStr"/>
      <c r="W135" s="41" t="inlineStr"/>
      <c r="X135" s="44" t="inlineStr"/>
    </row>
    <row r="136" ht="80" customHeight="1">
      <c r="A136" s="41" t="inlineStr">
        <is>
          <t>TC-133</t>
        </is>
      </c>
      <c r="B136" s="42" t="inlineStr">
        <is>
          <t>GREEN</t>
        </is>
      </c>
      <c r="C136" s="45" t="inlineStr">
        <is>
          <t>P1</t>
        </is>
      </c>
      <c r="D136" s="44" t="inlineStr">
        <is>
          <t>Regression — Sidebar</t>
        </is>
      </c>
      <c r="E136" s="44" t="inlineStr">
        <is>
          <t>REGRESSION: Settings sidebar vẫn hiển thị 'Mã số chứng từ' menu item</t>
        </is>
      </c>
      <c r="F136" s="41" t="inlineStr">
        <is>
          <t>REQ-FUNC-133</t>
        </is>
      </c>
      <c r="G136" s="41" t="inlineStr">
        <is>
          <t>Happy Path</t>
        </is>
      </c>
      <c r="H136" s="41" t="inlineStr">
        <is>
          <t>Cao</t>
        </is>
      </c>
      <c r="I136" s="44" t="inlineStr">
        <is>
          <t>Đăng nhập admin</t>
        </is>
      </c>
      <c r="J136" s="44" t="inlineStr">
        <is>
          <t>1. Kiểm tra sidebar settings</t>
        </is>
      </c>
      <c r="K136" s="44" t="inlineStr">
        <is>
          <t>user.admin</t>
        </is>
      </c>
      <c r="L136" s="44" t="inlineStr">
        <is>
          <t>user.admin</t>
        </is>
      </c>
      <c r="M136" s="44" t="inlineStr">
        <is>
          <t>Có menu item 'Mã số chứng từ' dẫn đến /settings/document-numbers. Feature flag enabled</t>
        </is>
      </c>
      <c r="N136" s="44" t="inlineStr"/>
      <c r="O136" s="44" t="inlineStr"/>
      <c r="P136" s="41" t="inlineStr">
        <is>
          <t>[API] Đạt như expected. Thời gian: 0ms</t>
        </is>
      </c>
      <c r="Q136" s="44" t="inlineStr">
        <is>
          <t>Đạt</t>
        </is>
      </c>
      <c r="R136" s="41" t="inlineStr"/>
      <c r="S136" s="41" t="inlineStr"/>
      <c r="T136" s="41" t="inlineStr">
        <is>
          <t>26/05/2026 02:10</t>
        </is>
      </c>
      <c r="U136" s="41" t="inlineStr"/>
      <c r="V136" s="44" t="inlineStr"/>
      <c r="W136" s="41" t="inlineStr"/>
      <c r="X136" s="44" t="inlineStr"/>
    </row>
    <row r="137" ht="80" customHeight="1">
      <c r="A137" s="41" t="inlineStr">
        <is>
          <t>TC-134</t>
        </is>
      </c>
      <c r="B137" s="42" t="inlineStr">
        <is>
          <t>GREEN</t>
        </is>
      </c>
      <c r="C137" s="43" t="inlineStr">
        <is>
          <t>P0</t>
        </is>
      </c>
      <c r="D137" s="44" t="inlineStr">
        <is>
          <t>Regression — Uniqueness</t>
        </is>
      </c>
      <c r="E137" s="44" t="inlineStr">
        <is>
          <t>REGRESSION: Không thể tạo 2 incident cùng code VV-2026-XXXXX</t>
        </is>
      </c>
      <c r="F137" s="41" t="inlineStr">
        <is>
          <t>REQ-FUNC-134</t>
        </is>
      </c>
      <c r="G137" s="41" t="inlineStr">
        <is>
          <t>Happy Path</t>
        </is>
      </c>
      <c r="H137" s="41" t="inlineStr">
        <is>
          <t>Cao</t>
        </is>
      </c>
      <c r="I137" s="44" t="inlineStr">
        <is>
          <t>VV-2026-00107 đã tồn tại</t>
        </is>
      </c>
      <c r="J137" s="44" t="inlineStr">
        <is>
          <t>1. Cố tình tạo incident thứ 2 với cùng code (nếu MANUAL mode)
2. Hoặc verify engine không bao giờ sinh trùng</t>
        </is>
      </c>
      <c r="K137" s="44" t="inlineStr">
        <is>
          <t>template.incident.active, user.officer</t>
        </is>
      </c>
      <c r="L137" s="44" t="inlineStr">
        <is>
          <t>template.incident.active, user.officer</t>
        </is>
      </c>
      <c r="M137" s="44" t="inlineStr">
        <is>
          <t>UNIQUE constraint trên incidents.code. DB reject nếu trùng. Engine với SELECT FOR UPDATE không bao giờ cấp trùng số</t>
        </is>
      </c>
      <c r="N137" s="44" t="inlineStr"/>
      <c r="O137" s="44" t="inlineStr"/>
      <c r="P137" s="41" t="inlineStr">
        <is>
          <t>[API] Đạt như expected. Thời gian: 0ms</t>
        </is>
      </c>
      <c r="Q137" s="44" t="inlineStr">
        <is>
          <t>Đạt</t>
        </is>
      </c>
      <c r="R137" s="41" t="inlineStr"/>
      <c r="S137" s="41" t="inlineStr"/>
      <c r="T137" s="41" t="inlineStr">
        <is>
          <t>26/05/2026 02:10</t>
        </is>
      </c>
      <c r="U137" s="41" t="inlineStr"/>
      <c r="V137" s="44" t="inlineStr"/>
      <c r="W137" s="41" t="inlineStr"/>
      <c r="X137" s="44" t="inlineStr"/>
    </row>
    <row r="138" ht="80" customHeight="1">
      <c r="A138" s="41" t="inlineStr">
        <is>
          <t>TC-135</t>
        </is>
      </c>
      <c r="B138" s="47" t="inlineStr">
        <is>
          <t>EDGE</t>
        </is>
      </c>
      <c r="C138" s="45" t="inlineStr">
        <is>
          <t>P1</t>
        </is>
      </c>
      <c r="D138" s="44" t="inlineStr">
        <is>
          <t>Recovery — Backend Restart</t>
        </is>
      </c>
      <c r="E138" s="44" t="inlineStr">
        <is>
          <t>RECOVERY: Backend restart giữa draft và commit — commit vẫn dùng số đúng</t>
        </is>
      </c>
      <c r="F138" s="41" t="inlineStr">
        <is>
          <t>REQ-FUNC-135</t>
        </is>
      </c>
      <c r="G138" s="41" t="inlineStr">
        <is>
          <t>Edge Case</t>
        </is>
      </c>
      <c r="H138" s="41" t="inlineStr">
        <is>
          <t>Cao</t>
        </is>
      </c>
      <c r="I138" s="44" t="inlineStr">
        <is>
          <t>Officer đã fetch draft VV-2026-00107, backend restart</t>
        </is>
      </c>
      <c r="J138" s="44" t="inlineStr">
        <is>
          <t>1. GET /draft → nhận VV-2026-00107
2. Restart backend (simulate deploy)
3. POST /commit {INCIDENT}</t>
        </is>
      </c>
      <c r="K138" s="44" t="inlineStr">
        <is>
          <t>template.incident.active, counter.incident.value_106, user.officer</t>
        </is>
      </c>
      <c r="L138" s="44" t="inlineStr">
        <is>
          <t>template.incident.active, counter.incident.value_106, user.officer</t>
        </is>
      </c>
      <c r="M138" s="44" t="inlineStr">
        <is>
          <t>Commit thành công. Number=VV-2026-00107 (nếu counter vẫn=106) hoặc changed=true nếu counter đã tăng bởi request khác. Không crash 500</t>
        </is>
      </c>
      <c r="N138" s="44" t="inlineStr"/>
      <c r="O138" s="44" t="inlineStr"/>
      <c r="P138" s="41" t="inlineStr">
        <is>
          <t>[API] Test đã bị skip</t>
        </is>
      </c>
      <c r="Q138" s="44" t="inlineStr">
        <is>
          <t>Bỏ qua</t>
        </is>
      </c>
      <c r="R138" s="41" t="inlineStr"/>
      <c r="S138" s="41" t="inlineStr">
        <is>
          <t>BUG-016</t>
        </is>
      </c>
      <c r="T138" s="41" t="inlineStr">
        <is>
          <t>26/05/2026 02:10</t>
        </is>
      </c>
      <c r="U138" s="41" t="inlineStr"/>
      <c r="V138" s="44" t="inlineStr"/>
      <c r="W138" s="41" t="inlineStr"/>
      <c r="X138" s="44" t="inlineStr"/>
    </row>
    <row r="139" ht="80" customHeight="1">
      <c r="A139" s="41" t="inlineStr">
        <is>
          <t>TC-136</t>
        </is>
      </c>
      <c r="B139" s="59" t="inlineStr">
        <is>
          <t>RECOVERY</t>
        </is>
      </c>
      <c r="C139" s="45" t="inlineStr">
        <is>
          <t>P1</t>
        </is>
      </c>
      <c r="D139" s="44" t="inlineStr">
        <is>
          <t>Recovery — DB Rollback</t>
        </is>
      </c>
      <c r="E139" s="44" t="inlineStr">
        <is>
          <t>RECOVERY: DB connection drop trong commit transaction → transaction rollback clean</t>
        </is>
      </c>
      <c r="F139" s="41" t="inlineStr">
        <is>
          <t>REQ-FUNC-136</t>
        </is>
      </c>
      <c r="G139" s="41" t="inlineStr">
        <is>
          <t>Recovery</t>
        </is>
      </c>
      <c r="H139" s="41" t="inlineStr">
        <is>
          <t>Cao</t>
        </is>
      </c>
      <c r="I139" s="44" t="inlineStr">
        <is>
          <t>Template INCIDENT, simulate DB connection drop mid-transaction</t>
        </is>
      </c>
      <c r="J139" s="44" t="inlineStr">
        <is>
          <t>1. Mock DB để drop connection sau INSERT DocumentNumberLog
2. POST /commit</t>
        </is>
      </c>
      <c r="K139" s="44" t="inlineStr">
        <is>
          <t>template.incident.active, user.officer</t>
        </is>
      </c>
      <c r="L139" s="44" t="inlineStr">
        <is>
          <t>template.incident.active, user.officer</t>
        </is>
      </c>
      <c r="M139" s="44" t="inlineStr">
        <is>
          <t>500 error trả về. Counter KHÔNG tăng (rollback). Document KHÔNG tạo. Không orphan log. DB state clean</t>
        </is>
      </c>
      <c r="N139" s="44" t="inlineStr"/>
      <c r="O139" s="44" t="inlineStr"/>
      <c r="P139" s="41" t="inlineStr">
        <is>
          <t>[API] Test đã bị skip</t>
        </is>
      </c>
      <c r="Q139" s="44" t="inlineStr">
        <is>
          <t>Bỏ qua</t>
        </is>
      </c>
      <c r="R139" s="41" t="inlineStr"/>
      <c r="S139" s="41" t="inlineStr">
        <is>
          <t>BUG-017</t>
        </is>
      </c>
      <c r="T139" s="41" t="inlineStr">
        <is>
          <t>26/05/2026 02:10</t>
        </is>
      </c>
      <c r="U139" s="41" t="inlineStr"/>
      <c r="V139" s="44" t="inlineStr"/>
      <c r="W139" s="41" t="inlineStr"/>
      <c r="X139" s="44" t="inlineStr"/>
    </row>
    <row r="140" ht="80" customHeight="1">
      <c r="A140" s="41" t="inlineStr">
        <is>
          <t>TC-137</t>
        </is>
      </c>
      <c r="B140" s="55" t="inlineStr">
        <is>
          <t>EP</t>
        </is>
      </c>
      <c r="C140" s="45" t="inlineStr">
        <is>
          <t>P1</t>
        </is>
      </c>
      <c r="D140" s="44" t="inlineStr">
        <is>
          <t>EP — resetPeriod</t>
        </is>
      </c>
      <c r="E140" s="44" t="inlineStr">
        <is>
          <t>EP resetPeriod: YEARLY valid</t>
        </is>
      </c>
      <c r="F140" s="41" t="inlineStr">
        <is>
          <t>REQ-FUNC-137</t>
        </is>
      </c>
      <c r="G140" s="41" t="inlineStr">
        <is>
          <t>Equivalence Partitioning</t>
        </is>
      </c>
      <c r="H140" s="41" t="inlineStr">
        <is>
          <t>Cao</t>
        </is>
      </c>
      <c r="I140" s="44" t="inlineStr">
        <is>
          <t>Admin tạo template</t>
        </is>
      </c>
      <c r="J140" s="44" t="inlineStr">
        <is>
          <t>1. POST /templates {counterConfig:{resetPeriod:'YEARLY',...}}</t>
        </is>
      </c>
      <c r="K140" s="44" t="inlineStr">
        <is>
          <t>user.admin</t>
        </is>
      </c>
      <c r="L140" s="44" t="inlineStr">
        <is>
          <t>user.admin</t>
        </is>
      </c>
      <c r="M140" s="44" t="inlineStr">
        <is>
          <t>201. Template tạo thành công</t>
        </is>
      </c>
      <c r="N140" s="44" t="inlineStr"/>
      <c r="O140" s="44" t="inlineStr"/>
      <c r="P140" s="41" t="inlineStr">
        <is>
          <t>[API] Đạt như expected. Thời gian: 0ms</t>
        </is>
      </c>
      <c r="Q140" s="44" t="inlineStr">
        <is>
          <t>Đạt</t>
        </is>
      </c>
      <c r="R140" s="41" t="inlineStr"/>
      <c r="S140" s="41" t="inlineStr"/>
      <c r="T140" s="41" t="inlineStr">
        <is>
          <t>26/05/2026 02:10</t>
        </is>
      </c>
      <c r="U140" s="41" t="inlineStr"/>
      <c r="V140" s="44" t="inlineStr"/>
      <c r="W140" s="41" t="inlineStr"/>
      <c r="X140" s="44" t="inlineStr"/>
    </row>
    <row r="141" ht="80" customHeight="1">
      <c r="A141" s="41" t="inlineStr">
        <is>
          <t>TC-138</t>
        </is>
      </c>
      <c r="B141" s="55" t="inlineStr">
        <is>
          <t>EP</t>
        </is>
      </c>
      <c r="C141" s="45" t="inlineStr">
        <is>
          <t>P1</t>
        </is>
      </c>
      <c r="D141" s="44" t="inlineStr">
        <is>
          <t>EP — resetPeriod</t>
        </is>
      </c>
      <c r="E141" s="44" t="inlineStr">
        <is>
          <t>EP resetPeriod: MONTHLY valid</t>
        </is>
      </c>
      <c r="F141" s="41" t="inlineStr">
        <is>
          <t>REQ-FUNC-138</t>
        </is>
      </c>
      <c r="G141" s="41" t="inlineStr">
        <is>
          <t>Equivalence Partitioning</t>
        </is>
      </c>
      <c r="H141" s="41" t="inlineStr">
        <is>
          <t>Cao</t>
        </is>
      </c>
      <c r="I141" s="44" t="inlineStr">
        <is>
          <t>Admin tạo template</t>
        </is>
      </c>
      <c r="J141" s="44" t="inlineStr">
        <is>
          <t>1. POST /templates {counterConfig:{resetPeriod:'MONTHLY',...}}</t>
        </is>
      </c>
      <c r="K141" s="44" t="inlineStr">
        <is>
          <t>user.admin</t>
        </is>
      </c>
      <c r="L141" s="44" t="inlineStr">
        <is>
          <t>user.admin</t>
        </is>
      </c>
      <c r="M141" s="44" t="inlineStr">
        <is>
          <t>201</t>
        </is>
      </c>
      <c r="N141" s="44" t="inlineStr"/>
      <c r="O141" s="44" t="inlineStr"/>
      <c r="P141" s="41" t="inlineStr">
        <is>
          <t>[API] Đạt như expected. Thời gian: 0ms</t>
        </is>
      </c>
      <c r="Q141" s="44" t="inlineStr">
        <is>
          <t>Đạt</t>
        </is>
      </c>
      <c r="R141" s="41" t="inlineStr"/>
      <c r="S141" s="41" t="inlineStr"/>
      <c r="T141" s="41" t="inlineStr">
        <is>
          <t>26/05/2026 02:10</t>
        </is>
      </c>
      <c r="U141" s="41" t="inlineStr"/>
      <c r="V141" s="44" t="inlineStr"/>
      <c r="W141" s="41" t="inlineStr"/>
      <c r="X141" s="44" t="inlineStr"/>
    </row>
    <row r="142" ht="80" customHeight="1">
      <c r="A142" s="41" t="inlineStr">
        <is>
          <t>TC-139</t>
        </is>
      </c>
      <c r="B142" s="55" t="inlineStr">
        <is>
          <t>EP</t>
        </is>
      </c>
      <c r="C142" s="45" t="inlineStr">
        <is>
          <t>P1</t>
        </is>
      </c>
      <c r="D142" s="44" t="inlineStr">
        <is>
          <t>EP — resetPeriod</t>
        </is>
      </c>
      <c r="E142" s="44" t="inlineStr">
        <is>
          <t>EP resetPeriod: WEEKLY valid</t>
        </is>
      </c>
      <c r="F142" s="41" t="inlineStr">
        <is>
          <t>REQ-FUNC-139</t>
        </is>
      </c>
      <c r="G142" s="41" t="inlineStr">
        <is>
          <t>Equivalence Partitioning</t>
        </is>
      </c>
      <c r="H142" s="41" t="inlineStr">
        <is>
          <t>Cao</t>
        </is>
      </c>
      <c r="I142" s="44" t="inlineStr">
        <is>
          <t>Admin tạo template</t>
        </is>
      </c>
      <c r="J142" s="44" t="inlineStr">
        <is>
          <t>1. POST /templates {counterConfig:{resetPeriod:'WEEKLY',...}}</t>
        </is>
      </c>
      <c r="K142" s="44" t="inlineStr">
        <is>
          <t>user.admin</t>
        </is>
      </c>
      <c r="L142" s="44" t="inlineStr">
        <is>
          <t>user.admin</t>
        </is>
      </c>
      <c r="M142" s="44" t="inlineStr">
        <is>
          <t>201</t>
        </is>
      </c>
      <c r="N142" s="44" t="inlineStr"/>
      <c r="O142" s="44" t="inlineStr"/>
      <c r="P142" s="41" t="inlineStr">
        <is>
          <t>[API] Đạt như expected. Thời gian: 0ms</t>
        </is>
      </c>
      <c r="Q142" s="44" t="inlineStr">
        <is>
          <t>Đạt</t>
        </is>
      </c>
      <c r="R142" s="41" t="inlineStr"/>
      <c r="S142" s="41" t="inlineStr"/>
      <c r="T142" s="41" t="inlineStr">
        <is>
          <t>26/05/2026 02:10</t>
        </is>
      </c>
      <c r="U142" s="41" t="inlineStr"/>
      <c r="V142" s="44" t="inlineStr"/>
      <c r="W142" s="41" t="inlineStr"/>
      <c r="X142" s="44" t="inlineStr"/>
    </row>
    <row r="143" ht="80" customHeight="1">
      <c r="A143" s="41" t="inlineStr">
        <is>
          <t>TC-140</t>
        </is>
      </c>
      <c r="B143" s="55" t="inlineStr">
        <is>
          <t>EP</t>
        </is>
      </c>
      <c r="C143" s="45" t="inlineStr">
        <is>
          <t>P1</t>
        </is>
      </c>
      <c r="D143" s="44" t="inlineStr">
        <is>
          <t>EP — resetPeriod</t>
        </is>
      </c>
      <c r="E143" s="44" t="inlineStr">
        <is>
          <t>EP resetPeriod: NEVER valid</t>
        </is>
      </c>
      <c r="F143" s="41" t="inlineStr">
        <is>
          <t>REQ-FUNC-140</t>
        </is>
      </c>
      <c r="G143" s="41" t="inlineStr">
        <is>
          <t>Equivalence Partitioning</t>
        </is>
      </c>
      <c r="H143" s="41" t="inlineStr">
        <is>
          <t>Cao</t>
        </is>
      </c>
      <c r="I143" s="44" t="inlineStr">
        <is>
          <t>Admin tạo template</t>
        </is>
      </c>
      <c r="J143" s="44" t="inlineStr">
        <is>
          <t>1. POST /templates {counterConfig:{resetPeriod:'NEVER',...}}</t>
        </is>
      </c>
      <c r="K143" s="44" t="inlineStr">
        <is>
          <t>user.admin</t>
        </is>
      </c>
      <c r="L143" s="44" t="inlineStr">
        <is>
          <t>user.admin</t>
        </is>
      </c>
      <c r="M143" s="44" t="inlineStr">
        <is>
          <t>201</t>
        </is>
      </c>
      <c r="N143" s="44" t="inlineStr"/>
      <c r="O143" s="44" t="inlineStr"/>
      <c r="P143" s="41" t="inlineStr">
        <is>
          <t>[API] Đạt như expected. Thời gian: 0ms</t>
        </is>
      </c>
      <c r="Q143" s="44" t="inlineStr">
        <is>
          <t>Đạt</t>
        </is>
      </c>
      <c r="R143" s="41" t="inlineStr"/>
      <c r="S143" s="41" t="inlineStr"/>
      <c r="T143" s="41" t="inlineStr">
        <is>
          <t>26/05/2026 02:10</t>
        </is>
      </c>
      <c r="U143" s="41" t="inlineStr"/>
      <c r="V143" s="44" t="inlineStr"/>
      <c r="W143" s="41" t="inlineStr"/>
      <c r="X143" s="44" t="inlineStr"/>
    </row>
    <row r="144" ht="80" customHeight="1">
      <c r="A144" s="41" t="inlineStr">
        <is>
          <t>TC-141</t>
        </is>
      </c>
      <c r="B144" s="55" t="inlineStr">
        <is>
          <t>EP</t>
        </is>
      </c>
      <c r="C144" s="45" t="inlineStr">
        <is>
          <t>P1</t>
        </is>
      </c>
      <c r="D144" s="44" t="inlineStr">
        <is>
          <t>EP — resetPeriod</t>
        </is>
      </c>
      <c r="E144" s="44" t="inlineStr">
        <is>
          <t>EP resetPeriod: MAX_NUMBER valid</t>
        </is>
      </c>
      <c r="F144" s="41" t="inlineStr">
        <is>
          <t>REQ-FUNC-141</t>
        </is>
      </c>
      <c r="G144" s="41" t="inlineStr">
        <is>
          <t>Equivalence Partitioning</t>
        </is>
      </c>
      <c r="H144" s="41" t="inlineStr">
        <is>
          <t>Cao</t>
        </is>
      </c>
      <c r="I144" s="44" t="inlineStr">
        <is>
          <t>Admin tạo template</t>
        </is>
      </c>
      <c r="J144" s="44" t="inlineStr">
        <is>
          <t>1. POST /templates {counterConfig:{resetPeriod:'MAX_NUMBER',...}}</t>
        </is>
      </c>
      <c r="K144" s="44" t="inlineStr">
        <is>
          <t>user.admin</t>
        </is>
      </c>
      <c r="L144" s="44" t="inlineStr">
        <is>
          <t>user.admin</t>
        </is>
      </c>
      <c r="M144" s="44" t="inlineStr">
        <is>
          <t>201</t>
        </is>
      </c>
      <c r="N144" s="44" t="inlineStr"/>
      <c r="O144" s="44" t="inlineStr"/>
      <c r="P144" s="41" t="inlineStr">
        <is>
          <t>[API] Đạt như expected. Thời gian: 0ms</t>
        </is>
      </c>
      <c r="Q144" s="44" t="inlineStr">
        <is>
          <t>Đạt</t>
        </is>
      </c>
      <c r="R144" s="41" t="inlineStr"/>
      <c r="S144" s="41" t="inlineStr"/>
      <c r="T144" s="41" t="inlineStr">
        <is>
          <t>26/05/2026 02:10</t>
        </is>
      </c>
      <c r="U144" s="41" t="inlineStr"/>
      <c r="V144" s="44" t="inlineStr"/>
      <c r="W144" s="41" t="inlineStr"/>
      <c r="X144" s="44" t="inlineStr"/>
    </row>
    <row r="145" ht="80" customHeight="1">
      <c r="A145" s="41" t="inlineStr">
        <is>
          <t>TC-142</t>
        </is>
      </c>
      <c r="B145" s="55" t="inlineStr">
        <is>
          <t>EP</t>
        </is>
      </c>
      <c r="C145" s="45" t="inlineStr">
        <is>
          <t>P1</t>
        </is>
      </c>
      <c r="D145" s="44" t="inlineStr">
        <is>
          <t>EP — resetPeriod</t>
        </is>
      </c>
      <c r="E145" s="44" t="inlineStr">
        <is>
          <t>EP resetPeriod: 'DAILY' (không hợp lệ) → 400</t>
        </is>
      </c>
      <c r="F145" s="41" t="inlineStr">
        <is>
          <t>REQ-FUNC-142</t>
        </is>
      </c>
      <c r="G145" s="41" t="inlineStr">
        <is>
          <t>Equivalence Partitioning</t>
        </is>
      </c>
      <c r="H145" s="41" t="inlineStr">
        <is>
          <t>Cao</t>
        </is>
      </c>
      <c r="I145" s="44" t="inlineStr">
        <is>
          <t>Admin tạo template</t>
        </is>
      </c>
      <c r="J145" s="44" t="inlineStr">
        <is>
          <t>1. POST /templates {counterConfig:{resetPeriod:'DAILY',...}}</t>
        </is>
      </c>
      <c r="K145" s="44" t="inlineStr">
        <is>
          <t>user.admin</t>
        </is>
      </c>
      <c r="L145" s="44" t="inlineStr">
        <is>
          <t>user.admin</t>
        </is>
      </c>
      <c r="M145" s="44" t="inlineStr">
        <is>
          <t>400. Validation error: resetPeriod phải là YEARLY/MONTHLY/WEEKLY/NEVER/MAX_NUMBER</t>
        </is>
      </c>
      <c r="N145" s="44" t="inlineStr"/>
      <c r="O145" s="44" t="inlineStr"/>
      <c r="P145" s="41" t="inlineStr">
        <is>
          <t>[API] Không đạt - xem HTML report</t>
        </is>
      </c>
      <c r="Q145" s="44" t="inlineStr">
        <is>
          <t>Không đạt</t>
        </is>
      </c>
      <c r="R145" s="41" t="inlineStr"/>
      <c r="S145" s="41" t="inlineStr">
        <is>
          <t>BUG-018</t>
        </is>
      </c>
      <c r="T145" s="41" t="inlineStr">
        <is>
          <t>26/05/2026 02:10</t>
        </is>
      </c>
      <c r="U145" s="41" t="inlineStr"/>
      <c r="V145" s="44" t="inlineStr"/>
      <c r="W145" s="41" t="inlineStr"/>
      <c r="X145" s="44" t="inlineStr"/>
    </row>
    <row r="146" ht="80" customHeight="1">
      <c r="A146" s="41" t="inlineStr">
        <is>
          <t>TC-143</t>
        </is>
      </c>
      <c r="B146" s="55" t="inlineStr">
        <is>
          <t>EP</t>
        </is>
      </c>
      <c r="C146" s="45" t="inlineStr">
        <is>
          <t>P1</t>
        </is>
      </c>
      <c r="D146" s="44" t="inlineStr">
        <is>
          <t>EP — inputMode</t>
        </is>
      </c>
      <c r="E146" s="44" t="inlineStr">
        <is>
          <t>EP inputMode: AUTO valid</t>
        </is>
      </c>
      <c r="F146" s="41" t="inlineStr">
        <is>
          <t>REQ-FUNC-143</t>
        </is>
      </c>
      <c r="G146" s="41" t="inlineStr">
        <is>
          <t>Equivalence Partitioning</t>
        </is>
      </c>
      <c r="H146" s="41" t="inlineStr">
        <is>
          <t>Cao</t>
        </is>
      </c>
      <c r="I146" s="44" t="inlineStr">
        <is>
          <t>Admin</t>
        </is>
      </c>
      <c r="J146" s="44" t="inlineStr">
        <is>
          <t>1. POST /templates {inputMode:'AUTO',...}</t>
        </is>
      </c>
      <c r="K146" s="44" t="inlineStr">
        <is>
          <t>user.admin</t>
        </is>
      </c>
      <c r="L146" s="44" t="inlineStr">
        <is>
          <t>user.admin</t>
        </is>
      </c>
      <c r="M146" s="44" t="inlineStr">
        <is>
          <t>201</t>
        </is>
      </c>
      <c r="N146" s="44" t="inlineStr"/>
      <c r="O146" s="44" t="inlineStr"/>
      <c r="P146" s="41" t="inlineStr">
        <is>
          <t>[API] Không đạt - xem HTML report</t>
        </is>
      </c>
      <c r="Q146" s="44" t="inlineStr">
        <is>
          <t>Không đạt</t>
        </is>
      </c>
      <c r="R146" s="41" t="inlineStr"/>
      <c r="S146" s="41" t="inlineStr"/>
      <c r="T146" s="41" t="inlineStr">
        <is>
          <t>26/05/2026 02:10</t>
        </is>
      </c>
      <c r="U146" s="41" t="inlineStr"/>
      <c r="V146" s="44" t="inlineStr"/>
      <c r="W146" s="41" t="inlineStr"/>
      <c r="X146" s="44" t="inlineStr"/>
    </row>
    <row r="147" ht="80" customHeight="1">
      <c r="A147" s="41" t="inlineStr">
        <is>
          <t>TC-144</t>
        </is>
      </c>
      <c r="B147" s="55" t="inlineStr">
        <is>
          <t>EP</t>
        </is>
      </c>
      <c r="C147" s="45" t="inlineStr">
        <is>
          <t>P1</t>
        </is>
      </c>
      <c r="D147" s="44" t="inlineStr">
        <is>
          <t>EP — inputMode</t>
        </is>
      </c>
      <c r="E147" s="44" t="inlineStr">
        <is>
          <t>EP inputMode: MANUAL valid</t>
        </is>
      </c>
      <c r="F147" s="41" t="inlineStr">
        <is>
          <t>REQ-FUNC-144</t>
        </is>
      </c>
      <c r="G147" s="41" t="inlineStr">
        <is>
          <t>Equivalence Partitioning</t>
        </is>
      </c>
      <c r="H147" s="41" t="inlineStr">
        <is>
          <t>Cao</t>
        </is>
      </c>
      <c r="I147" s="44" t="inlineStr">
        <is>
          <t>Admin</t>
        </is>
      </c>
      <c r="J147" s="44" t="inlineStr">
        <is>
          <t>1. POST /templates {inputMode:'MANUAL',...}</t>
        </is>
      </c>
      <c r="K147" s="44" t="inlineStr">
        <is>
          <t>user.admin</t>
        </is>
      </c>
      <c r="L147" s="44" t="inlineStr">
        <is>
          <t>user.admin</t>
        </is>
      </c>
      <c r="M147" s="44" t="inlineStr">
        <is>
          <t>201</t>
        </is>
      </c>
      <c r="N147" s="44" t="inlineStr"/>
      <c r="O147" s="44" t="inlineStr"/>
      <c r="P147" s="41" t="inlineStr">
        <is>
          <t>[API] Đạt như expected. Thời gian: 0ms</t>
        </is>
      </c>
      <c r="Q147" s="44" t="inlineStr">
        <is>
          <t>Đạt</t>
        </is>
      </c>
      <c r="R147" s="41" t="inlineStr"/>
      <c r="S147" s="41" t="inlineStr"/>
      <c r="T147" s="41" t="inlineStr">
        <is>
          <t>26/05/2026 02:10</t>
        </is>
      </c>
      <c r="U147" s="41" t="inlineStr"/>
      <c r="V147" s="44" t="inlineStr"/>
      <c r="W147" s="41" t="inlineStr"/>
      <c r="X147" s="44" t="inlineStr"/>
    </row>
    <row r="148" ht="80" customHeight="1">
      <c r="A148" s="41" t="inlineStr">
        <is>
          <t>TC-145</t>
        </is>
      </c>
      <c r="B148" s="55" t="inlineStr">
        <is>
          <t>EP</t>
        </is>
      </c>
      <c r="C148" s="45" t="inlineStr">
        <is>
          <t>P1</t>
        </is>
      </c>
      <c r="D148" s="44" t="inlineStr">
        <is>
          <t>EP — inputMode</t>
        </is>
      </c>
      <c r="E148" s="44" t="inlineStr">
        <is>
          <t>EP inputMode: AUTO_WITH_OVERRIDE valid</t>
        </is>
      </c>
      <c r="F148" s="41" t="inlineStr">
        <is>
          <t>REQ-FUNC-145</t>
        </is>
      </c>
      <c r="G148" s="41" t="inlineStr">
        <is>
          <t>Equivalence Partitioning</t>
        </is>
      </c>
      <c r="H148" s="41" t="inlineStr">
        <is>
          <t>Cao</t>
        </is>
      </c>
      <c r="I148" s="44" t="inlineStr">
        <is>
          <t>Admin</t>
        </is>
      </c>
      <c r="J148" s="44" t="inlineStr">
        <is>
          <t>1. POST /templates {inputMode:'AUTO_WITH_OVERRIDE',...}</t>
        </is>
      </c>
      <c r="K148" s="44" t="inlineStr">
        <is>
          <t>user.admin</t>
        </is>
      </c>
      <c r="L148" s="44" t="inlineStr">
        <is>
          <t>user.admin</t>
        </is>
      </c>
      <c r="M148" s="44" t="inlineStr">
        <is>
          <t>201</t>
        </is>
      </c>
      <c r="N148" s="44" t="inlineStr"/>
      <c r="O148" s="44" t="inlineStr"/>
      <c r="P148" s="41" t="inlineStr">
        <is>
          <t>[API] Đạt như expected. Thời gian: 0ms</t>
        </is>
      </c>
      <c r="Q148" s="44" t="inlineStr">
        <is>
          <t>Đạt</t>
        </is>
      </c>
      <c r="R148" s="41" t="inlineStr"/>
      <c r="S148" s="41" t="inlineStr"/>
      <c r="T148" s="41" t="inlineStr">
        <is>
          <t>26/05/2026 02:10</t>
        </is>
      </c>
      <c r="U148" s="41" t="inlineStr"/>
      <c r="V148" s="44" t="inlineStr"/>
      <c r="W148" s="41" t="inlineStr"/>
      <c r="X148" s="44" t="inlineStr"/>
    </row>
    <row r="149" ht="80" customHeight="1">
      <c r="A149" s="41" t="inlineStr">
        <is>
          <t>TC-146</t>
        </is>
      </c>
      <c r="B149" s="55" t="inlineStr">
        <is>
          <t>EP</t>
        </is>
      </c>
      <c r="C149" s="45" t="inlineStr">
        <is>
          <t>P1</t>
        </is>
      </c>
      <c r="D149" s="44" t="inlineStr">
        <is>
          <t>EP — inputMode</t>
        </is>
      </c>
      <c r="E149" s="44" t="inlineStr">
        <is>
          <t>EP inputMode: 'HYBRID' (không hợp lệ) → 400</t>
        </is>
      </c>
      <c r="F149" s="41" t="inlineStr">
        <is>
          <t>REQ-FUNC-146</t>
        </is>
      </c>
      <c r="G149" s="41" t="inlineStr">
        <is>
          <t>Equivalence Partitioning</t>
        </is>
      </c>
      <c r="H149" s="41" t="inlineStr">
        <is>
          <t>Cao</t>
        </is>
      </c>
      <c r="I149" s="44" t="inlineStr">
        <is>
          <t>Admin</t>
        </is>
      </c>
      <c r="J149" s="44" t="inlineStr">
        <is>
          <t>1. POST /templates {inputMode:'HYBRID',...}</t>
        </is>
      </c>
      <c r="K149" s="44" t="inlineStr">
        <is>
          <t>user.admin</t>
        </is>
      </c>
      <c r="L149" s="44" t="inlineStr">
        <is>
          <t>user.admin</t>
        </is>
      </c>
      <c r="M149" s="44" t="inlineStr">
        <is>
          <t>400. Validation error: inputMode phải là AUTO/MANUAL/AUTO_WITH_OVERRIDE</t>
        </is>
      </c>
      <c r="N149" s="44" t="inlineStr"/>
      <c r="O149" s="44" t="inlineStr"/>
      <c r="P149" s="41" t="inlineStr">
        <is>
          <t>[API] Không đạt - xem HTML report</t>
        </is>
      </c>
      <c r="Q149" s="44" t="inlineStr">
        <is>
          <t>Không đạt</t>
        </is>
      </c>
      <c r="R149" s="41" t="inlineStr"/>
      <c r="S149" s="41" t="inlineStr">
        <is>
          <t>BUG-019</t>
        </is>
      </c>
      <c r="T149" s="41" t="inlineStr">
        <is>
          <t>26/05/2026 02:10</t>
        </is>
      </c>
      <c r="U149" s="41" t="inlineStr"/>
      <c r="V149" s="44" t="inlineStr"/>
      <c r="W149" s="41" t="inlineStr"/>
      <c r="X149" s="44" t="inlineStr"/>
    </row>
    <row r="150" ht="80" customHeight="1">
      <c r="A150" s="41" t="inlineStr">
        <is>
          <t>TC-147</t>
        </is>
      </c>
      <c r="B150" s="42" t="inlineStr">
        <is>
          <t>GREEN</t>
        </is>
      </c>
      <c r="C150" s="45" t="inlineStr">
        <is>
          <t>P1</t>
        </is>
      </c>
      <c r="D150" s="44" t="inlineStr">
        <is>
          <t>Audit Log — Fields</t>
        </is>
      </c>
      <c r="E150" s="44" t="inlineStr">
        <is>
          <t>AUDIT: GET /logs — trả về logId, templateId, generatedNumber, userId, isDraft, createdAt</t>
        </is>
      </c>
      <c r="F150" s="41" t="inlineStr">
        <is>
          <t>REQ-FUNC-147</t>
        </is>
      </c>
      <c r="G150" s="41" t="inlineStr">
        <is>
          <t>Happy Path</t>
        </is>
      </c>
      <c r="H150" s="41" t="inlineStr">
        <is>
          <t>Cao</t>
        </is>
      </c>
      <c r="I150" s="44" t="inlineStr">
        <is>
          <t>Admin, ít nhất 1 log tồn tại</t>
        </is>
      </c>
      <c r="J150" s="44" t="inlineStr">
        <is>
          <t>1. GET /api/v1/document-numbers/logs</t>
        </is>
      </c>
      <c r="K150" s="44" t="inlineStr">
        <is>
          <t>user.admin, logs.mixed_users_18</t>
        </is>
      </c>
      <c r="L150" s="44" t="inlineStr">
        <is>
          <t>user.admin, logs.mixed_users_18</t>
        </is>
      </c>
      <c r="M150" s="44" t="inlineStr">
        <is>
          <t>Array logs, mỗi item có: id, templateId, generatedNumber (VD: VV-2026-00107), documentType, userId, isDraft (false), createdAt. documentId có thể null với log draft</t>
        </is>
      </c>
      <c r="N150" s="44" t="inlineStr"/>
      <c r="O150" s="44" t="inlineStr"/>
      <c r="P150" s="41" t="inlineStr">
        <is>
          <t>[API] Đạt như expected. Thời gian: 0ms</t>
        </is>
      </c>
      <c r="Q150" s="44" t="inlineStr">
        <is>
          <t>Đạt</t>
        </is>
      </c>
      <c r="R150" s="41" t="inlineStr"/>
      <c r="S150" s="41" t="inlineStr"/>
      <c r="T150" s="41" t="inlineStr">
        <is>
          <t>26/05/2026 02:10</t>
        </is>
      </c>
      <c r="U150" s="41" t="inlineStr"/>
      <c r="V150" s="44" t="inlineStr"/>
      <c r="W150" s="41" t="inlineStr"/>
      <c r="X150" s="44" t="inlineStr"/>
    </row>
    <row r="151" ht="80" customHeight="1">
      <c r="A151" s="41" t="inlineStr">
        <is>
          <t>TC-148</t>
        </is>
      </c>
      <c r="B151" s="42" t="inlineStr">
        <is>
          <t>GREEN</t>
        </is>
      </c>
      <c r="C151" s="48" t="inlineStr">
        <is>
          <t>P2</t>
        </is>
      </c>
      <c r="D151" s="44" t="inlineStr">
        <is>
          <t>Audit Log — Filter</t>
        </is>
      </c>
      <c r="E151" s="44" t="inlineStr">
        <is>
          <t>AUDIT: filter logs theo templateId</t>
        </is>
      </c>
      <c r="F151" s="41" t="inlineStr">
        <is>
          <t>REQ-FUNC-148</t>
        </is>
      </c>
      <c r="G151" s="41" t="inlineStr">
        <is>
          <t>Happy Path</t>
        </is>
      </c>
      <c r="H151" s="41" t="inlineStr">
        <is>
          <t>TB</t>
        </is>
      </c>
      <c r="I151" s="44" t="inlineStr">
        <is>
          <t>Admin, logs từ nhiều template</t>
        </is>
      </c>
      <c r="J151" s="44" t="inlineStr">
        <is>
          <t>1. GET /logs?templateId={incidentTemplateId}</t>
        </is>
      </c>
      <c r="K151" s="44" t="inlineStr">
        <is>
          <t>user.admin, logs.mixed_users_18</t>
        </is>
      </c>
      <c r="L151" s="44" t="inlineStr">
        <is>
          <t>user.admin, logs.mixed_users_18</t>
        </is>
      </c>
      <c r="M151" s="44" t="inlineStr">
        <is>
          <t>Chỉ trả về logs của template INCIDENT. Không lẫn logs của PETITION hay CASE</t>
        </is>
      </c>
      <c r="N151" s="44" t="inlineStr"/>
      <c r="O151" s="44" t="inlineStr"/>
      <c r="P151" s="41" t="inlineStr">
        <is>
          <t>[API] Đạt như expected. Thời gian: 0ms</t>
        </is>
      </c>
      <c r="Q151" s="44" t="inlineStr">
        <is>
          <t>Đạt</t>
        </is>
      </c>
      <c r="R151" s="41" t="inlineStr"/>
      <c r="S151" s="41" t="inlineStr"/>
      <c r="T151" s="41" t="inlineStr">
        <is>
          <t>26/05/2026 02:10</t>
        </is>
      </c>
      <c r="U151" s="41" t="inlineStr"/>
      <c r="V151" s="44" t="inlineStr"/>
      <c r="W151" s="41" t="inlineStr"/>
      <c r="X151" s="44" t="inlineStr"/>
    </row>
    <row r="152" ht="80" customHeight="1">
      <c r="A152" s="41" t="inlineStr">
        <is>
          <t>TC-149</t>
        </is>
      </c>
      <c r="B152" s="42" t="inlineStr">
        <is>
          <t>GREEN</t>
        </is>
      </c>
      <c r="C152" s="48" t="inlineStr">
        <is>
          <t>P2</t>
        </is>
      </c>
      <c r="D152" s="44" t="inlineStr">
        <is>
          <t>Audit Log — Filter Date</t>
        </is>
      </c>
      <c r="E152" s="44" t="inlineStr">
        <is>
          <t>AUDIT: filter logs theo dateRange</t>
        </is>
      </c>
      <c r="F152" s="41" t="inlineStr">
        <is>
          <t>REQ-FUNC-149</t>
        </is>
      </c>
      <c r="G152" s="41" t="inlineStr">
        <is>
          <t>Happy Path</t>
        </is>
      </c>
      <c r="H152" s="41" t="inlineStr">
        <is>
          <t>TB</t>
        </is>
      </c>
      <c r="I152" s="44" t="inlineStr">
        <is>
          <t>Admin, logs từ nhiều ngày</t>
        </is>
      </c>
      <c r="J152" s="44" t="inlineStr">
        <is>
          <t>1. GET /logs?from=2026-05-01&amp;to=2026-05-25</t>
        </is>
      </c>
      <c r="K152" s="44" t="inlineStr">
        <is>
          <t>user.admin</t>
        </is>
      </c>
      <c r="L152" s="44" t="inlineStr">
        <is>
          <t>user.admin</t>
        </is>
      </c>
      <c r="M152" s="44" t="inlineStr">
        <is>
          <t>Chỉ trả về logs trong khoảng ngày. Logs ngoài range bị exclude</t>
        </is>
      </c>
      <c r="N152" s="44" t="inlineStr"/>
      <c r="O152" s="44" t="inlineStr"/>
      <c r="P152" s="41" t="inlineStr">
        <is>
          <t>[API] Đạt như expected. Thời gian: 0ms</t>
        </is>
      </c>
      <c r="Q152" s="44" t="inlineStr">
        <is>
          <t>Đạt</t>
        </is>
      </c>
      <c r="R152" s="41" t="inlineStr"/>
      <c r="S152" s="41" t="inlineStr"/>
      <c r="T152" s="41" t="inlineStr">
        <is>
          <t>26/05/2026 02:10</t>
        </is>
      </c>
      <c r="U152" s="41" t="inlineStr"/>
      <c r="V152" s="44" t="inlineStr"/>
      <c r="W152" s="41" t="inlineStr"/>
      <c r="X152" s="44" t="inlineStr"/>
    </row>
    <row r="153" ht="80" customHeight="1">
      <c r="A153" s="41" t="inlineStr">
        <is>
          <t>TC-150</t>
        </is>
      </c>
      <c r="B153" s="50" t="inlineStr">
        <is>
          <t>SECURITY</t>
        </is>
      </c>
      <c r="C153" s="45" t="inlineStr">
        <is>
          <t>P1</t>
        </is>
      </c>
      <c r="D153" s="44" t="inlineStr">
        <is>
          <t>Security — CSRF</t>
        </is>
      </c>
      <c r="E153" s="44" t="inlineStr">
        <is>
          <t>SECURITY: CSRF — POST /commit từ domain khác → blocked</t>
        </is>
      </c>
      <c r="F153" s="41" t="inlineStr">
        <is>
          <t>REQ-SEC-150</t>
        </is>
      </c>
      <c r="G153" s="41" t="inlineStr">
        <is>
          <t>OWASP Top 10</t>
        </is>
      </c>
      <c r="H153" s="41" t="inlineStr">
        <is>
          <t>Cao</t>
        </is>
      </c>
      <c r="I153" s="44" t="inlineStr">
        <is>
          <t>Request gửi từ origin không phải app domain</t>
        </is>
      </c>
      <c r="J153" s="44" t="inlineStr">
        <is>
          <t>1. Gửi POST /commit với Origin: https://evil.com
2. Không có valid CSRF token hoặc CORS samesite</t>
        </is>
      </c>
      <c r="K153" s="44" t="inlineStr">
        <is>
          <t>user.officer</t>
        </is>
      </c>
      <c r="L153" s="44" t="inlineStr">
        <is>
          <t>user.officer</t>
        </is>
      </c>
      <c r="M153" s="44" t="inlineStr">
        <is>
          <t>403 hoặc CORS blocked. Không thực hiện commit. Counter không tăng</t>
        </is>
      </c>
      <c r="N153" s="44" t="inlineStr"/>
      <c r="O153" s="44" t="inlineStr"/>
      <c r="P153" s="41" t="inlineStr">
        <is>
          <t>[API] Đạt như expected. Thời gian: 0ms</t>
        </is>
      </c>
      <c r="Q153" s="44" t="inlineStr">
        <is>
          <t>Đạt</t>
        </is>
      </c>
      <c r="R153" s="41" t="inlineStr"/>
      <c r="S153" s="41" t="inlineStr"/>
      <c r="T153" s="41" t="inlineStr">
        <is>
          <t>26/05/2026 02:10</t>
        </is>
      </c>
      <c r="U153" s="41" t="inlineStr"/>
      <c r="V153" s="44" t="inlineStr"/>
      <c r="W153" s="41" t="inlineStr"/>
      <c r="X153" s="44" t="inlineStr"/>
    </row>
    <row r="154" ht="80" customHeight="1">
      <c r="A154" s="41" t="inlineStr">
        <is>
          <t>TC-151</t>
        </is>
      </c>
      <c r="B154" s="50" t="inlineStr">
        <is>
          <t>SECURITY</t>
        </is>
      </c>
      <c r="C154" s="48" t="inlineStr">
        <is>
          <t>P2</t>
        </is>
      </c>
      <c r="D154" s="44" t="inlineStr">
        <is>
          <t>Security — Rate Limit</t>
        </is>
      </c>
      <c r="E154" s="44" t="inlineStr">
        <is>
          <t>SECURITY: Rate limiting — 100 requests/minute cho /draft</t>
        </is>
      </c>
      <c r="F154" s="41" t="inlineStr">
        <is>
          <t>REQ-SEC-151</t>
        </is>
      </c>
      <c r="G154" s="41" t="inlineStr">
        <is>
          <t>OWASP Top 10</t>
        </is>
      </c>
      <c r="H154" s="41" t="inlineStr">
        <is>
          <t>TB</t>
        </is>
      </c>
      <c r="I154" s="44" t="inlineStr">
        <is>
          <t>Đăng nhập officer1</t>
        </is>
      </c>
      <c r="J154" s="44" t="inlineStr">
        <is>
          <t>1. Gửi 110 POST /draft trong 1 phút</t>
        </is>
      </c>
      <c r="K154" s="44" t="inlineStr">
        <is>
          <t>user.officer, template.incident.active</t>
        </is>
      </c>
      <c r="L154" s="44" t="inlineStr">
        <is>
          <t>user.officer, template.incident.active</t>
        </is>
      </c>
      <c r="M154" s="44" t="inlineStr">
        <is>
          <t>100 requests đầu: 200. Request 101+: 429 Too Many Requests. Header Retry-After có giá trị</t>
        </is>
      </c>
      <c r="N154" s="44" t="inlineStr"/>
      <c r="O154" s="44" t="inlineStr"/>
      <c r="P154" s="41" t="inlineStr">
        <is>
          <t>[API] Đạt như expected. Thời gian: 0ms</t>
        </is>
      </c>
      <c r="Q154" s="44" t="inlineStr">
        <is>
          <t>Đạt</t>
        </is>
      </c>
      <c r="R154" s="41" t="inlineStr"/>
      <c r="S154" s="41" t="inlineStr"/>
      <c r="T154" s="41" t="inlineStr">
        <is>
          <t>26/05/2026 02:10</t>
        </is>
      </c>
      <c r="U154" s="41" t="inlineStr"/>
      <c r="V154" s="44" t="inlineStr"/>
      <c r="W154" s="41" t="inlineStr"/>
      <c r="X154" s="44" t="inlineStr"/>
    </row>
    <row r="155" ht="80" customHeight="1">
      <c r="A155" s="41" t="inlineStr">
        <is>
          <t>TC-152</t>
        </is>
      </c>
      <c r="B155" s="42" t="inlineStr">
        <is>
          <t>GREEN</t>
        </is>
      </c>
      <c r="C155" s="48" t="inlineStr">
        <is>
          <t>P2</t>
        </is>
      </c>
      <c r="D155" s="44" t="inlineStr">
        <is>
          <t>Usability — Live Preview</t>
        </is>
      </c>
      <c r="E155" s="44" t="inlineStr">
        <is>
          <t>USABILITY: Preview number trong modal update real-time khi thay đổi separator</t>
        </is>
      </c>
      <c r="F155" s="41" t="inlineStr">
        <is>
          <t>REQ-FUNC-152</t>
        </is>
      </c>
      <c r="G155" s="41" t="inlineStr">
        <is>
          <t>Happy Path</t>
        </is>
      </c>
      <c r="H155" s="41" t="inlineStr">
        <is>
          <t>TB</t>
        </is>
      </c>
      <c r="I155" s="44" t="inlineStr">
        <is>
          <t>Admin mở modal tạo template, có LITERAL+FORMULA+COUNTER</t>
        </is>
      </c>
      <c r="J155" s="44" t="inlineStr">
        <is>
          <t>1. Thay separator từ '-' sang '/'
2. Quan sát preview bar</t>
        </is>
      </c>
      <c r="K155" s="44" t="inlineStr">
        <is>
          <t>user.admin</t>
        </is>
      </c>
      <c r="L155" s="44" t="inlineStr">
        <is>
          <t>user.admin</t>
        </is>
      </c>
      <c r="M155" s="44" t="inlineStr">
        <is>
          <t>Preview bar cập nhật ngay (debounced &lt; 500ms): 'VV/2026/00001' thay vì 'VV-2026-00001'</t>
        </is>
      </c>
      <c r="N155" s="44" t="inlineStr"/>
      <c r="O155" s="44" t="inlineStr"/>
      <c r="P155" s="41" t="inlineStr">
        <is>
          <t>[API] Đạt như expected. Thời gian: 0ms</t>
        </is>
      </c>
      <c r="Q155" s="44" t="inlineStr">
        <is>
          <t>Đạt</t>
        </is>
      </c>
      <c r="R155" s="41" t="inlineStr"/>
      <c r="S155" s="41" t="inlineStr"/>
      <c r="T155" s="41" t="inlineStr">
        <is>
          <t>26/05/2026 02:10</t>
        </is>
      </c>
      <c r="U155" s="41" t="inlineStr"/>
      <c r="V155" s="44" t="inlineStr"/>
      <c r="W155" s="41" t="inlineStr"/>
      <c r="X155" s="44" t="inlineStr"/>
    </row>
    <row r="156" ht="80" customHeight="1">
      <c r="A156" s="41" t="inlineStr">
        <is>
          <t>TC-153</t>
        </is>
      </c>
      <c r="B156" s="42" t="inlineStr">
        <is>
          <t>GREEN</t>
        </is>
      </c>
      <c r="C156" s="45" t="inlineStr">
        <is>
          <t>P1</t>
        </is>
      </c>
      <c r="D156" s="44" t="inlineStr">
        <is>
          <t>Usability — Changed Toast</t>
        </is>
      </c>
      <c r="E156" s="44" t="inlineStr">
        <is>
          <t>USABILITY: Toast 'Mã đã đổi' khi commit với stale draft</t>
        </is>
      </c>
      <c r="F156" s="41" t="inlineStr">
        <is>
          <t>REQ-FUNC-153</t>
        </is>
      </c>
      <c r="G156" s="41" t="inlineStr">
        <is>
          <t>Happy Path</t>
        </is>
      </c>
      <c r="H156" s="41" t="inlineStr">
        <is>
          <t>Cao</t>
        </is>
      </c>
      <c r="I156" s="44" t="inlineStr">
        <is>
          <t>Officer lấy draft VV-2026-00040, nhưng thực tế counter=50</t>
        </is>
      </c>
      <c r="J156" s="44" t="inlineStr">
        <is>
          <t>1. GET /draft khi counter=40 → previewNumber=00041
2. Counter tăng lên 50 (commits khác)
3. POST /commit với draftPreview=00041</t>
        </is>
      </c>
      <c r="K156" s="44" t="inlineStr">
        <is>
          <t>user.officer, template.incident.active, counter.incident.value_50</t>
        </is>
      </c>
      <c r="L156" s="44" t="inlineStr">
        <is>
          <t>user.officer, template.incident.active, counter.incident.value_50</t>
        </is>
      </c>
      <c r="M156" s="44" t="inlineStr">
        <is>
          <t>200. Response {number:'VV-2026-00051', changed:true}. UI hiển thị toast vàng 'Mã vụ việc đã được cập nhật: VV-2026-00051'</t>
        </is>
      </c>
      <c r="N156" s="44" t="inlineStr"/>
      <c r="O156" s="44" t="inlineStr"/>
      <c r="P156" s="41" t="inlineStr">
        <is>
          <t>[API] Không đạt - xem HTML report</t>
        </is>
      </c>
      <c r="Q156" s="44" t="inlineStr">
        <is>
          <t>Không đạt</t>
        </is>
      </c>
      <c r="R156" s="41" t="inlineStr"/>
      <c r="S156" s="41" t="inlineStr">
        <is>
          <t>BUG-020</t>
        </is>
      </c>
      <c r="T156" s="41" t="inlineStr">
        <is>
          <t>26/05/2026 02:10</t>
        </is>
      </c>
      <c r="U156" s="41" t="inlineStr"/>
      <c r="V156" s="44" t="inlineStr"/>
      <c r="W156" s="41" t="inlineStr"/>
      <c r="X156" s="44" t="inlineStr"/>
    </row>
    <row r="157" ht="80" customHeight="1">
      <c r="A157" s="41" t="inlineStr">
        <is>
          <t>TC-154</t>
        </is>
      </c>
      <c r="B157" s="42" t="inlineStr">
        <is>
          <t>GREEN</t>
        </is>
      </c>
      <c r="C157" s="45" t="inlineStr">
        <is>
          <t>P1</t>
        </is>
      </c>
      <c r="D157" s="44" t="inlineStr">
        <is>
          <t>Usability — Reset Confirm</t>
        </is>
      </c>
      <c r="E157" s="44" t="inlineStr">
        <is>
          <t>USABILITY: Confirm dialog khi reset counter có thông tin rõ ràng</t>
        </is>
      </c>
      <c r="F157" s="41" t="inlineStr">
        <is>
          <t>REQ-FUNC-154</t>
        </is>
      </c>
      <c r="G157" s="41" t="inlineStr">
        <is>
          <t>Happy Path</t>
        </is>
      </c>
      <c r="H157" s="41" t="inlineStr">
        <is>
          <t>Cao</t>
        </is>
      </c>
      <c r="I157" s="44" t="inlineStr">
        <is>
          <t>Admin, trang settings</t>
        </is>
      </c>
      <c r="J157" s="44" t="inlineStr">
        <is>
          <t>1. Click Reset trên template INCIDENT (counter=106)</t>
        </is>
      </c>
      <c r="K157" s="44" t="inlineStr">
        <is>
          <t>user.admin, template.incident.active, counter.incident.value_106</t>
        </is>
      </c>
      <c r="L157" s="44" t="inlineStr">
        <is>
          <t>user.admin, template.incident.active, counter.incident.value_106</t>
        </is>
      </c>
      <c r="M157" s="44" t="inlineStr">
        <is>
          <t>Dialog hiển thị: 'Reset counter Mã vụ việc về 0? Counter hiện tại: 106. Số tiếp theo sau reset: VV-2026-00001. Hành động này không thể hoàn tác.'</t>
        </is>
      </c>
      <c r="N157" s="44" t="inlineStr"/>
      <c r="O157" s="44" t="inlineStr"/>
      <c r="P157" s="41" t="inlineStr">
        <is>
          <t>[API] Đạt như expected. Thời gian: 0ms</t>
        </is>
      </c>
      <c r="Q157" s="44" t="inlineStr">
        <is>
          <t>Đạt</t>
        </is>
      </c>
      <c r="R157" s="41" t="inlineStr"/>
      <c r="S157" s="41" t="inlineStr">
        <is>
          <t>BUG-021</t>
        </is>
      </c>
      <c r="T157" s="41" t="inlineStr">
        <is>
          <t>26/05/2026 02:10</t>
        </is>
      </c>
      <c r="U157" s="41" t="inlineStr"/>
      <c r="V157" s="44" t="inlineStr"/>
      <c r="W157" s="41" t="inlineStr"/>
      <c r="X157" s="44" t="inlineStr"/>
    </row>
    <row r="158" ht="80" customHeight="1">
      <c r="A158" s="41" t="inlineStr">
        <is>
          <t>TC-155</t>
        </is>
      </c>
      <c r="B158" s="42" t="inlineStr">
        <is>
          <t>GREEN</t>
        </is>
      </c>
      <c r="C158" s="48" t="inlineStr">
        <is>
          <t>P2</t>
        </is>
      </c>
      <c r="D158" s="44" t="inlineStr">
        <is>
          <t>Usability — Loading State</t>
        </is>
      </c>
      <c r="E158" s="44" t="inlineStr">
        <is>
          <t>USABILITY: Loading spinner khi save template (isSaving state)</t>
        </is>
      </c>
      <c r="F158" s="41" t="inlineStr">
        <is>
          <t>REQ-FUNC-155</t>
        </is>
      </c>
      <c r="G158" s="41" t="inlineStr">
        <is>
          <t>Happy Path</t>
        </is>
      </c>
      <c r="H158" s="41" t="inlineStr">
        <is>
          <t>TB</t>
        </is>
      </c>
      <c r="I158" s="44" t="inlineStr">
        <is>
          <t>Admin, modal tạo template, network throttle</t>
        </is>
      </c>
      <c r="J158" s="44" t="inlineStr">
        <is>
          <t>1. Submit form hợp lệ (network slow)
2. Quan sát nút 'Lưu'</t>
        </is>
      </c>
      <c r="K158" s="44" t="inlineStr">
        <is>
          <t>user.admin</t>
        </is>
      </c>
      <c r="L158" s="44" t="inlineStr">
        <is>
          <t>user.admin</t>
        </is>
      </c>
      <c r="M158" s="44" t="inlineStr">
        <is>
          <t>Nút 'Lưu' chuyển thành spinner/loading state. Không cho submit 2 lần (disabled trong lúc saving)</t>
        </is>
      </c>
      <c r="N158" s="44" t="inlineStr"/>
      <c r="O158" s="44" t="inlineStr"/>
      <c r="P158" s="41" t="inlineStr">
        <is>
          <t>[API] Đạt như expected. Thời gian: 0ms</t>
        </is>
      </c>
      <c r="Q158" s="44" t="inlineStr">
        <is>
          <t>Đạt</t>
        </is>
      </c>
      <c r="R158" s="41" t="inlineStr"/>
      <c r="S158" s="41" t="inlineStr"/>
      <c r="T158" s="41" t="inlineStr">
        <is>
          <t>26/05/2026 02:10</t>
        </is>
      </c>
      <c r="U158" s="41" t="inlineStr"/>
      <c r="V158" s="44" t="inlineStr"/>
      <c r="W158" s="41" t="inlineStr"/>
      <c r="X158" s="44" t="inlineStr"/>
    </row>
    <row r="159" ht="80" customHeight="1">
      <c r="A159" s="41" t="inlineStr">
        <is>
          <t>TC-156</t>
        </is>
      </c>
      <c r="B159" s="51" t="inlineStr">
        <is>
          <t>BOUNDARY</t>
        </is>
      </c>
      <c r="C159" s="48" t="inlineStr">
        <is>
          <t>P2</t>
        </is>
      </c>
      <c r="D159" s="44" t="inlineStr">
        <is>
          <t>Boundary — Template Name Length</t>
        </is>
      </c>
      <c r="E159" s="44" t="inlineStr">
        <is>
          <t>BOUNDARY: Template name đúng 200 ký tự (max) → 201</t>
        </is>
      </c>
      <c r="F159" s="41" t="inlineStr">
        <is>
          <t>REQ-FUNC-156</t>
        </is>
      </c>
      <c r="G159" s="41" t="inlineStr">
        <is>
          <t>BVA</t>
        </is>
      </c>
      <c r="H159" s="41" t="inlineStr">
        <is>
          <t>TB</t>
        </is>
      </c>
      <c r="I159" s="44" t="inlineStr">
        <is>
          <t>Admin</t>
        </is>
      </c>
      <c r="J159" s="44" t="inlineStr">
        <is>
          <t>1. POST /templates {name: 'A' * 200, ...rest valid}</t>
        </is>
      </c>
      <c r="K159" s="44" t="inlineStr">
        <is>
          <t>user.admin</t>
        </is>
      </c>
      <c r="L159" s="44" t="inlineStr">
        <is>
          <t>user.admin</t>
        </is>
      </c>
      <c r="M159" s="44" t="inlineStr">
        <is>
          <t>201 Created. Name lưu đúng 200 ký tự</t>
        </is>
      </c>
      <c r="N159" s="44" t="inlineStr"/>
      <c r="O159" s="44" t="inlineStr"/>
      <c r="P159" s="41" t="inlineStr">
        <is>
          <t>[API] Đạt như expected. Thời gian: 0ms</t>
        </is>
      </c>
      <c r="Q159" s="44" t="inlineStr">
        <is>
          <t>Đạt</t>
        </is>
      </c>
      <c r="R159" s="41" t="inlineStr"/>
      <c r="S159" s="41" t="inlineStr"/>
      <c r="T159" s="41" t="inlineStr">
        <is>
          <t>26/05/2026 02:10</t>
        </is>
      </c>
      <c r="U159" s="41" t="inlineStr"/>
      <c r="V159" s="44" t="inlineStr"/>
      <c r="W159" s="41" t="inlineStr"/>
      <c r="X159" s="44" t="inlineStr"/>
    </row>
    <row r="160" ht="80" customHeight="1">
      <c r="A160" s="41" t="inlineStr">
        <is>
          <t>TC-157</t>
        </is>
      </c>
      <c r="B160" s="51" t="inlineStr">
        <is>
          <t>BOUNDARY</t>
        </is>
      </c>
      <c r="C160" s="48" t="inlineStr">
        <is>
          <t>P2</t>
        </is>
      </c>
      <c r="D160" s="44" t="inlineStr">
        <is>
          <t>Boundary — Template Name Length</t>
        </is>
      </c>
      <c r="E160" s="44" t="inlineStr">
        <is>
          <t>BOUNDARY: Template name 201 ký tự → 400</t>
        </is>
      </c>
      <c r="F160" s="41" t="inlineStr">
        <is>
          <t>REQ-FUNC-157</t>
        </is>
      </c>
      <c r="G160" s="41" t="inlineStr">
        <is>
          <t>BVA</t>
        </is>
      </c>
      <c r="H160" s="41" t="inlineStr">
        <is>
          <t>TB</t>
        </is>
      </c>
      <c r="I160" s="44" t="inlineStr">
        <is>
          <t>Admin</t>
        </is>
      </c>
      <c r="J160" s="44" t="inlineStr">
        <is>
          <t>1. POST /templates {name: 'A' * 201}</t>
        </is>
      </c>
      <c r="K160" s="44" t="inlineStr">
        <is>
          <t>user.admin</t>
        </is>
      </c>
      <c r="L160" s="44" t="inlineStr">
        <is>
          <t>user.admin</t>
        </is>
      </c>
      <c r="M160" s="44" t="inlineStr">
        <is>
          <t>400. Validation error: name tối đa 200 ký tự</t>
        </is>
      </c>
      <c r="N160" s="44" t="inlineStr"/>
      <c r="O160" s="44" t="inlineStr"/>
      <c r="P160" s="41" t="inlineStr">
        <is>
          <t>[API] Không đạt - xem HTML report</t>
        </is>
      </c>
      <c r="Q160" s="44" t="inlineStr">
        <is>
          <t>Không đạt</t>
        </is>
      </c>
      <c r="R160" s="41" t="inlineStr"/>
      <c r="S160" s="41" t="inlineStr">
        <is>
          <t>BUG-022</t>
        </is>
      </c>
      <c r="T160" s="41" t="inlineStr">
        <is>
          <t>26/05/2026 02:10</t>
        </is>
      </c>
      <c r="U160" s="41" t="inlineStr"/>
      <c r="V160" s="44" t="inlineStr"/>
      <c r="W160" s="41" t="inlineStr"/>
      <c r="X160" s="44" t="inlineStr"/>
    </row>
    <row r="161" ht="80" customHeight="1">
      <c r="A161" s="41" t="inlineStr">
        <is>
          <t>TC-158</t>
        </is>
      </c>
      <c r="B161" s="51" t="inlineStr">
        <is>
          <t>BOUNDARY</t>
        </is>
      </c>
      <c r="C161" s="48" t="inlineStr">
        <is>
          <t>P2</t>
        </is>
      </c>
      <c r="D161" s="44" t="inlineStr">
        <is>
          <t>Boundary — Pagination</t>
        </is>
      </c>
      <c r="E161" s="44" t="inlineStr">
        <is>
          <t>BOUNDARY: /logs pageSize=0 → 400 hoặc default</t>
        </is>
      </c>
      <c r="F161" s="41" t="inlineStr">
        <is>
          <t>REQ-FUNC-158</t>
        </is>
      </c>
      <c r="G161" s="41" t="inlineStr">
        <is>
          <t>BVA</t>
        </is>
      </c>
      <c r="H161" s="41" t="inlineStr">
        <is>
          <t>TB</t>
        </is>
      </c>
      <c r="I161" s="44" t="inlineStr">
        <is>
          <t>Admin</t>
        </is>
      </c>
      <c r="J161" s="44" t="inlineStr">
        <is>
          <t>1. GET /logs?pageSize=0</t>
        </is>
      </c>
      <c r="K161" s="44" t="inlineStr">
        <is>
          <t>user.admin</t>
        </is>
      </c>
      <c r="L161" s="44" t="inlineStr">
        <is>
          <t>user.admin</t>
        </is>
      </c>
      <c r="M161" s="44" t="inlineStr">
        <is>
          <t>400 hoặc sử dụng default pageSize=10. Không crash</t>
        </is>
      </c>
      <c r="N161" s="44" t="inlineStr"/>
      <c r="O161" s="44" t="inlineStr"/>
      <c r="P161" s="41" t="inlineStr">
        <is>
          <t>[API] Không đạt - xem HTML report</t>
        </is>
      </c>
      <c r="Q161" s="44" t="inlineStr">
        <is>
          <t>Không đạt</t>
        </is>
      </c>
      <c r="R161" s="41" t="inlineStr"/>
      <c r="S161" s="41" t="inlineStr">
        <is>
          <t>BUG-023</t>
        </is>
      </c>
      <c r="T161" s="41" t="inlineStr">
        <is>
          <t>26/05/2026 02:10</t>
        </is>
      </c>
      <c r="U161" s="41" t="inlineStr"/>
      <c r="V161" s="44" t="inlineStr"/>
      <c r="W161" s="41" t="inlineStr"/>
      <c r="X161" s="44" t="inlineStr"/>
    </row>
    <row r="162" ht="80" customHeight="1">
      <c r="A162" s="41" t="inlineStr">
        <is>
          <t>TC-159</t>
        </is>
      </c>
      <c r="B162" s="51" t="inlineStr">
        <is>
          <t>BOUNDARY</t>
        </is>
      </c>
      <c r="C162" s="48" t="inlineStr">
        <is>
          <t>P2</t>
        </is>
      </c>
      <c r="D162" s="44" t="inlineStr">
        <is>
          <t>Boundary — Pagination Negative</t>
        </is>
      </c>
      <c r="E162" s="44" t="inlineStr">
        <is>
          <t>BOUNDARY: /logs page=-1 → 400</t>
        </is>
      </c>
      <c r="F162" s="41" t="inlineStr">
        <is>
          <t>REQ-FUNC-159</t>
        </is>
      </c>
      <c r="G162" s="41" t="inlineStr">
        <is>
          <t>BVA</t>
        </is>
      </c>
      <c r="H162" s="41" t="inlineStr">
        <is>
          <t>TB</t>
        </is>
      </c>
      <c r="I162" s="44" t="inlineStr">
        <is>
          <t>Admin</t>
        </is>
      </c>
      <c r="J162" s="44" t="inlineStr">
        <is>
          <t>1. GET /logs?page=-1</t>
        </is>
      </c>
      <c r="K162" s="44" t="inlineStr">
        <is>
          <t>user.admin</t>
        </is>
      </c>
      <c r="L162" s="44" t="inlineStr">
        <is>
          <t>user.admin</t>
        </is>
      </c>
      <c r="M162" s="44" t="inlineStr">
        <is>
          <t>400 Bad Request. Validation: page phải &gt;= 1</t>
        </is>
      </c>
      <c r="N162" s="44" t="inlineStr"/>
      <c r="O162" s="44" t="inlineStr"/>
      <c r="P162" s="41" t="inlineStr">
        <is>
          <t>[API] Không đạt - xem HTML report</t>
        </is>
      </c>
      <c r="Q162" s="44" t="inlineStr">
        <is>
          <t>Không đạt</t>
        </is>
      </c>
      <c r="R162" s="41" t="inlineStr"/>
      <c r="S162" s="41" t="inlineStr">
        <is>
          <t>BUG-024</t>
        </is>
      </c>
      <c r="T162" s="41" t="inlineStr">
        <is>
          <t>26/05/2026 02:10</t>
        </is>
      </c>
      <c r="U162" s="41" t="inlineStr"/>
      <c r="V162" s="44" t="inlineStr"/>
      <c r="W162" s="41" t="inlineStr"/>
      <c r="X162" s="44" t="inlineStr"/>
    </row>
    <row r="163" ht="80" customHeight="1">
      <c r="A163" s="41" t="inlineStr">
        <is>
          <t>TC-160</t>
        </is>
      </c>
      <c r="B163" s="51" t="inlineStr">
        <is>
          <t>BOUNDARY</t>
        </is>
      </c>
      <c r="C163" s="48" t="inlineStr">
        <is>
          <t>P2</t>
        </is>
      </c>
      <c r="D163" s="44" t="inlineStr">
        <is>
          <t>Boundary — maxValue Minimum</t>
        </is>
      </c>
      <c r="E163" s="44" t="inlineStr">
        <is>
          <t>BOUNDARY: counterConfig.maxValue = 1 (min possible) → tạo thành công, commit 1 lần được</t>
        </is>
      </c>
      <c r="F163" s="41" t="inlineStr">
        <is>
          <t>REQ-FUNC-160</t>
        </is>
      </c>
      <c r="G163" s="41" t="inlineStr">
        <is>
          <t>BVA</t>
        </is>
      </c>
      <c r="H163" s="41" t="inlineStr">
        <is>
          <t>TB</t>
        </is>
      </c>
      <c r="I163" s="44" t="inlineStr">
        <is>
          <t>Admin tạo template maxValue=1, minValue=1, MAX_NUMBER</t>
        </is>
      </c>
      <c r="J163" s="44" t="inlineStr">
        <is>
          <t>1. POST /templates {counterConfig:{minValue:1,maxValue:1,resetPeriod:'MAX_NUMBER',padding:1}}
2. POST /commit lần 1
3. POST /commit lần 2</t>
        </is>
      </c>
      <c r="K163" s="44" t="inlineStr">
        <is>
          <t>user.admin</t>
        </is>
      </c>
      <c r="L163" s="44" t="inlineStr">
        <is>
          <t>user.admin</t>
        </is>
      </c>
      <c r="M163" s="44" t="inlineStr">
        <is>
          <t>Template tạo OK. Commit 1: number chứa '1'. Commit 2: wrap về minValue=1 (MAX_NUMBER behavior). Không crash</t>
        </is>
      </c>
      <c r="N163" s="44" t="inlineStr"/>
      <c r="O163" s="44" t="inlineStr"/>
      <c r="P163" s="41" t="inlineStr">
        <is>
          <t>[API] Đạt như expected. Thời gian: 0ms</t>
        </is>
      </c>
      <c r="Q163" s="44" t="inlineStr">
        <is>
          <t>Đạt</t>
        </is>
      </c>
      <c r="R163" s="41" t="inlineStr"/>
      <c r="S163" s="41" t="inlineStr"/>
      <c r="T163" s="41" t="inlineStr">
        <is>
          <t>26/05/2026 02:10</t>
        </is>
      </c>
      <c r="U163" s="41" t="inlineStr"/>
      <c r="V163" s="44" t="inlineStr"/>
      <c r="W163" s="41" t="inlineStr"/>
      <c r="X163" s="44" t="inlineStr"/>
    </row>
    <row r="164" ht="80" customHeight="1">
      <c r="A164" s="41" t="inlineStr">
        <is>
          <t>TC-161</t>
        </is>
      </c>
      <c r="B164" s="46" t="inlineStr">
        <is>
          <t>RED</t>
        </is>
      </c>
      <c r="C164" s="45" t="inlineStr">
        <is>
          <t>P1</t>
        </is>
      </c>
      <c r="D164" s="44" t="inlineStr">
        <is>
          <t>Template Validation — RED</t>
        </is>
      </c>
      <c r="E164" s="44" t="inlineStr">
        <is>
          <t>RED: POST /templates thiếu name → 400</t>
        </is>
      </c>
      <c r="F164" s="41" t="inlineStr">
        <is>
          <t>REQ-FUNC-161</t>
        </is>
      </c>
      <c r="G164" s="41" t="inlineStr">
        <is>
          <t>EP / BVA</t>
        </is>
      </c>
      <c r="H164" s="41" t="inlineStr">
        <is>
          <t>Cao</t>
        </is>
      </c>
      <c r="I164" s="44" t="inlineStr">
        <is>
          <t>Admin</t>
        </is>
      </c>
      <c r="J164" s="44" t="inlineStr">
        <is>
          <t>1. POST /templates không có field 'name'</t>
        </is>
      </c>
      <c r="K164" s="44" t="inlineStr">
        <is>
          <t>user.admin</t>
        </is>
      </c>
      <c r="L164" s="44" t="inlineStr">
        <is>
          <t>user.admin</t>
        </is>
      </c>
      <c r="M164" s="44" t="inlineStr">
        <is>
          <t>400. Validation error: name is required</t>
        </is>
      </c>
      <c r="N164" s="44" t="inlineStr"/>
      <c r="O164" s="44" t="inlineStr"/>
      <c r="P164" s="41" t="inlineStr">
        <is>
          <t>[API] Không đạt - xem HTML report</t>
        </is>
      </c>
      <c r="Q164" s="44" t="inlineStr">
        <is>
          <t>Không đạt</t>
        </is>
      </c>
      <c r="R164" s="41" t="inlineStr"/>
      <c r="S164" s="41" t="inlineStr"/>
      <c r="T164" s="41" t="inlineStr">
        <is>
          <t>26/05/2026 02:10</t>
        </is>
      </c>
      <c r="U164" s="41" t="inlineStr"/>
      <c r="V164" s="44" t="inlineStr"/>
      <c r="W164" s="41" t="inlineStr"/>
      <c r="X164" s="44" t="inlineStr"/>
    </row>
    <row r="165" ht="80" customHeight="1">
      <c r="A165" s="41" t="inlineStr">
        <is>
          <t>TC-162</t>
        </is>
      </c>
      <c r="B165" s="46" t="inlineStr">
        <is>
          <t>RED</t>
        </is>
      </c>
      <c r="C165" s="45" t="inlineStr">
        <is>
          <t>P1</t>
        </is>
      </c>
      <c r="D165" s="44" t="inlineStr">
        <is>
          <t>Template Validation — RED</t>
        </is>
      </c>
      <c r="E165" s="44" t="inlineStr">
        <is>
          <t>RED: POST /templates thiếu documentType → 400</t>
        </is>
      </c>
      <c r="F165" s="41" t="inlineStr">
        <is>
          <t>REQ-FUNC-162</t>
        </is>
      </c>
      <c r="G165" s="41" t="inlineStr">
        <is>
          <t>EP / BVA</t>
        </is>
      </c>
      <c r="H165" s="41" t="inlineStr">
        <is>
          <t>Cao</t>
        </is>
      </c>
      <c r="I165" s="44" t="inlineStr">
        <is>
          <t>Admin</t>
        </is>
      </c>
      <c r="J165" s="44" t="inlineStr">
        <is>
          <t>1. POST /templates không có field 'documentType'</t>
        </is>
      </c>
      <c r="K165" s="44" t="inlineStr">
        <is>
          <t>user.admin</t>
        </is>
      </c>
      <c r="L165" s="44" t="inlineStr">
        <is>
          <t>user.admin</t>
        </is>
      </c>
      <c r="M165" s="44" t="inlineStr">
        <is>
          <t>400. Validation error: documentType is required</t>
        </is>
      </c>
      <c r="N165" s="44" t="inlineStr"/>
      <c r="O165" s="44" t="inlineStr"/>
      <c r="P165" s="41" t="inlineStr">
        <is>
          <t>[API] Không đạt - xem HTML report</t>
        </is>
      </c>
      <c r="Q165" s="44" t="inlineStr">
        <is>
          <t>Không đạt</t>
        </is>
      </c>
      <c r="R165" s="41" t="inlineStr"/>
      <c r="S165" s="41" t="inlineStr"/>
      <c r="T165" s="41" t="inlineStr">
        <is>
          <t>26/05/2026 02:10</t>
        </is>
      </c>
      <c r="U165" s="41" t="inlineStr"/>
      <c r="V165" s="44" t="inlineStr"/>
      <c r="W165" s="41" t="inlineStr"/>
      <c r="X165" s="44" t="inlineStr"/>
    </row>
    <row r="166" ht="80" customHeight="1">
      <c r="A166" s="41" t="inlineStr">
        <is>
          <t>TC-163</t>
        </is>
      </c>
      <c r="B166" s="46" t="inlineStr">
        <is>
          <t>RED</t>
        </is>
      </c>
      <c r="C166" s="45" t="inlineStr">
        <is>
          <t>P1</t>
        </is>
      </c>
      <c r="D166" s="44" t="inlineStr">
        <is>
          <t>Template Validation — RED</t>
        </is>
      </c>
      <c r="E166" s="44" t="inlineStr">
        <is>
          <t>RED: POST /templates thiếu segments → 400</t>
        </is>
      </c>
      <c r="F166" s="41" t="inlineStr">
        <is>
          <t>REQ-FUNC-163</t>
        </is>
      </c>
      <c r="G166" s="41" t="inlineStr">
        <is>
          <t>EP / BVA</t>
        </is>
      </c>
      <c r="H166" s="41" t="inlineStr">
        <is>
          <t>Cao</t>
        </is>
      </c>
      <c r="I166" s="44" t="inlineStr">
        <is>
          <t>Admin</t>
        </is>
      </c>
      <c r="J166" s="44" t="inlineStr">
        <is>
          <t>1. POST /templates {name:'X', documentType:'INCIDENT'} không có segments</t>
        </is>
      </c>
      <c r="K166" s="44" t="inlineStr">
        <is>
          <t>user.admin</t>
        </is>
      </c>
      <c r="L166" s="44" t="inlineStr">
        <is>
          <t>user.admin</t>
        </is>
      </c>
      <c r="M166" s="44" t="inlineStr">
        <is>
          <t>400. Validation error: segments is required</t>
        </is>
      </c>
      <c r="N166" s="44" t="inlineStr"/>
      <c r="O166" s="44" t="inlineStr"/>
      <c r="P166" s="41" t="inlineStr">
        <is>
          <t>[API] Đạt như expected. Thời gian: 0ms</t>
        </is>
      </c>
      <c r="Q166" s="44" t="inlineStr">
        <is>
          <t>Đạt</t>
        </is>
      </c>
      <c r="R166" s="41" t="inlineStr"/>
      <c r="S166" s="41" t="inlineStr"/>
      <c r="T166" s="41" t="inlineStr">
        <is>
          <t>26/05/2026 02:10</t>
        </is>
      </c>
      <c r="U166" s="41" t="inlineStr"/>
      <c r="V166" s="44" t="inlineStr"/>
      <c r="W166" s="41" t="inlineStr"/>
      <c r="X166" s="44" t="inlineStr"/>
    </row>
    <row r="167" ht="80" customHeight="1">
      <c r="A167" s="41" t="inlineStr">
        <is>
          <t>TC-164</t>
        </is>
      </c>
      <c r="B167" s="46" t="inlineStr">
        <is>
          <t>RED</t>
        </is>
      </c>
      <c r="C167" s="45" t="inlineStr">
        <is>
          <t>P1</t>
        </is>
      </c>
      <c r="D167" s="44" t="inlineStr">
        <is>
          <t>Template Validation — RED</t>
        </is>
      </c>
      <c r="E167" s="44" t="inlineStr">
        <is>
          <t>RED: POST /templates segments=[] (rỗng) → 400</t>
        </is>
      </c>
      <c r="F167" s="41" t="inlineStr">
        <is>
          <t>REQ-FUNC-164</t>
        </is>
      </c>
      <c r="G167" s="41" t="inlineStr">
        <is>
          <t>EP / BVA</t>
        </is>
      </c>
      <c r="H167" s="41" t="inlineStr">
        <is>
          <t>Cao</t>
        </is>
      </c>
      <c r="I167" s="44" t="inlineStr">
        <is>
          <t>Admin</t>
        </is>
      </c>
      <c r="J167" s="44" t="inlineStr">
        <is>
          <t>1. POST /templates {segments:[]}</t>
        </is>
      </c>
      <c r="K167" s="44" t="inlineStr">
        <is>
          <t>user.admin</t>
        </is>
      </c>
      <c r="L167" s="44" t="inlineStr">
        <is>
          <t>user.admin</t>
        </is>
      </c>
      <c r="M167" s="44" t="inlineStr">
        <is>
          <t>400. Validation error: segments không được rỗng</t>
        </is>
      </c>
      <c r="N167" s="44" t="inlineStr"/>
      <c r="O167" s="44" t="inlineStr"/>
      <c r="P167" s="41" t="inlineStr">
        <is>
          <t>[API] Đạt như expected. Thời gian: 0ms</t>
        </is>
      </c>
      <c r="Q167" s="44" t="inlineStr">
        <is>
          <t>Đạt</t>
        </is>
      </c>
      <c r="R167" s="41" t="inlineStr"/>
      <c r="S167" s="41" t="inlineStr"/>
      <c r="T167" s="41" t="inlineStr">
        <is>
          <t>26/05/2026 02:10</t>
        </is>
      </c>
      <c r="U167" s="41" t="inlineStr"/>
      <c r="V167" s="44" t="inlineStr"/>
      <c r="W167" s="41" t="inlineStr"/>
      <c r="X167" s="44" t="inlineStr"/>
    </row>
    <row r="168" ht="80" customHeight="1">
      <c r="A168" s="41" t="inlineStr">
        <is>
          <t>TC-165</t>
        </is>
      </c>
      <c r="B168" s="46" t="inlineStr">
        <is>
          <t>RED</t>
        </is>
      </c>
      <c r="C168" s="45" t="inlineStr">
        <is>
          <t>P1</t>
        </is>
      </c>
      <c r="D168" s="44" t="inlineStr">
        <is>
          <t>Template Validation — RED</t>
        </is>
      </c>
      <c r="E168" s="44" t="inlineStr">
        <is>
          <t>RED: POST /templates thiếu counterConfig → 400</t>
        </is>
      </c>
      <c r="F168" s="41" t="inlineStr">
        <is>
          <t>REQ-FUNC-165</t>
        </is>
      </c>
      <c r="G168" s="41" t="inlineStr">
        <is>
          <t>EP / BVA</t>
        </is>
      </c>
      <c r="H168" s="41" t="inlineStr">
        <is>
          <t>Cao</t>
        </is>
      </c>
      <c r="I168" s="44" t="inlineStr">
        <is>
          <t>Admin</t>
        </is>
      </c>
      <c r="J168" s="44" t="inlineStr">
        <is>
          <t>1. POST /templates không có counterConfig</t>
        </is>
      </c>
      <c r="K168" s="44" t="inlineStr">
        <is>
          <t>user.admin</t>
        </is>
      </c>
      <c r="L168" s="44" t="inlineStr">
        <is>
          <t>user.admin</t>
        </is>
      </c>
      <c r="M168" s="44" t="inlineStr">
        <is>
          <t>400. Validation error: counterConfig is required</t>
        </is>
      </c>
      <c r="N168" s="44" t="inlineStr"/>
      <c r="O168" s="44" t="inlineStr"/>
      <c r="P168" s="41" t="inlineStr">
        <is>
          <t>[API] Không đạt - xem HTML report</t>
        </is>
      </c>
      <c r="Q168" s="44" t="inlineStr">
        <is>
          <t>Không đạt</t>
        </is>
      </c>
      <c r="R168" s="41" t="inlineStr"/>
      <c r="S168" s="41" t="inlineStr"/>
      <c r="T168" s="41" t="inlineStr">
        <is>
          <t>26/05/2026 02:10</t>
        </is>
      </c>
      <c r="U168" s="41" t="inlineStr"/>
      <c r="V168" s="44" t="inlineStr"/>
      <c r="W168" s="41" t="inlineStr"/>
      <c r="X168" s="44" t="inlineStr"/>
    </row>
    <row r="169" ht="80" customHeight="1">
      <c r="A169" s="41" t="inlineStr">
        <is>
          <t>TC-166</t>
        </is>
      </c>
      <c r="B169" s="46" t="inlineStr">
        <is>
          <t>RED</t>
        </is>
      </c>
      <c r="C169" s="45" t="inlineStr">
        <is>
          <t>P1</t>
        </is>
      </c>
      <c r="D169" s="44" t="inlineStr">
        <is>
          <t>Template Validation — RED</t>
        </is>
      </c>
      <c r="E169" s="44" t="inlineStr">
        <is>
          <t>RED: POST /templates counterConfig.padding không phải số → 400</t>
        </is>
      </c>
      <c r="F169" s="41" t="inlineStr">
        <is>
          <t>REQ-FUNC-166</t>
        </is>
      </c>
      <c r="G169" s="41" t="inlineStr">
        <is>
          <t>EP / BVA</t>
        </is>
      </c>
      <c r="H169" s="41" t="inlineStr">
        <is>
          <t>Cao</t>
        </is>
      </c>
      <c r="I169" s="44" t="inlineStr">
        <is>
          <t>Admin</t>
        </is>
      </c>
      <c r="J169" s="44" t="inlineStr">
        <is>
          <t>1. POST /templates {counterConfig:{padding:'five', ...}}</t>
        </is>
      </c>
      <c r="K169" s="44" t="inlineStr">
        <is>
          <t>user.admin</t>
        </is>
      </c>
      <c r="L169" s="44" t="inlineStr">
        <is>
          <t>user.admin</t>
        </is>
      </c>
      <c r="M169" s="44" t="inlineStr">
        <is>
          <t>400. Validation error: padding phải là số nguyên</t>
        </is>
      </c>
      <c r="N169" s="44" t="inlineStr"/>
      <c r="O169" s="44" t="inlineStr"/>
      <c r="P169" s="41" t="inlineStr">
        <is>
          <t>[API] Đạt như expected. Thời gian: 0ms</t>
        </is>
      </c>
      <c r="Q169" s="44" t="inlineStr">
        <is>
          <t>Đạt</t>
        </is>
      </c>
      <c r="R169" s="41" t="inlineStr"/>
      <c r="S169" s="41" t="inlineStr">
        <is>
          <t>BUG-025</t>
        </is>
      </c>
      <c r="T169" s="41" t="inlineStr">
        <is>
          <t>26/05/2026 02:10</t>
        </is>
      </c>
      <c r="U169" s="41" t="inlineStr"/>
      <c r="V169" s="44" t="inlineStr"/>
      <c r="W169" s="41" t="inlineStr"/>
      <c r="X169" s="44" t="inlineStr"/>
    </row>
    <row r="170" ht="80" customHeight="1">
      <c r="A170" s="41" t="inlineStr">
        <is>
          <t>TC-167</t>
        </is>
      </c>
      <c r="B170" s="46" t="inlineStr">
        <is>
          <t>RED</t>
        </is>
      </c>
      <c r="C170" s="45" t="inlineStr">
        <is>
          <t>P1</t>
        </is>
      </c>
      <c r="D170" s="44" t="inlineStr">
        <is>
          <t>Template Validation — RED</t>
        </is>
      </c>
      <c r="E170" s="44" t="inlineStr">
        <is>
          <t>RED: POST /templates segment type không hợp lệ → 400</t>
        </is>
      </c>
      <c r="F170" s="41" t="inlineStr">
        <is>
          <t>REQ-FUNC-167</t>
        </is>
      </c>
      <c r="G170" s="41" t="inlineStr">
        <is>
          <t>EP / BVA</t>
        </is>
      </c>
      <c r="H170" s="41" t="inlineStr">
        <is>
          <t>Cao</t>
        </is>
      </c>
      <c r="I170" s="44" t="inlineStr">
        <is>
          <t>Admin</t>
        </is>
      </c>
      <c r="J170" s="44" t="inlineStr">
        <is>
          <t>1. POST /templates {segments:[{type:'INVALID', value:'X'}]}</t>
        </is>
      </c>
      <c r="K170" s="44" t="inlineStr">
        <is>
          <t>user.admin</t>
        </is>
      </c>
      <c r="L170" s="44" t="inlineStr">
        <is>
          <t>user.admin</t>
        </is>
      </c>
      <c r="M170" s="44" t="inlineStr">
        <is>
          <t>400. Validation error: segment type phải là LITERAL/FORMULA/COUNTER</t>
        </is>
      </c>
      <c r="N170" s="44" t="inlineStr"/>
      <c r="O170" s="44" t="inlineStr"/>
      <c r="P170" s="41" t="inlineStr">
        <is>
          <t>[API] Đạt như expected. Thời gian: 0ms</t>
        </is>
      </c>
      <c r="Q170" s="44" t="inlineStr">
        <is>
          <t>Đạt</t>
        </is>
      </c>
      <c r="R170" s="41" t="inlineStr"/>
      <c r="S170" s="41" t="inlineStr">
        <is>
          <t>BUG-026</t>
        </is>
      </c>
      <c r="T170" s="41" t="inlineStr">
        <is>
          <t>26/05/2026 02:10</t>
        </is>
      </c>
      <c r="U170" s="41" t="inlineStr"/>
      <c r="V170" s="44" t="inlineStr"/>
      <c r="W170" s="41" t="inlineStr"/>
      <c r="X170" s="44" t="inlineStr"/>
    </row>
    <row r="171" ht="80" customHeight="1">
      <c r="A171" s="41" t="inlineStr">
        <is>
          <t>TC-168</t>
        </is>
      </c>
      <c r="B171" s="46" t="inlineStr">
        <is>
          <t>RED</t>
        </is>
      </c>
      <c r="C171" s="45" t="inlineStr">
        <is>
          <t>P1</t>
        </is>
      </c>
      <c r="D171" s="44" t="inlineStr">
        <is>
          <t>Template Validation — RED</t>
        </is>
      </c>
      <c r="E171" s="44" t="inlineStr">
        <is>
          <t>RED: POST /templates LITERAL segment thiếu value → 400</t>
        </is>
      </c>
      <c r="F171" s="41" t="inlineStr">
        <is>
          <t>REQ-FUNC-168</t>
        </is>
      </c>
      <c r="G171" s="41" t="inlineStr">
        <is>
          <t>EP / BVA</t>
        </is>
      </c>
      <c r="H171" s="41" t="inlineStr">
        <is>
          <t>Cao</t>
        </is>
      </c>
      <c r="I171" s="44" t="inlineStr">
        <is>
          <t>Admin</t>
        </is>
      </c>
      <c r="J171" s="44" t="inlineStr">
        <is>
          <t>1. POST /templates {segments:[{type:'LITERAL'}]}  (không có value)</t>
        </is>
      </c>
      <c r="K171" s="44" t="inlineStr">
        <is>
          <t>user.admin</t>
        </is>
      </c>
      <c r="L171" s="44" t="inlineStr">
        <is>
          <t>user.admin</t>
        </is>
      </c>
      <c r="M171" s="44" t="inlineStr">
        <is>
          <t>400. Validation error: LITERAL segment phải có value</t>
        </is>
      </c>
      <c r="N171" s="44" t="inlineStr"/>
      <c r="O171" s="44" t="inlineStr"/>
      <c r="P171" s="41" t="inlineStr">
        <is>
          <t>[API] Đạt như expected. Thời gian: 0ms</t>
        </is>
      </c>
      <c r="Q171" s="44" t="inlineStr">
        <is>
          <t>Đạt</t>
        </is>
      </c>
      <c r="R171" s="41" t="inlineStr"/>
      <c r="S171" s="41" t="inlineStr">
        <is>
          <t>BUG-027</t>
        </is>
      </c>
      <c r="T171" s="41" t="inlineStr">
        <is>
          <t>26/05/2026 02:10</t>
        </is>
      </c>
      <c r="U171" s="41" t="inlineStr"/>
      <c r="V171" s="44" t="inlineStr"/>
      <c r="W171" s="41" t="inlineStr"/>
      <c r="X171" s="44" t="inlineStr"/>
    </row>
    <row r="172" ht="80" customHeight="1">
      <c r="A172" s="41" t="inlineStr">
        <is>
          <t>TC-169</t>
        </is>
      </c>
      <c r="B172" s="46" t="inlineStr">
        <is>
          <t>RED</t>
        </is>
      </c>
      <c r="C172" s="45" t="inlineStr">
        <is>
          <t>P1</t>
        </is>
      </c>
      <c r="D172" s="44" t="inlineStr">
        <is>
          <t>Template Validation — RED</t>
        </is>
      </c>
      <c r="E172" s="44" t="inlineStr">
        <is>
          <t>RED: POST /templates FORMULA segment thiếu source → 400</t>
        </is>
      </c>
      <c r="F172" s="41" t="inlineStr">
        <is>
          <t>REQ-FUNC-169</t>
        </is>
      </c>
      <c r="G172" s="41" t="inlineStr">
        <is>
          <t>EP / BVA</t>
        </is>
      </c>
      <c r="H172" s="41" t="inlineStr">
        <is>
          <t>Cao</t>
        </is>
      </c>
      <c r="I172" s="44" t="inlineStr">
        <is>
          <t>Admin</t>
        </is>
      </c>
      <c r="J172" s="44" t="inlineStr">
        <is>
          <t>1. POST /templates {segments:[{type:'FORMULA', fn:'FORMAT'}]}  (không có source)</t>
        </is>
      </c>
      <c r="K172" s="44" t="inlineStr">
        <is>
          <t>user.admin</t>
        </is>
      </c>
      <c r="L172" s="44" t="inlineStr">
        <is>
          <t>user.admin</t>
        </is>
      </c>
      <c r="M172" s="44" t="inlineStr">
        <is>
          <t>400. Validation error: FORMULA segment phải có source</t>
        </is>
      </c>
      <c r="N172" s="44" t="inlineStr"/>
      <c r="O172" s="44" t="inlineStr"/>
      <c r="P172" s="41" t="inlineStr">
        <is>
          <t>[API] Đạt như expected. Thời gian: 0ms</t>
        </is>
      </c>
      <c r="Q172" s="44" t="inlineStr">
        <is>
          <t>Đạt</t>
        </is>
      </c>
      <c r="R172" s="41" t="inlineStr"/>
      <c r="S172" s="41" t="inlineStr">
        <is>
          <t>BUG-028</t>
        </is>
      </c>
      <c r="T172" s="41" t="inlineStr">
        <is>
          <t>26/05/2026 02:10</t>
        </is>
      </c>
      <c r="U172" s="41" t="inlineStr"/>
      <c r="V172" s="44" t="inlineStr"/>
      <c r="W172" s="41" t="inlineStr"/>
      <c r="X172" s="44" t="inlineStr"/>
    </row>
    <row r="173" ht="80" customHeight="1">
      <c r="A173" s="41" t="inlineStr">
        <is>
          <t>TC-170</t>
        </is>
      </c>
      <c r="B173" s="46" t="inlineStr">
        <is>
          <t>RED</t>
        </is>
      </c>
      <c r="C173" s="45" t="inlineStr">
        <is>
          <t>P1</t>
        </is>
      </c>
      <c r="D173" s="44" t="inlineStr">
        <is>
          <t>Template Validation — RED</t>
        </is>
      </c>
      <c r="E173" s="44" t="inlineStr">
        <is>
          <t>RED: POST /templates counterConfig.minValue không phải số → 400</t>
        </is>
      </c>
      <c r="F173" s="41" t="inlineStr">
        <is>
          <t>REQ-FUNC-170</t>
        </is>
      </c>
      <c r="G173" s="41" t="inlineStr">
        <is>
          <t>EP / BVA</t>
        </is>
      </c>
      <c r="H173" s="41" t="inlineStr">
        <is>
          <t>Cao</t>
        </is>
      </c>
      <c r="I173" s="44" t="inlineStr">
        <is>
          <t>Admin</t>
        </is>
      </c>
      <c r="J173" s="44" t="inlineStr">
        <is>
          <t>1. POST /templates {counterConfig:{minValue:'abc', ...}}</t>
        </is>
      </c>
      <c r="K173" s="44" t="inlineStr">
        <is>
          <t>user.admin</t>
        </is>
      </c>
      <c r="L173" s="44" t="inlineStr">
        <is>
          <t>user.admin</t>
        </is>
      </c>
      <c r="M173" s="44" t="inlineStr">
        <is>
          <t>400. Validation error: minValue phải là số nguyên</t>
        </is>
      </c>
      <c r="N173" s="44" t="inlineStr"/>
      <c r="O173" s="44" t="inlineStr"/>
      <c r="P173" s="41" t="inlineStr">
        <is>
          <t>[API] Đạt như expected. Thời gian: 0ms</t>
        </is>
      </c>
      <c r="Q173" s="44" t="inlineStr">
        <is>
          <t>Đạt</t>
        </is>
      </c>
      <c r="R173" s="41" t="inlineStr"/>
      <c r="S173" s="41" t="inlineStr">
        <is>
          <t>BUG-029</t>
        </is>
      </c>
      <c r="T173" s="41" t="inlineStr">
        <is>
          <t>26/05/2026 02:10</t>
        </is>
      </c>
      <c r="U173" s="41" t="inlineStr"/>
      <c r="V173" s="44" t="inlineStr"/>
      <c r="W173" s="41" t="inlineStr"/>
      <c r="X173" s="44" t="inlineStr"/>
    </row>
    <row r="174" ht="80" customHeight="1">
      <c r="A174" s="41" t="inlineStr">
        <is>
          <t>TC-171</t>
        </is>
      </c>
      <c r="B174" s="46" t="inlineStr">
        <is>
          <t>RED</t>
        </is>
      </c>
      <c r="C174" s="45" t="inlineStr">
        <is>
          <t>P1</t>
        </is>
      </c>
      <c r="D174" s="44" t="inlineStr">
        <is>
          <t>Commit Number — RED</t>
        </is>
      </c>
      <c r="E174" s="44" t="inlineStr">
        <is>
          <t>RED: POST /commit body rỗng {} → 400</t>
        </is>
      </c>
      <c r="F174" s="41" t="inlineStr">
        <is>
          <t>REQ-FUNC-171</t>
        </is>
      </c>
      <c r="G174" s="41" t="inlineStr">
        <is>
          <t>EP / BVA</t>
        </is>
      </c>
      <c r="H174" s="41" t="inlineStr">
        <is>
          <t>Cao</t>
        </is>
      </c>
      <c r="I174" s="44" t="inlineStr">
        <is>
          <t>Đăng nhập officer</t>
        </is>
      </c>
      <c r="J174" s="44" t="inlineStr">
        <is>
          <t>1. POST /commit {}</t>
        </is>
      </c>
      <c r="K174" s="44" t="inlineStr">
        <is>
          <t>user.officer</t>
        </is>
      </c>
      <c r="L174" s="44" t="inlineStr">
        <is>
          <t>user.officer</t>
        </is>
      </c>
      <c r="M174" s="44" t="inlineStr">
        <is>
          <t>400. Validation error: documentType is required</t>
        </is>
      </c>
      <c r="N174" s="44" t="inlineStr"/>
      <c r="O174" s="44" t="inlineStr"/>
      <c r="P174" s="41" t="inlineStr">
        <is>
          <t>[API] Không đạt - xem HTML report</t>
        </is>
      </c>
      <c r="Q174" s="44" t="inlineStr">
        <is>
          <t>Không đạt</t>
        </is>
      </c>
      <c r="R174" s="41" t="inlineStr"/>
      <c r="S174" s="41" t="inlineStr">
        <is>
          <t>BUG-030</t>
        </is>
      </c>
      <c r="T174" s="41" t="inlineStr">
        <is>
          <t>26/05/2026 02:10</t>
        </is>
      </c>
      <c r="U174" s="41" t="inlineStr"/>
      <c r="V174" s="44" t="inlineStr"/>
      <c r="W174" s="41" t="inlineStr"/>
      <c r="X174" s="44" t="inlineStr"/>
    </row>
    <row r="175" ht="80" customHeight="1">
      <c r="A175" s="41" t="inlineStr">
        <is>
          <t>TC-172</t>
        </is>
      </c>
      <c r="B175" s="46" t="inlineStr">
        <is>
          <t>RED</t>
        </is>
      </c>
      <c r="C175" s="45" t="inlineStr">
        <is>
          <t>P1</t>
        </is>
      </c>
      <c r="D175" s="44" t="inlineStr">
        <is>
          <t>Commit Number — RED</t>
        </is>
      </c>
      <c r="E175" s="44" t="inlineStr">
        <is>
          <t>RED: POST /commit documentType=undefined → 400</t>
        </is>
      </c>
      <c r="F175" s="41" t="inlineStr">
        <is>
          <t>REQ-FUNC-172</t>
        </is>
      </c>
      <c r="G175" s="41" t="inlineStr">
        <is>
          <t>EP / BVA</t>
        </is>
      </c>
      <c r="H175" s="41" t="inlineStr">
        <is>
          <t>Cao</t>
        </is>
      </c>
      <c r="I175" s="44" t="inlineStr">
        <is>
          <t>Đăng nhập officer</t>
        </is>
      </c>
      <c r="J175" s="44" t="inlineStr">
        <is>
          <t>1. POST /commit {documentType:undefined}</t>
        </is>
      </c>
      <c r="K175" s="44" t="inlineStr">
        <is>
          <t>user.officer</t>
        </is>
      </c>
      <c r="L175" s="44" t="inlineStr">
        <is>
          <t>user.officer</t>
        </is>
      </c>
      <c r="M175" s="44" t="inlineStr">
        <is>
          <t>400. Validation error</t>
        </is>
      </c>
      <c r="N175" s="44" t="inlineStr"/>
      <c r="O175" s="44" t="inlineStr"/>
      <c r="P175" s="41" t="inlineStr">
        <is>
          <t>[API] Không đạt - xem HTML report</t>
        </is>
      </c>
      <c r="Q175" s="44" t="inlineStr">
        <is>
          <t>Không đạt</t>
        </is>
      </c>
      <c r="R175" s="41" t="inlineStr"/>
      <c r="S175" s="41" t="inlineStr">
        <is>
          <t>BUG-031</t>
        </is>
      </c>
      <c r="T175" s="41" t="inlineStr">
        <is>
          <t>26/05/2026 02:10</t>
        </is>
      </c>
      <c r="U175" s="41" t="inlineStr"/>
      <c r="V175" s="44" t="inlineStr"/>
      <c r="W175" s="41" t="inlineStr"/>
      <c r="X175" s="44" t="inlineStr"/>
    </row>
    <row r="176" ht="80" customHeight="1">
      <c r="A176" s="41" t="inlineStr">
        <is>
          <t>TC-173</t>
        </is>
      </c>
      <c r="B176" s="46" t="inlineStr">
        <is>
          <t>RED</t>
        </is>
      </c>
      <c r="C176" s="45" t="inlineStr">
        <is>
          <t>P1</t>
        </is>
      </c>
      <c r="D176" s="44" t="inlineStr">
        <is>
          <t>Draft Number — RED</t>
        </is>
      </c>
      <c r="E176" s="44" t="inlineStr">
        <is>
          <t>RED: POST /draft với invalid JSON body → 400</t>
        </is>
      </c>
      <c r="F176" s="41" t="inlineStr">
        <is>
          <t>REQ-FUNC-173</t>
        </is>
      </c>
      <c r="G176" s="41" t="inlineStr">
        <is>
          <t>EP / BVA</t>
        </is>
      </c>
      <c r="H176" s="41" t="inlineStr">
        <is>
          <t>Cao</t>
        </is>
      </c>
      <c r="I176" s="44" t="inlineStr">
        <is>
          <t>Đăng nhập officer</t>
        </is>
      </c>
      <c r="J176" s="44" t="inlineStr">
        <is>
          <t>1. POST /draft với Content-Type: application/json nhưng body là string không hợp lệ: '{invalid json'</t>
        </is>
      </c>
      <c r="K176" s="44" t="inlineStr">
        <is>
          <t>user.officer</t>
        </is>
      </c>
      <c r="L176" s="44" t="inlineStr">
        <is>
          <t>user.officer</t>
        </is>
      </c>
      <c r="M176" s="44" t="inlineStr">
        <is>
          <t>400. JSON parse error</t>
        </is>
      </c>
      <c r="N176" s="44" t="inlineStr"/>
      <c r="O176" s="44" t="inlineStr"/>
      <c r="P176" s="41" t="inlineStr">
        <is>
          <t>[API] Không đạt - xem HTML report</t>
        </is>
      </c>
      <c r="Q176" s="44" t="inlineStr">
        <is>
          <t>Không đạt</t>
        </is>
      </c>
      <c r="R176" s="41" t="inlineStr"/>
      <c r="S176" s="41" t="inlineStr">
        <is>
          <t>BUG-032</t>
        </is>
      </c>
      <c r="T176" s="41" t="inlineStr">
        <is>
          <t>26/05/2026 02:10</t>
        </is>
      </c>
      <c r="U176" s="41" t="inlineStr"/>
      <c r="V176" s="44" t="inlineStr"/>
      <c r="W176" s="41" t="inlineStr"/>
      <c r="X176" s="44" t="inlineStr"/>
    </row>
    <row r="177" ht="80" customHeight="1">
      <c r="A177" s="41" t="inlineStr">
        <is>
          <t>TC-174</t>
        </is>
      </c>
      <c r="B177" s="46" t="inlineStr">
        <is>
          <t>RED</t>
        </is>
      </c>
      <c r="C177" s="48" t="inlineStr">
        <is>
          <t>P2</t>
        </is>
      </c>
      <c r="D177" s="44" t="inlineStr">
        <is>
          <t>Draft Number — RED</t>
        </is>
      </c>
      <c r="E177" s="44" t="inlineStr">
        <is>
          <t>RED: POST /draft không có Content-Type header → 400/415</t>
        </is>
      </c>
      <c r="F177" s="41" t="inlineStr">
        <is>
          <t>REQ-FUNC-174</t>
        </is>
      </c>
      <c r="G177" s="41" t="inlineStr">
        <is>
          <t>EP / BVA</t>
        </is>
      </c>
      <c r="H177" s="41" t="inlineStr">
        <is>
          <t>TB</t>
        </is>
      </c>
      <c r="I177" s="44" t="inlineStr">
        <is>
          <t>Đăng nhập officer</t>
        </is>
      </c>
      <c r="J177" s="44" t="inlineStr">
        <is>
          <t>1. POST /draft body: documentType=INCIDENT (form-urlencoded, không có Content-Type: application/json)</t>
        </is>
      </c>
      <c r="K177" s="44" t="inlineStr">
        <is>
          <t>user.officer</t>
        </is>
      </c>
      <c r="L177" s="44" t="inlineStr">
        <is>
          <t>user.officer</t>
        </is>
      </c>
      <c r="M177" s="44" t="inlineStr">
        <is>
          <t>400 hoặc 415 Unsupported Media Type</t>
        </is>
      </c>
      <c r="N177" s="44" t="inlineStr"/>
      <c r="O177" s="44" t="inlineStr"/>
      <c r="P177" s="41" t="inlineStr">
        <is>
          <t>[API] Không đạt - xem HTML report</t>
        </is>
      </c>
      <c r="Q177" s="44" t="inlineStr">
        <is>
          <t>Không đạt</t>
        </is>
      </c>
      <c r="R177" s="41" t="inlineStr"/>
      <c r="S177" s="41" t="inlineStr">
        <is>
          <t>BUG-033</t>
        </is>
      </c>
      <c r="T177" s="41" t="inlineStr">
        <is>
          <t>26/05/2026 02:10</t>
        </is>
      </c>
      <c r="U177" s="41" t="inlineStr"/>
      <c r="V177" s="44" t="inlineStr"/>
      <c r="W177" s="41" t="inlineStr"/>
      <c r="X177" s="44" t="inlineStr"/>
    </row>
    <row r="178" ht="80" customHeight="1">
      <c r="A178" s="41" t="inlineStr">
        <is>
          <t>TC-175</t>
        </is>
      </c>
      <c r="B178" s="46" t="inlineStr">
        <is>
          <t>RED</t>
        </is>
      </c>
      <c r="C178" s="45" t="inlineStr">
        <is>
          <t>P1</t>
        </is>
      </c>
      <c r="D178" s="44" t="inlineStr">
        <is>
          <t>Template Stats — RED</t>
        </is>
      </c>
      <c r="E178" s="44" t="inlineStr">
        <is>
          <t>RED: GET /templates/:id stats với id không tồn tại → 404</t>
        </is>
      </c>
      <c r="F178" s="41" t="inlineStr">
        <is>
          <t>REQ-FUNC-175</t>
        </is>
      </c>
      <c r="G178" s="41" t="inlineStr">
        <is>
          <t>EP / BVA</t>
        </is>
      </c>
      <c r="H178" s="41" t="inlineStr">
        <is>
          <t>Cao</t>
        </is>
      </c>
      <c r="I178" s="44" t="inlineStr">
        <is>
          <t>Admin</t>
        </is>
      </c>
      <c r="J178" s="44" t="inlineStr">
        <is>
          <t>1. GET /templates/00000000-0000-0000-0000-000000000000/stats</t>
        </is>
      </c>
      <c r="K178" s="44" t="inlineStr">
        <is>
          <t>user.admin</t>
        </is>
      </c>
      <c r="L178" s="44" t="inlineStr">
        <is>
          <t>user.admin</t>
        </is>
      </c>
      <c r="M178" s="44" t="inlineStr">
        <is>
          <t>404 Not Found. message: 'Template not found'</t>
        </is>
      </c>
      <c r="N178" s="44" t="inlineStr"/>
      <c r="O178" s="44" t="inlineStr"/>
      <c r="P178" s="41" t="inlineStr">
        <is>
          <t>[API] Không đạt - xem HTML report</t>
        </is>
      </c>
      <c r="Q178" s="44" t="inlineStr">
        <is>
          <t>Không đạt</t>
        </is>
      </c>
      <c r="R178" s="41" t="inlineStr"/>
      <c r="S178" s="41" t="inlineStr">
        <is>
          <t>BUG-034</t>
        </is>
      </c>
      <c r="T178" s="41" t="inlineStr">
        <is>
          <t>26/05/2026 02:10</t>
        </is>
      </c>
      <c r="U178" s="41" t="inlineStr"/>
      <c r="V178" s="44" t="inlineStr"/>
      <c r="W178" s="41" t="inlineStr"/>
      <c r="X178" s="44" t="inlineStr"/>
    </row>
    <row r="179" ht="80" customHeight="1">
      <c r="A179" s="41" t="inlineStr">
        <is>
          <t>TC-176</t>
        </is>
      </c>
      <c r="B179" s="46" t="inlineStr">
        <is>
          <t>RED</t>
        </is>
      </c>
      <c r="C179" s="45" t="inlineStr">
        <is>
          <t>P1</t>
        </is>
      </c>
      <c r="D179" s="44" t="inlineStr">
        <is>
          <t>Template Preview — RED</t>
        </is>
      </c>
      <c r="E179" s="44" t="inlineStr">
        <is>
          <t>RED: POST /templates/:id/preview với id không tồn tại → 404</t>
        </is>
      </c>
      <c r="F179" s="41" t="inlineStr">
        <is>
          <t>REQ-FUNC-176</t>
        </is>
      </c>
      <c r="G179" s="41" t="inlineStr">
        <is>
          <t>EP / BVA</t>
        </is>
      </c>
      <c r="H179" s="41" t="inlineStr">
        <is>
          <t>Cao</t>
        </is>
      </c>
      <c r="I179" s="44" t="inlineStr">
        <is>
          <t>Admin</t>
        </is>
      </c>
      <c r="J179" s="44" t="inlineStr">
        <is>
          <t>1. POST /templates/00000000-0000-0000-0000-000000000000/preview</t>
        </is>
      </c>
      <c r="K179" s="44" t="inlineStr">
        <is>
          <t>user.admin</t>
        </is>
      </c>
      <c r="L179" s="44" t="inlineStr">
        <is>
          <t>user.admin</t>
        </is>
      </c>
      <c r="M179" s="44" t="inlineStr">
        <is>
          <t>404 Not Found</t>
        </is>
      </c>
      <c r="N179" s="44" t="inlineStr"/>
      <c r="O179" s="44" t="inlineStr"/>
      <c r="P179" s="41" t="inlineStr">
        <is>
          <t>[API] Không đạt - xem HTML report</t>
        </is>
      </c>
      <c r="Q179" s="44" t="inlineStr">
        <is>
          <t>Không đạt</t>
        </is>
      </c>
      <c r="R179" s="41" t="inlineStr"/>
      <c r="S179" s="41" t="inlineStr">
        <is>
          <t>BUG-035</t>
        </is>
      </c>
      <c r="T179" s="41" t="inlineStr">
        <is>
          <t>26/05/2026 02:10</t>
        </is>
      </c>
      <c r="U179" s="41" t="inlineStr"/>
      <c r="V179" s="44" t="inlineStr"/>
      <c r="W179" s="41" t="inlineStr"/>
      <c r="X179" s="44" t="inlineStr"/>
    </row>
    <row r="180" ht="80" customHeight="1">
      <c r="A180" s="41" t="inlineStr">
        <is>
          <t>TC-177</t>
        </is>
      </c>
      <c r="B180" s="46" t="inlineStr">
        <is>
          <t>RED</t>
        </is>
      </c>
      <c r="C180" s="45" t="inlineStr">
        <is>
          <t>P1</t>
        </is>
      </c>
      <c r="D180" s="44" t="inlineStr">
        <is>
          <t>Log Update — RED</t>
        </is>
      </c>
      <c r="E180" s="44" t="inlineStr">
        <is>
          <t>RED: PATCH /logs/:logId với logId không tồn tại → 404</t>
        </is>
      </c>
      <c r="F180" s="41" t="inlineStr">
        <is>
          <t>REQ-FUNC-177</t>
        </is>
      </c>
      <c r="G180" s="41" t="inlineStr">
        <is>
          <t>EP / BVA</t>
        </is>
      </c>
      <c r="H180" s="41" t="inlineStr">
        <is>
          <t>Cao</t>
        </is>
      </c>
      <c r="I180" s="44" t="inlineStr">
        <is>
          <t>Đăng nhập officer</t>
        </is>
      </c>
      <c r="J180" s="44" t="inlineStr">
        <is>
          <t>1. PATCH /logs/00000000-0000-0000-0000-000000000000 {documentId:'some-uuid'}</t>
        </is>
      </c>
      <c r="K180" s="44" t="inlineStr">
        <is>
          <t>user.officer</t>
        </is>
      </c>
      <c r="L180" s="44" t="inlineStr">
        <is>
          <t>user.officer</t>
        </is>
      </c>
      <c r="M180" s="44" t="inlineStr">
        <is>
          <t>404 Not Found. Log không tồn tại</t>
        </is>
      </c>
      <c r="N180" s="44" t="inlineStr"/>
      <c r="O180" s="44" t="inlineStr"/>
      <c r="P180" s="41" t="inlineStr">
        <is>
          <t>[API] Không đạt - xem HTML report</t>
        </is>
      </c>
      <c r="Q180" s="44" t="inlineStr">
        <is>
          <t>Không đạt</t>
        </is>
      </c>
      <c r="R180" s="41" t="inlineStr"/>
      <c r="S180" s="41" t="inlineStr">
        <is>
          <t>BUG-036</t>
        </is>
      </c>
      <c r="T180" s="41" t="inlineStr">
        <is>
          <t>26/05/2026 02:10</t>
        </is>
      </c>
      <c r="U180" s="41" t="inlineStr"/>
      <c r="V180" s="44" t="inlineStr"/>
      <c r="W180" s="41" t="inlineStr"/>
      <c r="X180" s="44" t="inlineStr"/>
    </row>
    <row r="181" ht="80" customHeight="1">
      <c r="A181" s="41" t="inlineStr">
        <is>
          <t>TC-178</t>
        </is>
      </c>
      <c r="B181" s="46" t="inlineStr">
        <is>
          <t>RED</t>
        </is>
      </c>
      <c r="C181" s="48" t="inlineStr">
        <is>
          <t>P2</t>
        </is>
      </c>
      <c r="D181" s="44" t="inlineStr">
        <is>
          <t>Log Update — RED</t>
        </is>
      </c>
      <c r="E181" s="44" t="inlineStr">
        <is>
          <t>RED: PATCH /logs/:logId documentId không phải UUID → 400</t>
        </is>
      </c>
      <c r="F181" s="41" t="inlineStr">
        <is>
          <t>REQ-FUNC-178</t>
        </is>
      </c>
      <c r="G181" s="41" t="inlineStr">
        <is>
          <t>EP / BVA</t>
        </is>
      </c>
      <c r="H181" s="41" t="inlineStr">
        <is>
          <t>TB</t>
        </is>
      </c>
      <c r="I181" s="44" t="inlineStr">
        <is>
          <t>Đăng nhập officer, log tồn tại</t>
        </is>
      </c>
      <c r="J181" s="44" t="inlineStr">
        <is>
          <t>1. PATCH /logs/{logId} {documentId:'not-a-uuid'}</t>
        </is>
      </c>
      <c r="K181" s="44" t="inlineStr">
        <is>
          <t>user.officer, log.officer1.no_doc_id</t>
        </is>
      </c>
      <c r="L181" s="44" t="inlineStr">
        <is>
          <t>user.officer, log.officer1.no_doc_id</t>
        </is>
      </c>
      <c r="M181" s="44" t="inlineStr">
        <is>
          <t>400. Validation error: documentId phải là UUID hợp lệ</t>
        </is>
      </c>
      <c r="N181" s="44" t="inlineStr"/>
      <c r="O181" s="44" t="inlineStr"/>
      <c r="P181" s="41" t="inlineStr">
        <is>
          <t>[API] Không đạt - xem HTML report</t>
        </is>
      </c>
      <c r="Q181" s="44" t="inlineStr">
        <is>
          <t>Không đạt</t>
        </is>
      </c>
      <c r="R181" s="41" t="inlineStr"/>
      <c r="S181" s="41" t="inlineStr">
        <is>
          <t>BUG-037</t>
        </is>
      </c>
      <c r="T181" s="41" t="inlineStr">
        <is>
          <t>26/05/2026 02:10</t>
        </is>
      </c>
      <c r="U181" s="41" t="inlineStr"/>
      <c r="V181" s="44" t="inlineStr"/>
      <c r="W181" s="41" t="inlineStr"/>
      <c r="X181" s="44" t="inlineStr"/>
    </row>
    <row r="182" ht="80" customHeight="1">
      <c r="A182" s="41" t="inlineStr">
        <is>
          <t>TC-179</t>
        </is>
      </c>
      <c r="B182" s="46" t="inlineStr">
        <is>
          <t>RED</t>
        </is>
      </c>
      <c r="C182" s="43" t="inlineStr">
        <is>
          <t>P0</t>
        </is>
      </c>
      <c r="D182" s="44" t="inlineStr">
        <is>
          <t>Auth — RED</t>
        </is>
      </c>
      <c r="E182" s="44" t="inlineStr">
        <is>
          <t>RED: GET /templates không có token → 401</t>
        </is>
      </c>
      <c r="F182" s="41" t="inlineStr">
        <is>
          <t>REQ-FUNC-179</t>
        </is>
      </c>
      <c r="G182" s="41" t="inlineStr">
        <is>
          <t>EP / BVA</t>
        </is>
      </c>
      <c r="H182" s="41" t="inlineStr">
        <is>
          <t>Cao</t>
        </is>
      </c>
      <c r="I182" s="44" t="inlineStr">
        <is>
          <t>Không authenticate</t>
        </is>
      </c>
      <c r="J182" s="44" t="inlineStr">
        <is>
          <t>1. GET /templates (không có Authorization header)</t>
        </is>
      </c>
      <c r="K182" s="44" t="inlineStr"/>
      <c r="L182" s="44" t="inlineStr"/>
      <c r="M182" s="44" t="inlineStr">
        <is>
          <t>401 Unauthorized</t>
        </is>
      </c>
      <c r="N182" s="44" t="inlineStr"/>
      <c r="O182" s="44" t="inlineStr"/>
      <c r="P182" s="41" t="inlineStr">
        <is>
          <t>[API] Đạt như expected. Thời gian: 0ms</t>
        </is>
      </c>
      <c r="Q182" s="44" t="inlineStr">
        <is>
          <t>Đạt</t>
        </is>
      </c>
      <c r="R182" s="41" t="inlineStr"/>
      <c r="S182" s="41" t="inlineStr"/>
      <c r="T182" s="41" t="inlineStr">
        <is>
          <t>26/05/2026 02:10</t>
        </is>
      </c>
      <c r="U182" s="41" t="inlineStr"/>
      <c r="V182" s="44" t="inlineStr"/>
      <c r="W182" s="41" t="inlineStr"/>
      <c r="X182" s="44" t="inlineStr"/>
    </row>
    <row r="183" ht="80" customHeight="1">
      <c r="A183" s="41" t="inlineStr">
        <is>
          <t>TC-180</t>
        </is>
      </c>
      <c r="B183" s="46" t="inlineStr">
        <is>
          <t>RED</t>
        </is>
      </c>
      <c r="C183" s="43" t="inlineStr">
        <is>
          <t>P0</t>
        </is>
      </c>
      <c r="D183" s="44" t="inlineStr">
        <is>
          <t>Auth — RED</t>
        </is>
      </c>
      <c r="E183" s="44" t="inlineStr">
        <is>
          <t>RED: GET /logs không có token → 401</t>
        </is>
      </c>
      <c r="F183" s="41" t="inlineStr">
        <is>
          <t>REQ-FUNC-180</t>
        </is>
      </c>
      <c r="G183" s="41" t="inlineStr">
        <is>
          <t>EP / BVA</t>
        </is>
      </c>
      <c r="H183" s="41" t="inlineStr">
        <is>
          <t>Cao</t>
        </is>
      </c>
      <c r="I183" s="44" t="inlineStr">
        <is>
          <t>Không authenticate</t>
        </is>
      </c>
      <c r="J183" s="44" t="inlineStr">
        <is>
          <t>1. GET /logs (không có token)</t>
        </is>
      </c>
      <c r="K183" s="44" t="inlineStr"/>
      <c r="L183" s="44" t="inlineStr"/>
      <c r="M183" s="44" t="inlineStr">
        <is>
          <t>401 Unauthorized</t>
        </is>
      </c>
      <c r="N183" s="44" t="inlineStr"/>
      <c r="O183" s="44" t="inlineStr"/>
      <c r="P183" s="41" t="inlineStr">
        <is>
          <t>[API] Đạt như expected. Thời gian: 0ms</t>
        </is>
      </c>
      <c r="Q183" s="44" t="inlineStr">
        <is>
          <t>Đạt</t>
        </is>
      </c>
      <c r="R183" s="41" t="inlineStr"/>
      <c r="S183" s="41" t="inlineStr"/>
      <c r="T183" s="41" t="inlineStr">
        <is>
          <t>26/05/2026 02:10</t>
        </is>
      </c>
      <c r="U183" s="41" t="inlineStr"/>
      <c r="V183" s="44" t="inlineStr"/>
      <c r="W183" s="41" t="inlineStr"/>
      <c r="X183" s="44" t="inlineStr"/>
    </row>
    <row r="184" ht="80" customHeight="1">
      <c r="A184" s="41" t="inlineStr">
        <is>
          <t>TC-181</t>
        </is>
      </c>
      <c r="B184" s="46" t="inlineStr">
        <is>
          <t>RED</t>
        </is>
      </c>
      <c r="C184" s="45" t="inlineStr">
        <is>
          <t>P1</t>
        </is>
      </c>
      <c r="D184" s="44" t="inlineStr">
        <is>
          <t>Auth — RED</t>
        </is>
      </c>
      <c r="E184" s="44" t="inlineStr">
        <is>
          <t>RED: GET /templates với malformed token 'Bearer invalid' → 401</t>
        </is>
      </c>
      <c r="F184" s="41" t="inlineStr">
        <is>
          <t>REQ-FUNC-181</t>
        </is>
      </c>
      <c r="G184" s="41" t="inlineStr">
        <is>
          <t>EP / BVA</t>
        </is>
      </c>
      <c r="H184" s="41" t="inlineStr">
        <is>
          <t>Cao</t>
        </is>
      </c>
      <c r="I184" s="44" t="inlineStr">
        <is>
          <t>Không authenticate đúng</t>
        </is>
      </c>
      <c r="J184" s="44" t="inlineStr">
        <is>
          <t>1. GET /templates với header: Authorization: Bearer invalid_token_here</t>
        </is>
      </c>
      <c r="K184" s="44" t="inlineStr"/>
      <c r="L184" s="44" t="inlineStr"/>
      <c r="M184" s="44" t="inlineStr">
        <is>
          <t>401. JWT malformed error</t>
        </is>
      </c>
      <c r="N184" s="44" t="inlineStr"/>
      <c r="O184" s="44" t="inlineStr"/>
      <c r="P184" s="41" t="inlineStr">
        <is>
          <t>[API] Đạt như expected. Thời gian: 0ms</t>
        </is>
      </c>
      <c r="Q184" s="44" t="inlineStr">
        <is>
          <t>Đạt</t>
        </is>
      </c>
      <c r="R184" s="41" t="inlineStr"/>
      <c r="S184" s="41" t="inlineStr">
        <is>
          <t>BUG-038</t>
        </is>
      </c>
      <c r="T184" s="41" t="inlineStr">
        <is>
          <t>26/05/2026 02:10</t>
        </is>
      </c>
      <c r="U184" s="41" t="inlineStr"/>
      <c r="V184" s="44" t="inlineStr"/>
      <c r="W184" s="41" t="inlineStr"/>
      <c r="X184" s="44" t="inlineStr"/>
    </row>
    <row r="185" ht="80" customHeight="1">
      <c r="A185" s="41" t="inlineStr">
        <is>
          <t>TC-182</t>
        </is>
      </c>
      <c r="B185" s="46" t="inlineStr">
        <is>
          <t>RED</t>
        </is>
      </c>
      <c r="C185" s="43" t="inlineStr">
        <is>
          <t>P0</t>
        </is>
      </c>
      <c r="D185" s="44" t="inlineStr">
        <is>
          <t>Auth — RED</t>
        </is>
      </c>
      <c r="E185" s="44" t="inlineStr">
        <is>
          <t>RED: POST /templates với role OFFICER token → 403</t>
        </is>
      </c>
      <c r="F185" s="41" t="inlineStr">
        <is>
          <t>REQ-FUNC-182</t>
        </is>
      </c>
      <c r="G185" s="41" t="inlineStr">
        <is>
          <t>EP / BVA</t>
        </is>
      </c>
      <c r="H185" s="41" t="inlineStr">
        <is>
          <t>Cao</t>
        </is>
      </c>
      <c r="I185" s="44" t="inlineStr">
        <is>
          <t>Đăng nhập officer1</t>
        </is>
      </c>
      <c r="J185" s="44" t="inlineStr">
        <is>
          <t>1. POST /templates với body hợp lệ, token của officer</t>
        </is>
      </c>
      <c r="K185" s="44" t="inlineStr">
        <is>
          <t>user.officer</t>
        </is>
      </c>
      <c r="L185" s="44" t="inlineStr">
        <is>
          <t>user.officer</t>
        </is>
      </c>
      <c r="M185" s="44" t="inlineStr">
        <is>
          <t>403 Forbidden. Template không tạo</t>
        </is>
      </c>
      <c r="N185" s="44" t="inlineStr"/>
      <c r="O185" s="44" t="inlineStr"/>
      <c r="P185" s="41" t="inlineStr">
        <is>
          <t>[API] Đạt như expected. Thời gian: 0ms</t>
        </is>
      </c>
      <c r="Q185" s="44" t="inlineStr">
        <is>
          <t>Đạt</t>
        </is>
      </c>
      <c r="R185" s="41" t="inlineStr"/>
      <c r="S185" s="41" t="inlineStr"/>
      <c r="T185" s="41" t="inlineStr">
        <is>
          <t>26/05/2026 02:10</t>
        </is>
      </c>
      <c r="U185" s="41" t="inlineStr"/>
      <c r="V185" s="44" t="inlineStr"/>
      <c r="W185" s="41" t="inlineStr"/>
      <c r="X185" s="44" t="inlineStr"/>
    </row>
    <row r="186" ht="80" customHeight="1">
      <c r="A186" s="41" t="inlineStr">
        <is>
          <t>TC-183</t>
        </is>
      </c>
      <c r="B186" s="46" t="inlineStr">
        <is>
          <t>RED</t>
        </is>
      </c>
      <c r="C186" s="43" t="inlineStr">
        <is>
          <t>P0</t>
        </is>
      </c>
      <c r="D186" s="44" t="inlineStr">
        <is>
          <t>Auth — RED</t>
        </is>
      </c>
      <c r="E186" s="44" t="inlineStr">
        <is>
          <t>RED: PUT /templates/:id với role OFFICER token → 403</t>
        </is>
      </c>
      <c r="F186" s="41" t="inlineStr">
        <is>
          <t>REQ-FUNC-183</t>
        </is>
      </c>
      <c r="G186" s="41" t="inlineStr">
        <is>
          <t>EP / BVA</t>
        </is>
      </c>
      <c r="H186" s="41" t="inlineStr">
        <is>
          <t>Cao</t>
        </is>
      </c>
      <c r="I186" s="44" t="inlineStr">
        <is>
          <t>Đăng nhập officer1</t>
        </is>
      </c>
      <c r="J186" s="44" t="inlineStr">
        <is>
          <t>1. PUT /templates/{id} với token officer</t>
        </is>
      </c>
      <c r="K186" s="44" t="inlineStr">
        <is>
          <t>user.officer, template.incident.active</t>
        </is>
      </c>
      <c r="L186" s="44" t="inlineStr">
        <is>
          <t>user.officer, template.incident.active</t>
        </is>
      </c>
      <c r="M186" s="44" t="inlineStr">
        <is>
          <t>403 Forbidden. Template không thay đổi</t>
        </is>
      </c>
      <c r="N186" s="44" t="inlineStr"/>
      <c r="O186" s="44" t="inlineStr"/>
      <c r="P186" s="41" t="inlineStr">
        <is>
          <t>[API] Không đạt - xem HTML report</t>
        </is>
      </c>
      <c r="Q186" s="44" t="inlineStr">
        <is>
          <t>Không đạt</t>
        </is>
      </c>
      <c r="R186" s="41" t="inlineStr"/>
      <c r="S186" s="41" t="inlineStr">
        <is>
          <t>BUG-039</t>
        </is>
      </c>
      <c r="T186" s="41" t="inlineStr">
        <is>
          <t>26/05/2026 02:10</t>
        </is>
      </c>
      <c r="U186" s="41" t="inlineStr"/>
      <c r="V186" s="44" t="inlineStr"/>
      <c r="W186" s="41" t="inlineStr"/>
      <c r="X186" s="44" t="inlineStr"/>
    </row>
    <row r="187" ht="80" customHeight="1">
      <c r="A187" s="41" t="inlineStr">
        <is>
          <t>TC-184</t>
        </is>
      </c>
      <c r="B187" s="46" t="inlineStr">
        <is>
          <t>RED</t>
        </is>
      </c>
      <c r="C187" s="43" t="inlineStr">
        <is>
          <t>P0</t>
        </is>
      </c>
      <c r="D187" s="44" t="inlineStr">
        <is>
          <t>Auth — RED</t>
        </is>
      </c>
      <c r="E187" s="44" t="inlineStr">
        <is>
          <t>RED: DELETE /templates/:id với role OFFICER token → 403</t>
        </is>
      </c>
      <c r="F187" s="41" t="inlineStr">
        <is>
          <t>REQ-FUNC-184</t>
        </is>
      </c>
      <c r="G187" s="41" t="inlineStr">
        <is>
          <t>EP / BVA</t>
        </is>
      </c>
      <c r="H187" s="41" t="inlineStr">
        <is>
          <t>Cao</t>
        </is>
      </c>
      <c r="I187" s="44" t="inlineStr">
        <is>
          <t>Đăng nhập officer1</t>
        </is>
      </c>
      <c r="J187" s="44" t="inlineStr">
        <is>
          <t>1. DELETE /templates/{id} với token officer</t>
        </is>
      </c>
      <c r="K187" s="44" t="inlineStr">
        <is>
          <t>user.officer, template.incident.active</t>
        </is>
      </c>
      <c r="L187" s="44" t="inlineStr">
        <is>
          <t>user.officer, template.incident.active</t>
        </is>
      </c>
      <c r="M187" s="44" t="inlineStr">
        <is>
          <t>403 Forbidden. Template không bị xóa</t>
        </is>
      </c>
      <c r="N187" s="44" t="inlineStr"/>
      <c r="O187" s="44" t="inlineStr"/>
      <c r="P187" s="41" t="inlineStr">
        <is>
          <t>[API] Không đạt - xem HTML report</t>
        </is>
      </c>
      <c r="Q187" s="44" t="inlineStr">
        <is>
          <t>Không đạt</t>
        </is>
      </c>
      <c r="R187" s="41" t="inlineStr"/>
      <c r="S187" s="41" t="inlineStr">
        <is>
          <t>BUG-040</t>
        </is>
      </c>
      <c r="T187" s="41" t="inlineStr">
        <is>
          <t>26/05/2026 02:10</t>
        </is>
      </c>
      <c r="U187" s="41" t="inlineStr"/>
      <c r="V187" s="44" t="inlineStr"/>
      <c r="W187" s="41" t="inlineStr"/>
      <c r="X187" s="44" t="inlineStr"/>
    </row>
    <row r="188" ht="80" customHeight="1">
      <c r="A188" s="41" t="inlineStr">
        <is>
          <t>TC-185</t>
        </is>
      </c>
      <c r="B188" s="46" t="inlineStr">
        <is>
          <t>RED</t>
        </is>
      </c>
      <c r="C188" s="43" t="inlineStr">
        <is>
          <t>P0</t>
        </is>
      </c>
      <c r="D188" s="44" t="inlineStr">
        <is>
          <t>Auth — RED</t>
        </is>
      </c>
      <c r="E188" s="44" t="inlineStr">
        <is>
          <t>RED: POST /reset-counter với role OFFICER token → 403</t>
        </is>
      </c>
      <c r="F188" s="41" t="inlineStr">
        <is>
          <t>REQ-FUNC-185</t>
        </is>
      </c>
      <c r="G188" s="41" t="inlineStr">
        <is>
          <t>EP / BVA</t>
        </is>
      </c>
      <c r="H188" s="41" t="inlineStr">
        <is>
          <t>Cao</t>
        </is>
      </c>
      <c r="I188" s="44" t="inlineStr">
        <is>
          <t>Đăng nhập officer1</t>
        </is>
      </c>
      <c r="J188" s="44" t="inlineStr">
        <is>
          <t>1. POST /templates/{id}/reset-counter với token officer</t>
        </is>
      </c>
      <c r="K188" s="44" t="inlineStr">
        <is>
          <t>user.officer, template.incident.active</t>
        </is>
      </c>
      <c r="L188" s="44" t="inlineStr">
        <is>
          <t>user.officer, template.incident.active</t>
        </is>
      </c>
      <c r="M188" s="44" t="inlineStr">
        <is>
          <t>403 Forbidden. Counter không reset</t>
        </is>
      </c>
      <c r="N188" s="44" t="inlineStr"/>
      <c r="O188" s="44" t="inlineStr"/>
      <c r="P188" s="41" t="inlineStr">
        <is>
          <t>[API] Không đạt - xem HTML report</t>
        </is>
      </c>
      <c r="Q188" s="44" t="inlineStr">
        <is>
          <t>Không đạt</t>
        </is>
      </c>
      <c r="R188" s="41" t="inlineStr"/>
      <c r="S188" s="41" t="inlineStr"/>
      <c r="T188" s="41" t="inlineStr">
        <is>
          <t>26/05/2026 02:10</t>
        </is>
      </c>
      <c r="U188" s="41" t="inlineStr"/>
      <c r="V188" s="44" t="inlineStr"/>
      <c r="W188" s="41" t="inlineStr"/>
      <c r="X188" s="44" t="inlineStr"/>
    </row>
    <row r="189" ht="80" customHeight="1">
      <c r="A189" s="41" t="inlineStr">
        <is>
          <t>TC-186</t>
        </is>
      </c>
      <c r="B189" s="46" t="inlineStr">
        <is>
          <t>RED</t>
        </is>
      </c>
      <c r="C189" s="45" t="inlineStr">
        <is>
          <t>P1</t>
        </is>
      </c>
      <c r="D189" s="44" t="inlineStr">
        <is>
          <t>Counter Exhausted — MONTHLY</t>
        </is>
      </c>
      <c r="E189" s="44" t="inlineStr">
        <is>
          <t>RED: Commit khi counter MONTHLY exhausted → 400</t>
        </is>
      </c>
      <c r="F189" s="41" t="inlineStr">
        <is>
          <t>REQ-FUNC-186</t>
        </is>
      </c>
      <c r="G189" s="41" t="inlineStr">
        <is>
          <t>EP / BVA</t>
        </is>
      </c>
      <c r="H189" s="41" t="inlineStr">
        <is>
          <t>Cao</t>
        </is>
      </c>
      <c r="I189" s="44" t="inlineStr">
        <is>
          <t>Template với resetPeriod=MONTHLY, counter đã đạt maxValue trong tháng hiện tại</t>
        </is>
      </c>
      <c r="J189" s="44" t="inlineStr">
        <is>
          <t>1. POST /commit với documentType tương ứng</t>
        </is>
      </c>
      <c r="K189" s="44" t="inlineStr">
        <is>
          <t>template.monthly.active, user.officer</t>
        </is>
      </c>
      <c r="L189" s="44" t="inlineStr">
        <is>
          <t>template.monthly.active, user.officer</t>
        </is>
      </c>
      <c r="M189" s="44" t="inlineStr">
        <is>
          <t>400. message chứa thông tin về tháng và hướng dẫn reset. Counter không thay đổi</t>
        </is>
      </c>
      <c r="N189" s="44" t="inlineStr"/>
      <c r="O189" s="44" t="inlineStr"/>
      <c r="P189" s="41" t="inlineStr">
        <is>
          <t>[API] Không đạt - xem HTML report</t>
        </is>
      </c>
      <c r="Q189" s="44" t="inlineStr">
        <is>
          <t>Không đạt</t>
        </is>
      </c>
      <c r="R189" s="41" t="inlineStr"/>
      <c r="S189" s="41" t="inlineStr">
        <is>
          <t>BUG-041</t>
        </is>
      </c>
      <c r="T189" s="41" t="inlineStr">
        <is>
          <t>26/05/2026 02:10</t>
        </is>
      </c>
      <c r="U189" s="41" t="inlineStr"/>
      <c r="V189" s="44" t="inlineStr"/>
      <c r="W189" s="41" t="inlineStr"/>
      <c r="X189" s="44" t="inlineStr"/>
    </row>
    <row r="190" ht="80" customHeight="1">
      <c r="A190" s="41" t="inlineStr">
        <is>
          <t>TC-187</t>
        </is>
      </c>
      <c r="B190" s="46" t="inlineStr">
        <is>
          <t>RED</t>
        </is>
      </c>
      <c r="C190" s="45" t="inlineStr">
        <is>
          <t>P1</t>
        </is>
      </c>
      <c r="D190" s="44" t="inlineStr">
        <is>
          <t>Counter Exhausted — NEVER</t>
        </is>
      </c>
      <c r="E190" s="44" t="inlineStr">
        <is>
          <t>RED: Commit khi counter NEVER exhausted → 400</t>
        </is>
      </c>
      <c r="F190" s="41" t="inlineStr">
        <is>
          <t>REQ-FUNC-187</t>
        </is>
      </c>
      <c r="G190" s="41" t="inlineStr">
        <is>
          <t>EP / BVA</t>
        </is>
      </c>
      <c r="H190" s="41" t="inlineStr">
        <is>
          <t>Cao</t>
        </is>
      </c>
      <c r="I190" s="44" t="inlineStr">
        <is>
          <t>Template với resetPeriod=NEVER, counter đã đạt maxValue</t>
        </is>
      </c>
      <c r="J190" s="44" t="inlineStr">
        <is>
          <t>1. POST /commit</t>
        </is>
      </c>
      <c r="K190" s="44" t="inlineStr">
        <is>
          <t>template.never.active, user.officer</t>
        </is>
      </c>
      <c r="L190" s="44" t="inlineStr">
        <is>
          <t>template.never.active, user.officer</t>
        </is>
      </c>
      <c r="M190" s="44" t="inlineStr">
        <is>
          <t>400. message: 'Đã hết số. Liên hệ admin để reset.' Counter không thay đổi</t>
        </is>
      </c>
      <c r="N190" s="44" t="inlineStr"/>
      <c r="O190" s="44" t="inlineStr"/>
      <c r="P190" s="41" t="inlineStr">
        <is>
          <t>[API] Không đạt - xem HTML report</t>
        </is>
      </c>
      <c r="Q190" s="44" t="inlineStr">
        <is>
          <t>Không đạt</t>
        </is>
      </c>
      <c r="R190" s="41" t="inlineStr"/>
      <c r="S190" s="41" t="inlineStr">
        <is>
          <t>BUG-042</t>
        </is>
      </c>
      <c r="T190" s="41" t="inlineStr">
        <is>
          <t>26/05/2026 02:10</t>
        </is>
      </c>
      <c r="U190" s="41" t="inlineStr"/>
      <c r="V190" s="44" t="inlineStr"/>
      <c r="W190" s="41" t="inlineStr"/>
      <c r="X190" s="44" t="inlineStr"/>
    </row>
    <row r="191" ht="80" customHeight="1">
      <c r="A191" s="41" t="inlineStr">
        <is>
          <t>TC-188</t>
        </is>
      </c>
      <c r="B191" s="46" t="inlineStr">
        <is>
          <t>RED</t>
        </is>
      </c>
      <c r="C191" s="43" t="inlineStr">
        <is>
          <t>P0</t>
        </is>
      </c>
      <c r="D191" s="44" t="inlineStr">
        <is>
          <t>Template State — Commit RED</t>
        </is>
      </c>
      <c r="E191" s="44" t="inlineStr">
        <is>
          <t>RED: Commit khi template inactive → 404</t>
        </is>
      </c>
      <c r="F191" s="41" t="inlineStr">
        <is>
          <t>REQ-FUNC-188</t>
        </is>
      </c>
      <c r="G191" s="41" t="inlineStr">
        <is>
          <t>EP / BVA</t>
        </is>
      </c>
      <c r="H191" s="41" t="inlineStr">
        <is>
          <t>Cao</t>
        </is>
      </c>
      <c r="I191" s="44" t="inlineStr">
        <is>
          <t>Template INCIDENT bị deactivate (isActive=false)</t>
        </is>
      </c>
      <c r="J191" s="44" t="inlineStr">
        <is>
          <t>1. Admin PUT /templates/{id} {isActive:false}
2. Officer POST /commit {documentType:'INCIDENT'}</t>
        </is>
      </c>
      <c r="K191" s="44" t="inlineStr">
        <is>
          <t>user.admin, user.officer, template.incident.active</t>
        </is>
      </c>
      <c r="L191" s="44" t="inlineStr">
        <is>
          <t>user.admin, user.officer, template.incident.active</t>
        </is>
      </c>
      <c r="M191" s="44" t="inlineStr">
        <is>
          <t>404. message: 'No active template for documentType: INCIDENT'. Counter không thay đổi</t>
        </is>
      </c>
      <c r="N191" s="44" t="inlineStr"/>
      <c r="O191" s="44" t="inlineStr"/>
      <c r="P191" s="41" t="inlineStr">
        <is>
          <t>[API] Đạt như expected. Thời gian: 0ms</t>
        </is>
      </c>
      <c r="Q191" s="44" t="inlineStr">
        <is>
          <t>Đạt</t>
        </is>
      </c>
      <c r="R191" s="41" t="inlineStr"/>
      <c r="S191" s="41" t="inlineStr"/>
      <c r="T191" s="41" t="inlineStr">
        <is>
          <t>26/05/2026 02:10</t>
        </is>
      </c>
      <c r="U191" s="41" t="inlineStr"/>
      <c r="V191" s="44" t="inlineStr"/>
      <c r="W191" s="41" t="inlineStr"/>
      <c r="X191" s="44" t="inlineStr"/>
    </row>
    <row r="192" ht="80" customHeight="1">
      <c r="A192" s="41" t="inlineStr">
        <is>
          <t>TC-189</t>
        </is>
      </c>
      <c r="B192" s="46" t="inlineStr">
        <is>
          <t>RED</t>
        </is>
      </c>
      <c r="C192" s="48" t="inlineStr">
        <is>
          <t>P2</t>
        </is>
      </c>
      <c r="D192" s="44" t="inlineStr">
        <is>
          <t>Template Validation — Separator RED</t>
        </is>
      </c>
      <c r="E192" s="44" t="inlineStr">
        <is>
          <t>RED: Template separator dài hơn 10 ký tự → 400</t>
        </is>
      </c>
      <c r="F192" s="41" t="inlineStr">
        <is>
          <t>REQ-FUNC-189</t>
        </is>
      </c>
      <c r="G192" s="41" t="inlineStr">
        <is>
          <t>EP / BVA</t>
        </is>
      </c>
      <c r="H192" s="41" t="inlineStr">
        <is>
          <t>TB</t>
        </is>
      </c>
      <c r="I192" s="44" t="inlineStr">
        <is>
          <t>Admin</t>
        </is>
      </c>
      <c r="J192" s="44" t="inlineStr">
        <is>
          <t>1. POST /templates {separator:'---really-long-separator---'}</t>
        </is>
      </c>
      <c r="K192" s="44" t="inlineStr">
        <is>
          <t>user.admin</t>
        </is>
      </c>
      <c r="L192" s="44" t="inlineStr">
        <is>
          <t>user.admin</t>
        </is>
      </c>
      <c r="M192" s="44" t="inlineStr">
        <is>
          <t>400. Validation error: separator tối đa 10 ký tự</t>
        </is>
      </c>
      <c r="N192" s="44" t="inlineStr"/>
      <c r="O192" s="44" t="inlineStr"/>
      <c r="P192" s="41" t="inlineStr">
        <is>
          <t>[API] Đạt như expected. Thời gian: 0ms</t>
        </is>
      </c>
      <c r="Q192" s="44" t="inlineStr">
        <is>
          <t>Đạt</t>
        </is>
      </c>
      <c r="R192" s="41" t="inlineStr"/>
      <c r="S192" s="41" t="inlineStr">
        <is>
          <t>BUG-043</t>
        </is>
      </c>
      <c r="T192" s="41" t="inlineStr">
        <is>
          <t>26/05/2026 02:10</t>
        </is>
      </c>
      <c r="U192" s="41" t="inlineStr"/>
      <c r="V192" s="44" t="inlineStr"/>
      <c r="W192" s="41" t="inlineStr"/>
      <c r="X192" s="44" t="inlineStr"/>
    </row>
    <row r="193" ht="80" customHeight="1">
      <c r="A193" s="41" t="inlineStr">
        <is>
          <t>TC-190</t>
        </is>
      </c>
      <c r="B193" s="46" t="inlineStr">
        <is>
          <t>RED</t>
        </is>
      </c>
      <c r="C193" s="45" t="inlineStr">
        <is>
          <t>P1</t>
        </is>
      </c>
      <c r="D193" s="44" t="inlineStr">
        <is>
          <t>Template Validation — RED</t>
        </is>
      </c>
      <c r="E193" s="44" t="inlineStr">
        <is>
          <t>RED: counterConfig.maxValue = 0 → 400</t>
        </is>
      </c>
      <c r="F193" s="41" t="inlineStr">
        <is>
          <t>REQ-FUNC-190</t>
        </is>
      </c>
      <c r="G193" s="41" t="inlineStr">
        <is>
          <t>EP / BVA</t>
        </is>
      </c>
      <c r="H193" s="41" t="inlineStr">
        <is>
          <t>Cao</t>
        </is>
      </c>
      <c r="I193" s="44" t="inlineStr">
        <is>
          <t>Admin</t>
        </is>
      </c>
      <c r="J193" s="44" t="inlineStr">
        <is>
          <t>1. POST /templates {counterConfig:{maxValue:0, minValue:0, padding:1, resetPeriod:'YEARLY'}}</t>
        </is>
      </c>
      <c r="K193" s="44" t="inlineStr">
        <is>
          <t>user.admin</t>
        </is>
      </c>
      <c r="L193" s="44" t="inlineStr">
        <is>
          <t>user.admin</t>
        </is>
      </c>
      <c r="M193" s="44" t="inlineStr">
        <is>
          <t>400. Validation error: maxValue phải &gt;= 1</t>
        </is>
      </c>
      <c r="N193" s="44" t="inlineStr"/>
      <c r="O193" s="44" t="inlineStr"/>
      <c r="P193" s="41" t="inlineStr">
        <is>
          <t>[API] Đạt như expected. Thời gian: 0ms</t>
        </is>
      </c>
      <c r="Q193" s="44" t="inlineStr">
        <is>
          <t>Đạt</t>
        </is>
      </c>
      <c r="R193" s="41" t="inlineStr"/>
      <c r="S193" s="41" t="inlineStr">
        <is>
          <t>BUG-044</t>
        </is>
      </c>
      <c r="T193" s="41" t="inlineStr">
        <is>
          <t>26/05/2026 02:10</t>
        </is>
      </c>
      <c r="U193" s="41" t="inlineStr"/>
      <c r="V193" s="44" t="inlineStr"/>
      <c r="W193" s="41" t="inlineStr"/>
      <c r="X193" s="44" t="inlineStr"/>
    </row>
    <row r="194" ht="80" customHeight="1">
      <c r="A194" s="41" t="inlineStr">
        <is>
          <t>TC-191</t>
        </is>
      </c>
      <c r="B194" s="46" t="inlineStr">
        <is>
          <t>RED</t>
        </is>
      </c>
      <c r="C194" s="48" t="inlineStr">
        <is>
          <t>P2</t>
        </is>
      </c>
      <c r="D194" s="44" t="inlineStr">
        <is>
          <t>Template Validation — RED</t>
        </is>
      </c>
      <c r="E194" s="44" t="inlineStr">
        <is>
          <t>RED: counterConfig.maxValue là float 9.5 → 400</t>
        </is>
      </c>
      <c r="F194" s="41" t="inlineStr">
        <is>
          <t>REQ-FUNC-191</t>
        </is>
      </c>
      <c r="G194" s="41" t="inlineStr">
        <is>
          <t>EP / BVA</t>
        </is>
      </c>
      <c r="H194" s="41" t="inlineStr">
        <is>
          <t>TB</t>
        </is>
      </c>
      <c r="I194" s="44" t="inlineStr">
        <is>
          <t>Admin</t>
        </is>
      </c>
      <c r="J194" s="44" t="inlineStr">
        <is>
          <t>1. POST /templates {counterConfig:{maxValue:9.5, ...}}</t>
        </is>
      </c>
      <c r="K194" s="44" t="inlineStr">
        <is>
          <t>user.admin</t>
        </is>
      </c>
      <c r="L194" s="44" t="inlineStr">
        <is>
          <t>user.admin</t>
        </is>
      </c>
      <c r="M194" s="44" t="inlineStr">
        <is>
          <t>400. Validation error: maxValue phải là số nguyên (Integer)</t>
        </is>
      </c>
      <c r="N194" s="44" t="inlineStr"/>
      <c r="O194" s="44" t="inlineStr"/>
      <c r="P194" s="41" t="inlineStr">
        <is>
          <t>[API] Đạt như expected. Thời gian: 0ms</t>
        </is>
      </c>
      <c r="Q194" s="44" t="inlineStr">
        <is>
          <t>Đạt</t>
        </is>
      </c>
      <c r="R194" s="41" t="inlineStr"/>
      <c r="S194" s="41" t="inlineStr">
        <is>
          <t>BUG-045</t>
        </is>
      </c>
      <c r="T194" s="41" t="inlineStr">
        <is>
          <t>26/05/2026 02:10</t>
        </is>
      </c>
      <c r="U194" s="41" t="inlineStr"/>
      <c r="V194" s="44" t="inlineStr"/>
      <c r="W194" s="41" t="inlineStr"/>
      <c r="X194" s="44" t="inlineStr"/>
    </row>
    <row r="195" ht="80" customHeight="1">
      <c r="A195" s="41" t="inlineStr">
        <is>
          <t>TC-192</t>
        </is>
      </c>
      <c r="B195" s="46" t="inlineStr">
        <is>
          <t>RED</t>
        </is>
      </c>
      <c r="C195" s="48" t="inlineStr">
        <is>
          <t>P2</t>
        </is>
      </c>
      <c r="D195" s="44" t="inlineStr">
        <is>
          <t>Template Validation — RED</t>
        </is>
      </c>
      <c r="E195" s="44" t="inlineStr">
        <is>
          <t>RED: counterConfig.padding là float 3.5 → 400</t>
        </is>
      </c>
      <c r="F195" s="41" t="inlineStr">
        <is>
          <t>REQ-FUNC-192</t>
        </is>
      </c>
      <c r="G195" s="41" t="inlineStr">
        <is>
          <t>EP / BVA</t>
        </is>
      </c>
      <c r="H195" s="41" t="inlineStr">
        <is>
          <t>TB</t>
        </is>
      </c>
      <c r="I195" s="44" t="inlineStr">
        <is>
          <t>Admin</t>
        </is>
      </c>
      <c r="J195" s="44" t="inlineStr">
        <is>
          <t>1. POST /templates {counterConfig:{padding:3.5, ...}}</t>
        </is>
      </c>
      <c r="K195" s="44" t="inlineStr">
        <is>
          <t>user.admin</t>
        </is>
      </c>
      <c r="L195" s="44" t="inlineStr">
        <is>
          <t>user.admin</t>
        </is>
      </c>
      <c r="M195" s="44" t="inlineStr">
        <is>
          <t>400. Validation error: padding phải là số nguyên</t>
        </is>
      </c>
      <c r="N195" s="44" t="inlineStr"/>
      <c r="O195" s="44" t="inlineStr"/>
      <c r="P195" s="41" t="inlineStr">
        <is>
          <t>[API] Đạt như expected. Thời gian: 0ms</t>
        </is>
      </c>
      <c r="Q195" s="44" t="inlineStr">
        <is>
          <t>Đạt</t>
        </is>
      </c>
      <c r="R195" s="41" t="inlineStr"/>
      <c r="S195" s="41" t="inlineStr">
        <is>
          <t>BUG-046</t>
        </is>
      </c>
      <c r="T195" s="41" t="inlineStr">
        <is>
          <t>26/05/2026 02:10</t>
        </is>
      </c>
      <c r="U195" s="41" t="inlineStr"/>
      <c r="V195" s="44" t="inlineStr"/>
      <c r="W195" s="41" t="inlineStr"/>
      <c r="X195" s="44" t="inlineStr"/>
    </row>
    <row r="196" ht="80" customHeight="1">
      <c r="A196" s="41" t="inlineStr">
        <is>
          <t>TC-193</t>
        </is>
      </c>
      <c r="B196" s="46" t="inlineStr">
        <is>
          <t>RED</t>
        </is>
      </c>
      <c r="C196" s="48" t="inlineStr">
        <is>
          <t>P2</t>
        </is>
      </c>
      <c r="D196" s="44" t="inlineStr">
        <is>
          <t>HTTP Method — RED</t>
        </is>
      </c>
      <c r="E196" s="44" t="inlineStr">
        <is>
          <t>RED: GET /draft (sai method, phải là POST) → 404/405</t>
        </is>
      </c>
      <c r="F196" s="41" t="inlineStr">
        <is>
          <t>REQ-FUNC-193</t>
        </is>
      </c>
      <c r="G196" s="41" t="inlineStr">
        <is>
          <t>EP / BVA</t>
        </is>
      </c>
      <c r="H196" s="41" t="inlineStr">
        <is>
          <t>TB</t>
        </is>
      </c>
      <c r="I196" s="44" t="inlineStr">
        <is>
          <t>Đăng nhập officer</t>
        </is>
      </c>
      <c r="J196" s="44" t="inlineStr">
        <is>
          <t>1. GET /api/v1/document-numbers/draft</t>
        </is>
      </c>
      <c r="K196" s="44" t="inlineStr">
        <is>
          <t>user.officer</t>
        </is>
      </c>
      <c r="L196" s="44" t="inlineStr">
        <is>
          <t>user.officer</t>
        </is>
      </c>
      <c r="M196" s="44" t="inlineStr">
        <is>
          <t>404 Not Found hoặc 405 Method Not Allowed</t>
        </is>
      </c>
      <c r="N196" s="44" t="inlineStr"/>
      <c r="O196" s="44" t="inlineStr"/>
      <c r="P196" s="41" t="inlineStr">
        <is>
          <t>[API] Đạt như expected. Thời gian: 0ms</t>
        </is>
      </c>
      <c r="Q196" s="44" t="inlineStr">
        <is>
          <t>Đạt</t>
        </is>
      </c>
      <c r="R196" s="41" t="inlineStr"/>
      <c r="S196" s="41" t="inlineStr"/>
      <c r="T196" s="41" t="inlineStr">
        <is>
          <t>26/05/2026 02:10</t>
        </is>
      </c>
      <c r="U196" s="41" t="inlineStr"/>
      <c r="V196" s="44" t="inlineStr"/>
      <c r="W196" s="41" t="inlineStr"/>
      <c r="X196" s="44" t="inlineStr"/>
    </row>
    <row r="197" ht="80" customHeight="1">
      <c r="A197" s="41" t="inlineStr">
        <is>
          <t>TC-194</t>
        </is>
      </c>
      <c r="B197" s="46" t="inlineStr">
        <is>
          <t>RED</t>
        </is>
      </c>
      <c r="C197" s="48" t="inlineStr">
        <is>
          <t>P2</t>
        </is>
      </c>
      <c r="D197" s="44" t="inlineStr">
        <is>
          <t>HTTP Method — RED</t>
        </is>
      </c>
      <c r="E197" s="44" t="inlineStr">
        <is>
          <t>RED: DELETE /draft (sai method) → 404/405</t>
        </is>
      </c>
      <c r="F197" s="41" t="inlineStr">
        <is>
          <t>REQ-FUNC-194</t>
        </is>
      </c>
      <c r="G197" s="41" t="inlineStr">
        <is>
          <t>EP / BVA</t>
        </is>
      </c>
      <c r="H197" s="41" t="inlineStr">
        <is>
          <t>TB</t>
        </is>
      </c>
      <c r="I197" s="44" t="inlineStr">
        <is>
          <t>Đăng nhập officer</t>
        </is>
      </c>
      <c r="J197" s="44" t="inlineStr">
        <is>
          <t>1. DELETE /api/v1/document-numbers/draft</t>
        </is>
      </c>
      <c r="K197" s="44" t="inlineStr">
        <is>
          <t>user.officer</t>
        </is>
      </c>
      <c r="L197" s="44" t="inlineStr">
        <is>
          <t>user.officer</t>
        </is>
      </c>
      <c r="M197" s="44" t="inlineStr">
        <is>
          <t>404 Not Found hoặc 405 Method Not Allowed</t>
        </is>
      </c>
      <c r="N197" s="44" t="inlineStr"/>
      <c r="O197" s="44" t="inlineStr"/>
      <c r="P197" s="41" t="inlineStr">
        <is>
          <t>[API] Đạt như expected. Thời gian: 0ms</t>
        </is>
      </c>
      <c r="Q197" s="44" t="inlineStr">
        <is>
          <t>Đạt</t>
        </is>
      </c>
      <c r="R197" s="41" t="inlineStr"/>
      <c r="S197" s="41" t="inlineStr"/>
      <c r="T197" s="41" t="inlineStr">
        <is>
          <t>26/05/2026 02:10</t>
        </is>
      </c>
      <c r="U197" s="41" t="inlineStr"/>
      <c r="V197" s="44" t="inlineStr"/>
      <c r="W197" s="41" t="inlineStr"/>
      <c r="X197" s="44" t="inlineStr"/>
    </row>
    <row r="198" ht="80" customHeight="1">
      <c r="A198" s="41" t="inlineStr">
        <is>
          <t>TC-195</t>
        </is>
      </c>
      <c r="B198" s="46" t="inlineStr">
        <is>
          <t>RED</t>
        </is>
      </c>
      <c r="C198" s="48" t="inlineStr">
        <is>
          <t>P2</t>
        </is>
      </c>
      <c r="D198" s="44" t="inlineStr">
        <is>
          <t>HTTP Method — RED</t>
        </is>
      </c>
      <c r="E198" s="44" t="inlineStr">
        <is>
          <t>RED: PUT /commit (sai method, phải là POST) → 404/405</t>
        </is>
      </c>
      <c r="F198" s="41" t="inlineStr">
        <is>
          <t>REQ-FUNC-195</t>
        </is>
      </c>
      <c r="G198" s="41" t="inlineStr">
        <is>
          <t>EP / BVA</t>
        </is>
      </c>
      <c r="H198" s="41" t="inlineStr">
        <is>
          <t>TB</t>
        </is>
      </c>
      <c r="I198" s="44" t="inlineStr">
        <is>
          <t>Đăng nhập officer</t>
        </is>
      </c>
      <c r="J198" s="44" t="inlineStr">
        <is>
          <t>1. PUT /api/v1/document-numbers/commit {documentType:'INCIDENT'}</t>
        </is>
      </c>
      <c r="K198" s="44" t="inlineStr">
        <is>
          <t>user.officer</t>
        </is>
      </c>
      <c r="L198" s="44" t="inlineStr">
        <is>
          <t>user.officer</t>
        </is>
      </c>
      <c r="M198" s="44" t="inlineStr">
        <is>
          <t>404 Not Found hoặc 405 Method Not Allowed. Counter không thay đổi</t>
        </is>
      </c>
      <c r="N198" s="44" t="inlineStr"/>
      <c r="O198" s="44" t="inlineStr"/>
      <c r="P198" s="41" t="inlineStr">
        <is>
          <t>[API] Đạt như expected. Thời gian: 0ms</t>
        </is>
      </c>
      <c r="Q198" s="44" t="inlineStr">
        <is>
          <t>Đạt</t>
        </is>
      </c>
      <c r="R198" s="41" t="inlineStr"/>
      <c r="S198" s="41" t="inlineStr"/>
      <c r="T198" s="41" t="inlineStr">
        <is>
          <t>26/05/2026 02:10</t>
        </is>
      </c>
      <c r="U198" s="41" t="inlineStr"/>
      <c r="V198" s="44" t="inlineStr"/>
      <c r="W198" s="41" t="inlineStr"/>
      <c r="X198" s="44" t="inlineStr"/>
    </row>
    <row r="199" ht="80" customHeight="1">
      <c r="A199" s="41" t="inlineStr">
        <is>
          <t>TC-196</t>
        </is>
      </c>
      <c r="B199" s="46" t="inlineStr">
        <is>
          <t>RED</t>
        </is>
      </c>
      <c r="C199" s="48" t="inlineStr">
        <is>
          <t>P2</t>
        </is>
      </c>
      <c r="D199" s="44" t="inlineStr">
        <is>
          <t>Pagination — RED</t>
        </is>
      </c>
      <c r="E199" s="44" t="inlineStr">
        <is>
          <t>RED: GET /logs?page=0 → 400</t>
        </is>
      </c>
      <c r="F199" s="41" t="inlineStr">
        <is>
          <t>REQ-FUNC-196</t>
        </is>
      </c>
      <c r="G199" s="41" t="inlineStr">
        <is>
          <t>EP / BVA</t>
        </is>
      </c>
      <c r="H199" s="41" t="inlineStr">
        <is>
          <t>TB</t>
        </is>
      </c>
      <c r="I199" s="44" t="inlineStr">
        <is>
          <t>Admin</t>
        </is>
      </c>
      <c r="J199" s="44" t="inlineStr">
        <is>
          <t>1. GET /logs?page=0</t>
        </is>
      </c>
      <c r="K199" s="44" t="inlineStr">
        <is>
          <t>user.admin</t>
        </is>
      </c>
      <c r="L199" s="44" t="inlineStr">
        <is>
          <t>user.admin</t>
        </is>
      </c>
      <c r="M199" s="44" t="inlineStr">
        <is>
          <t>400. Validation error: page phải &gt;= 1</t>
        </is>
      </c>
      <c r="N199" s="44" t="inlineStr"/>
      <c r="O199" s="44" t="inlineStr"/>
      <c r="P199" s="41" t="inlineStr">
        <is>
          <t>[API] Không đạt - xem HTML report</t>
        </is>
      </c>
      <c r="Q199" s="44" t="inlineStr">
        <is>
          <t>Không đạt</t>
        </is>
      </c>
      <c r="R199" s="41" t="inlineStr"/>
      <c r="S199" s="41" t="inlineStr">
        <is>
          <t>BUG-047</t>
        </is>
      </c>
      <c r="T199" s="41" t="inlineStr">
        <is>
          <t>26/05/2026 02:10</t>
        </is>
      </c>
      <c r="U199" s="41" t="inlineStr"/>
      <c r="V199" s="44" t="inlineStr"/>
      <c r="W199" s="41" t="inlineStr"/>
      <c r="X199" s="44" t="inlineStr"/>
    </row>
    <row r="200" ht="80" customHeight="1">
      <c r="A200" s="41" t="inlineStr">
        <is>
          <t>TC-197</t>
        </is>
      </c>
      <c r="B200" s="46" t="inlineStr">
        <is>
          <t>RED</t>
        </is>
      </c>
      <c r="C200" s="48" t="inlineStr">
        <is>
          <t>P2</t>
        </is>
      </c>
      <c r="D200" s="44" t="inlineStr">
        <is>
          <t>Pagination — RED</t>
        </is>
      </c>
      <c r="E200" s="44" t="inlineStr">
        <is>
          <t>RED: GET /logs?pageSize=1000 (vượt max) → 400</t>
        </is>
      </c>
      <c r="F200" s="41" t="inlineStr">
        <is>
          <t>REQ-FUNC-197</t>
        </is>
      </c>
      <c r="G200" s="41" t="inlineStr">
        <is>
          <t>EP / BVA</t>
        </is>
      </c>
      <c r="H200" s="41" t="inlineStr">
        <is>
          <t>TB</t>
        </is>
      </c>
      <c r="I200" s="44" t="inlineStr">
        <is>
          <t>Admin</t>
        </is>
      </c>
      <c r="J200" s="44" t="inlineStr">
        <is>
          <t>1. GET /logs?pageSize=1000</t>
        </is>
      </c>
      <c r="K200" s="44" t="inlineStr">
        <is>
          <t>user.admin</t>
        </is>
      </c>
      <c r="L200" s="44" t="inlineStr">
        <is>
          <t>user.admin</t>
        </is>
      </c>
      <c r="M200" s="44" t="inlineStr">
        <is>
          <t>400. Validation error: pageSize tối đa 100</t>
        </is>
      </c>
      <c r="N200" s="44" t="inlineStr"/>
      <c r="O200" s="44" t="inlineStr"/>
      <c r="P200" s="41" t="inlineStr">
        <is>
          <t>[API] Không đạt - xem HTML report</t>
        </is>
      </c>
      <c r="Q200" s="44" t="inlineStr">
        <is>
          <t>Không đạt</t>
        </is>
      </c>
      <c r="R200" s="41" t="inlineStr"/>
      <c r="S200" s="41" t="inlineStr">
        <is>
          <t>BUG-048</t>
        </is>
      </c>
      <c r="T200" s="41" t="inlineStr">
        <is>
          <t>26/05/2026 02:10</t>
        </is>
      </c>
      <c r="U200" s="41" t="inlineStr"/>
      <c r="V200" s="44" t="inlineStr"/>
      <c r="W200" s="41" t="inlineStr"/>
      <c r="X200" s="44" t="inlineStr"/>
    </row>
    <row r="201" ht="80" customHeight="1">
      <c r="A201" s="41" t="inlineStr">
        <is>
          <t>TC-198</t>
        </is>
      </c>
      <c r="B201" s="46" t="inlineStr">
        <is>
          <t>RED</t>
        </is>
      </c>
      <c r="C201" s="48" t="inlineStr">
        <is>
          <t>P2</t>
        </is>
      </c>
      <c r="D201" s="44" t="inlineStr">
        <is>
          <t>Filter — RED</t>
        </is>
      </c>
      <c r="E201" s="44" t="inlineStr">
        <is>
          <t>RED: GET /logs?templateId=invalid-uuid → 400</t>
        </is>
      </c>
      <c r="F201" s="41" t="inlineStr">
        <is>
          <t>REQ-FUNC-198</t>
        </is>
      </c>
      <c r="G201" s="41" t="inlineStr">
        <is>
          <t>EP / BVA</t>
        </is>
      </c>
      <c r="H201" s="41" t="inlineStr">
        <is>
          <t>TB</t>
        </is>
      </c>
      <c r="I201" s="44" t="inlineStr">
        <is>
          <t>Admin</t>
        </is>
      </c>
      <c r="J201" s="44" t="inlineStr">
        <is>
          <t>1. GET /logs?templateId=not-a-uuid</t>
        </is>
      </c>
      <c r="K201" s="44" t="inlineStr">
        <is>
          <t>user.admin</t>
        </is>
      </c>
      <c r="L201" s="44" t="inlineStr">
        <is>
          <t>user.admin</t>
        </is>
      </c>
      <c r="M201" s="44" t="inlineStr">
        <is>
          <t>400. Validation error: templateId phải là UUID hợp lệ</t>
        </is>
      </c>
      <c r="N201" s="44" t="inlineStr"/>
      <c r="O201" s="44" t="inlineStr"/>
      <c r="P201" s="41" t="inlineStr">
        <is>
          <t>[API] Không đạt - xem HTML report</t>
        </is>
      </c>
      <c r="Q201" s="44" t="inlineStr">
        <is>
          <t>Không đạt</t>
        </is>
      </c>
      <c r="R201" s="41" t="inlineStr"/>
      <c r="S201" s="41" t="inlineStr">
        <is>
          <t>BUG-049</t>
        </is>
      </c>
      <c r="T201" s="41" t="inlineStr">
        <is>
          <t>26/05/2026 02:10</t>
        </is>
      </c>
      <c r="U201" s="41" t="inlineStr"/>
      <c r="V201" s="44" t="inlineStr"/>
      <c r="W201" s="41" t="inlineStr"/>
      <c r="X201" s="44" t="inlineStr"/>
    </row>
    <row r="202" ht="80" customHeight="1">
      <c r="A202" s="41" t="inlineStr">
        <is>
          <t>TC-199</t>
        </is>
      </c>
      <c r="B202" s="46" t="inlineStr">
        <is>
          <t>RED</t>
        </is>
      </c>
      <c r="C202" s="43" t="inlineStr">
        <is>
          <t>P0</t>
        </is>
      </c>
      <c r="D202" s="44" t="inlineStr">
        <is>
          <t>IDOR — Log Update RED</t>
        </is>
      </c>
      <c r="E202" s="44" t="inlineStr">
        <is>
          <t>RED: IDOR — PATCH log của officer2 bằng token officer1 → 403</t>
        </is>
      </c>
      <c r="F202" s="41" t="inlineStr">
        <is>
          <t>REQ-FUNC-199</t>
        </is>
      </c>
      <c r="G202" s="41" t="inlineStr">
        <is>
          <t>EP / BVA</t>
        </is>
      </c>
      <c r="H202" s="41" t="inlineStr">
        <is>
          <t>Cao</t>
        </is>
      </c>
      <c r="I202" s="44" t="inlineStr">
        <is>
          <t>Log của officer2 tồn tại, đăng nhập officer1</t>
        </is>
      </c>
      <c r="J202" s="44" t="inlineStr">
        <is>
          <t>1. PATCH /logs/{logId_officer2} {documentId:'some-uuid'} với token officer1</t>
        </is>
      </c>
      <c r="K202" s="44" t="inlineStr">
        <is>
          <t>user.officer, log.officer2.committed</t>
        </is>
      </c>
      <c r="L202" s="44" t="inlineStr">
        <is>
          <t>user.officer, log.officer2.committed</t>
        </is>
      </c>
      <c r="M202" s="44" t="inlineStr">
        <is>
          <t>403 Forbidden. Log không thay đổi. officer1 không được phép sửa log của officer2</t>
        </is>
      </c>
      <c r="N202" s="44" t="inlineStr"/>
      <c r="O202" s="44" t="inlineStr"/>
      <c r="P202" s="41" t="inlineStr">
        <is>
          <t>[API] Không đạt - xem HTML report</t>
        </is>
      </c>
      <c r="Q202" s="44" t="inlineStr">
        <is>
          <t>Không đạt</t>
        </is>
      </c>
      <c r="R202" s="41" t="inlineStr"/>
      <c r="S202" s="41" t="inlineStr">
        <is>
          <t>BUG-050</t>
        </is>
      </c>
      <c r="T202" s="41" t="inlineStr">
        <is>
          <t>26/05/2026 02:10</t>
        </is>
      </c>
      <c r="U202" s="41" t="inlineStr"/>
      <c r="V202" s="44" t="inlineStr"/>
      <c r="W202" s="41" t="inlineStr"/>
      <c r="X202" s="44" t="inlineStr"/>
    </row>
    <row r="203" ht="80" customHeight="1">
      <c r="A203" s="41" t="inlineStr">
        <is>
          <t>TC-200</t>
        </is>
      </c>
      <c r="B203" s="46" t="inlineStr">
        <is>
          <t>RED</t>
        </is>
      </c>
      <c r="C203" s="45" t="inlineStr">
        <is>
          <t>P1</t>
        </is>
      </c>
      <c r="D203" s="44" t="inlineStr">
        <is>
          <t>Security Input — RED</t>
        </is>
      </c>
      <c r="E203" s="44" t="inlineStr">
        <is>
          <t>RED: NoSQL injection trong templateId query param → 400</t>
        </is>
      </c>
      <c r="F203" s="41" t="inlineStr">
        <is>
          <t>REQ-FUNC-200</t>
        </is>
      </c>
      <c r="G203" s="41" t="inlineStr">
        <is>
          <t>EP / BVA</t>
        </is>
      </c>
      <c r="H203" s="41" t="inlineStr">
        <is>
          <t>Cao</t>
        </is>
      </c>
      <c r="I203" s="44" t="inlineStr">
        <is>
          <t>Admin</t>
        </is>
      </c>
      <c r="J203" s="44" t="inlineStr">
        <is>
          <t>1. GET /logs?templateId={"$ne":null}</t>
        </is>
      </c>
      <c r="K203" s="44" t="inlineStr">
        <is>
          <t>user.admin</t>
        </is>
      </c>
      <c r="L203" s="44" t="inlineStr">
        <is>
          <t>user.admin</t>
        </is>
      </c>
      <c r="M203" s="44" t="inlineStr">
        <is>
          <t>400. Validation error (UUID format). Không return all logs</t>
        </is>
      </c>
      <c r="N203" s="44" t="inlineStr"/>
      <c r="O203" s="44" t="inlineStr"/>
      <c r="P203" s="41" t="inlineStr">
        <is>
          <t>[API] Không đạt - xem HTML report</t>
        </is>
      </c>
      <c r="Q203" s="44" t="inlineStr">
        <is>
          <t>Không đạt</t>
        </is>
      </c>
      <c r="R203" s="41" t="inlineStr"/>
      <c r="S203" s="41" t="inlineStr">
        <is>
          <t>BUG-051</t>
        </is>
      </c>
      <c r="T203" s="41" t="inlineStr">
        <is>
          <t>26/05/2026 02:10</t>
        </is>
      </c>
      <c r="U203" s="41" t="inlineStr"/>
      <c r="V203" s="44" t="inlineStr"/>
      <c r="W203" s="41" t="inlineStr"/>
      <c r="X203" s="44" t="inlineStr"/>
    </row>
    <row r="204" ht="80" customHeight="1">
      <c r="A204" s="41" t="inlineStr">
        <is>
          <t>TC-201</t>
        </is>
      </c>
      <c r="B204" s="46" t="inlineStr">
        <is>
          <t>RED</t>
        </is>
      </c>
      <c r="C204" s="45" t="inlineStr">
        <is>
          <t>P1</t>
        </is>
      </c>
      <c r="D204" s="44" t="inlineStr">
        <is>
          <t>Security XSS Stored — RED</t>
        </is>
      </c>
      <c r="E204" s="44" t="inlineStr">
        <is>
          <t>RED: XSS trong segment LITERAL value → stored safe</t>
        </is>
      </c>
      <c r="F204" s="41" t="inlineStr">
        <is>
          <t>REQ-FUNC-201</t>
        </is>
      </c>
      <c r="G204" s="41" t="inlineStr">
        <is>
          <t>EP / BVA</t>
        </is>
      </c>
      <c r="H204" s="41" t="inlineStr">
        <is>
          <t>Cao</t>
        </is>
      </c>
      <c r="I204" s="44" t="inlineStr">
        <is>
          <t>Admin tạo template</t>
        </is>
      </c>
      <c r="J204" s="44" t="inlineStr">
        <is>
          <t>1. POST /templates {segments:[{type:'LITERAL',value:'&lt;img src=x onerror=alert(1)&gt;'}],...}
2. GET /templates/{id}/preview
3. UI render template name và preview</t>
        </is>
      </c>
      <c r="K204" s="44" t="inlineStr">
        <is>
          <t>user.admin</t>
        </is>
      </c>
      <c r="L204" s="44" t="inlineStr">
        <is>
          <t>user.admin</t>
        </is>
      </c>
      <c r="M204" s="44" t="inlineStr">
        <is>
          <t>201. Giá trị lưu as-is trong DB. Preview endpoint trả về số chứa literal text (không execute JS). UI render escaped</t>
        </is>
      </c>
      <c r="N204" s="44" t="inlineStr"/>
      <c r="O204" s="44" t="inlineStr"/>
      <c r="P204" s="41" t="inlineStr">
        <is>
          <t>[API] Đạt như expected. Thời gian: 0ms</t>
        </is>
      </c>
      <c r="Q204" s="44" t="inlineStr">
        <is>
          <t>Đạt</t>
        </is>
      </c>
      <c r="R204" s="41" t="inlineStr"/>
      <c r="S204" s="41" t="inlineStr"/>
      <c r="T204" s="41" t="inlineStr">
        <is>
          <t>26/05/2026 02:10</t>
        </is>
      </c>
      <c r="U204" s="41" t="inlineStr"/>
      <c r="V204" s="44" t="inlineStr"/>
      <c r="W204" s="41" t="inlineStr"/>
      <c r="X204" s="44" t="inlineStr"/>
    </row>
    <row r="205" ht="80" customHeight="1">
      <c r="A205" s="41" t="inlineStr">
        <is>
          <t>TC-202</t>
        </is>
      </c>
      <c r="B205" s="46" t="inlineStr">
        <is>
          <t>RED</t>
        </is>
      </c>
      <c r="C205" s="45" t="inlineStr">
        <is>
          <t>P1</t>
        </is>
      </c>
      <c r="D205" s="44" t="inlineStr">
        <is>
          <t>Security Path Traversal — RED</t>
        </is>
      </c>
      <c r="E205" s="44" t="inlineStr">
        <is>
          <t>RED: Path traversal trong templateId → 400</t>
        </is>
      </c>
      <c r="F205" s="41" t="inlineStr">
        <is>
          <t>REQ-FUNC-202</t>
        </is>
      </c>
      <c r="G205" s="41" t="inlineStr">
        <is>
          <t>EP / BVA</t>
        </is>
      </c>
      <c r="H205" s="41" t="inlineStr">
        <is>
          <t>Cao</t>
        </is>
      </c>
      <c r="I205" s="44" t="inlineStr">
        <is>
          <t>Admin</t>
        </is>
      </c>
      <c r="J205" s="44" t="inlineStr">
        <is>
          <t>1. GET /templates/../../../etc/passwd/stats</t>
        </is>
      </c>
      <c r="K205" s="44" t="inlineStr">
        <is>
          <t>user.admin</t>
        </is>
      </c>
      <c r="L205" s="44" t="inlineStr">
        <is>
          <t>user.admin</t>
        </is>
      </c>
      <c r="M205" s="44" t="inlineStr">
        <is>
          <t>404 Not Found hoặc 400. Không expose filesystem</t>
        </is>
      </c>
      <c r="N205" s="44" t="inlineStr"/>
      <c r="O205" s="44" t="inlineStr"/>
      <c r="P205" s="41" t="inlineStr">
        <is>
          <t>[API] Không đạt - xem HTML report</t>
        </is>
      </c>
      <c r="Q205" s="44" t="inlineStr">
        <is>
          <t>Không đạt</t>
        </is>
      </c>
      <c r="R205" s="41" t="inlineStr"/>
      <c r="S205" s="41" t="inlineStr">
        <is>
          <t>BUG-052</t>
        </is>
      </c>
      <c r="T205" s="41" t="inlineStr">
        <is>
          <t>26/05/2026 02:10</t>
        </is>
      </c>
      <c r="U205" s="41" t="inlineStr"/>
      <c r="V205" s="44" t="inlineStr"/>
      <c r="W205" s="41" t="inlineStr"/>
      <c r="X205" s="44" t="inlineStr"/>
    </row>
    <row r="206" ht="80" customHeight="1">
      <c r="A206" s="41" t="inlineStr">
        <is>
          <t>TC-203</t>
        </is>
      </c>
      <c r="B206" s="46" t="inlineStr">
        <is>
          <t>RED</t>
        </is>
      </c>
      <c r="C206" s="45" t="inlineStr">
        <is>
          <t>P1</t>
        </is>
      </c>
      <c r="D206" s="44" t="inlineStr">
        <is>
          <t>Security Header — RED</t>
        </is>
      </c>
      <c r="E206" s="44" t="inlineStr">
        <is>
          <t>RED: Header injection trong Authorization → 401</t>
        </is>
      </c>
      <c r="F206" s="41" t="inlineStr">
        <is>
          <t>REQ-FUNC-203</t>
        </is>
      </c>
      <c r="G206" s="41" t="inlineStr">
        <is>
          <t>EP / BVA</t>
        </is>
      </c>
      <c r="H206" s="41" t="inlineStr">
        <is>
          <t>Cao</t>
        </is>
      </c>
      <c r="I206" s="44" t="inlineStr">
        <is>
          <t>Không authenticate</t>
        </is>
      </c>
      <c r="J206" s="44" t="inlineStr">
        <is>
          <t>1. POST /draft với header: Authorization: Bearer valid_token\r\nX-Injected: true</t>
        </is>
      </c>
      <c r="K206" s="44" t="inlineStr"/>
      <c r="L206" s="44" t="inlineStr"/>
      <c r="M206" s="44" t="inlineStr">
        <is>
          <t>400 hoặc 401. Không xử lý injected header</t>
        </is>
      </c>
      <c r="N206" s="44" t="inlineStr"/>
      <c r="O206" s="44" t="inlineStr"/>
      <c r="P206" s="41" t="inlineStr">
        <is>
          <t>[API] Không đạt - xem HTML report</t>
        </is>
      </c>
      <c r="Q206" s="44" t="inlineStr">
        <is>
          <t>Không đạt</t>
        </is>
      </c>
      <c r="R206" s="41" t="inlineStr"/>
      <c r="S206" s="41" t="inlineStr">
        <is>
          <t>BUG-053</t>
        </is>
      </c>
      <c r="T206" s="41" t="inlineStr">
        <is>
          <t>26/05/2026 02:10</t>
        </is>
      </c>
      <c r="U206" s="41" t="inlineStr"/>
      <c r="V206" s="44" t="inlineStr"/>
      <c r="W206" s="41" t="inlineStr"/>
      <c r="X206" s="44" t="inlineStr"/>
    </row>
    <row r="207" ht="80" customHeight="1">
      <c r="A207" s="41" t="inlineStr">
        <is>
          <t>TC-204</t>
        </is>
      </c>
      <c r="B207" s="46" t="inlineStr">
        <is>
          <t>RED</t>
        </is>
      </c>
      <c r="C207" s="45" t="inlineStr">
        <is>
          <t>P1</t>
        </is>
      </c>
      <c r="D207" s="44" t="inlineStr">
        <is>
          <t>Concurrency — Reset RED</t>
        </is>
      </c>
      <c r="E207" s="44" t="inlineStr">
        <is>
          <t>RED: 2 admin reset counter đồng thời → chỉ 1 thành công, không data corruption</t>
        </is>
      </c>
      <c r="F207" s="41" t="inlineStr">
        <is>
          <t>REQ-FUNC-204</t>
        </is>
      </c>
      <c r="G207" s="41" t="inlineStr">
        <is>
          <t>EP / BVA</t>
        </is>
      </c>
      <c r="H207" s="41" t="inlineStr">
        <is>
          <t>Cao</t>
        </is>
      </c>
      <c r="I207" s="44" t="inlineStr">
        <is>
          <t>Template INCIDENT, 2 admin session</t>
        </is>
      </c>
      <c r="J207" s="44" t="inlineStr">
        <is>
          <t>1. Gửi 2 POST /reset-counter đồng thời
2. GET /stats sau đó</t>
        </is>
      </c>
      <c r="K207" s="44" t="inlineStr">
        <is>
          <t>user.admin, template.incident.active</t>
        </is>
      </c>
      <c r="L207" s="44" t="inlineStr">
        <is>
          <t>user.admin, template.incident.active</t>
        </is>
      </c>
      <c r="M207" s="44" t="inlineStr">
        <is>
          <t>Cả 2 trả về 200. Counter=0 (không phải -1 hay corrupted). resetAt là timestamp của lần reset gần nhất</t>
        </is>
      </c>
      <c r="N207" s="44" t="inlineStr"/>
      <c r="O207" s="44" t="inlineStr"/>
      <c r="P207" s="41" t="inlineStr">
        <is>
          <t>[API] Không đạt - xem HTML report</t>
        </is>
      </c>
      <c r="Q207" s="44" t="inlineStr">
        <is>
          <t>Không đạt</t>
        </is>
      </c>
      <c r="R207" s="41" t="inlineStr"/>
      <c r="S207" s="41" t="inlineStr"/>
      <c r="T207" s="41" t="inlineStr">
        <is>
          <t>26/05/2026 02:10</t>
        </is>
      </c>
      <c r="U207" s="41" t="inlineStr"/>
      <c r="V207" s="44" t="inlineStr"/>
      <c r="W207" s="41" t="inlineStr"/>
      <c r="X207" s="44" t="inlineStr"/>
    </row>
    <row r="208" ht="80" customHeight="1">
      <c r="A208" s="41" t="inlineStr">
        <is>
          <t>TC-205</t>
        </is>
      </c>
      <c r="B208" s="46" t="inlineStr">
        <is>
          <t>RED</t>
        </is>
      </c>
      <c r="C208" s="43" t="inlineStr">
        <is>
          <t>P0</t>
        </is>
      </c>
      <c r="D208" s="44" t="inlineStr">
        <is>
          <t>Concurrency — Exhaust RED</t>
        </is>
      </c>
      <c r="E208" s="44" t="inlineStr">
        <is>
          <t>RED: Commit đồng thời khi counter = maxValue-1 → chỉ 1 thành công, 1 nhận 400</t>
        </is>
      </c>
      <c r="F208" s="41" t="inlineStr">
        <is>
          <t>REQ-FUNC-205</t>
        </is>
      </c>
      <c r="G208" s="41" t="inlineStr">
        <is>
          <t>EP / BVA</t>
        </is>
      </c>
      <c r="H208" s="41" t="inlineStr">
        <is>
          <t>Cao</t>
        </is>
      </c>
      <c r="I208" s="44" t="inlineStr">
        <is>
          <t>Template INCIDENT, counter = maxValue-1 (99998/99999). 2 request đồng thời</t>
        </is>
      </c>
      <c r="J208" s="44" t="inlineStr">
        <is>
          <t>1. Set counter=99998
2. Gửi 2 POST /commit {INCIDENT} đồng thời</t>
        </is>
      </c>
      <c r="K208" s="44" t="inlineStr">
        <is>
          <t>template.incident.active, user.officer</t>
        </is>
      </c>
      <c r="L208" s="44" t="inlineStr">
        <is>
          <t>template.incident.active, user.officer</t>
        </is>
      </c>
      <c r="M208" s="44" t="inlineStr">
        <is>
          <t>Request nào lock trước: 200 với counter=99999. Request còn lại: 400 'Đã hết số trong kỳ'. Không có duplicate numbers</t>
        </is>
      </c>
      <c r="N208" s="44" t="inlineStr"/>
      <c r="O208" s="44" t="inlineStr"/>
      <c r="P208" s="41" t="inlineStr">
        <is>
          <t>[API] Không đạt - xem HTML report</t>
        </is>
      </c>
      <c r="Q208" s="44" t="inlineStr">
        <is>
          <t>Không đạt</t>
        </is>
      </c>
      <c r="R208" s="41" t="inlineStr"/>
      <c r="S208" s="41" t="inlineStr">
        <is>
          <t>BUG-054</t>
        </is>
      </c>
      <c r="T208" s="41" t="inlineStr">
        <is>
          <t>26/05/2026 02:10</t>
        </is>
      </c>
      <c r="U208" s="41" t="inlineStr"/>
      <c r="V208" s="44" t="inlineStr"/>
      <c r="W208" s="41" t="inlineStr"/>
      <c r="X208" s="44" t="inlineStr"/>
    </row>
    <row r="209" ht="80" customHeight="1">
      <c r="A209" s="41" t="inlineStr">
        <is>
          <t>TC-211</t>
        </is>
      </c>
      <c r="B209" s="50" t="inlineStr">
        <is>
          <t>SECURITY</t>
        </is>
      </c>
      <c r="C209" s="45" t="inlineStr">
        <is>
          <t>P1</t>
        </is>
      </c>
      <c r="D209" s="44" t="inlineStr">
        <is>
          <t>Security — Rate Limit</t>
        </is>
      </c>
      <c r="E209" s="44" t="inlineStr">
        <is>
          <t>SECURITY: Brute force /draft với token của nhiều user → rate limit per-IP</t>
        </is>
      </c>
      <c r="F209" s="41" t="inlineStr">
        <is>
          <t>REQ-SEC-211</t>
        </is>
      </c>
      <c r="G209" s="41" t="inlineStr">
        <is>
          <t>OWASP Top 10</t>
        </is>
      </c>
      <c r="H209" s="41" t="inlineStr">
        <is>
          <t>Cao</t>
        </is>
      </c>
      <c r="I209" s="44" t="inlineStr">
        <is>
          <t>Nhiều request từ cùng IP</t>
        </is>
      </c>
      <c r="J209" s="44" t="inlineStr">
        <is>
          <t>1. Gửi 200 POST /draft từ cùng IP trong 1 phút (khác user tokens)
2. Quan sát response sau 100+</t>
        </is>
      </c>
      <c r="K209" s="44" t="inlineStr">
        <is>
          <t>user.officer, template.incident.active</t>
        </is>
      </c>
      <c r="L209" s="44" t="inlineStr">
        <is>
          <t>user.officer, template.incident.active</t>
        </is>
      </c>
      <c r="M209" s="44" t="inlineStr">
        <is>
          <t>429 Too Many Requests sau khi vượt rate limit. IP-based throttle hoạt động</t>
        </is>
      </c>
      <c r="N209" s="44" t="inlineStr"/>
      <c r="O209" s="44" t="inlineStr"/>
      <c r="P209" s="41" t="inlineStr">
        <is>
          <t>[API] Không đạt - xem HTML report</t>
        </is>
      </c>
      <c r="Q209" s="44" t="inlineStr">
        <is>
          <t>Không đạt</t>
        </is>
      </c>
      <c r="R209" s="41" t="inlineStr"/>
      <c r="S209" s="41" t="inlineStr">
        <is>
          <t>BUG-055</t>
        </is>
      </c>
      <c r="T209" s="41" t="inlineStr">
        <is>
          <t>26/05/2026 02:10</t>
        </is>
      </c>
      <c r="U209" s="41" t="inlineStr"/>
      <c r="V209" s="44" t="inlineStr"/>
      <c r="W209" s="41" t="inlineStr"/>
      <c r="X209" s="44" t="inlineStr"/>
    </row>
    <row r="210" ht="80" customHeight="1">
      <c r="A210" s="41" t="inlineStr">
        <is>
          <t>TC-212</t>
        </is>
      </c>
      <c r="B210" s="50" t="inlineStr">
        <is>
          <t>SECURITY</t>
        </is>
      </c>
      <c r="C210" s="45" t="inlineStr">
        <is>
          <t>P1</t>
        </is>
      </c>
      <c r="D210" s="44" t="inlineStr">
        <is>
          <t>Security — Token Revocation</t>
        </is>
      </c>
      <c r="E210" s="44" t="inlineStr">
        <is>
          <t>SECURITY: Token reuse sau logout → 401</t>
        </is>
      </c>
      <c r="F210" s="41" t="inlineStr">
        <is>
          <t>REQ-SEC-212</t>
        </is>
      </c>
      <c r="G210" s="41" t="inlineStr">
        <is>
          <t>OWASP Top 10</t>
        </is>
      </c>
      <c r="H210" s="41" t="inlineStr">
        <is>
          <t>Cao</t>
        </is>
      </c>
      <c r="I210" s="44" t="inlineStr">
        <is>
          <t>Officer1 đã đăng nhập và lấy token</t>
        </is>
      </c>
      <c r="J210" s="44" t="inlineStr">
        <is>
          <t>1. POST /auth/logout
2. Dùng token cũ gọi POST /draft</t>
        </is>
      </c>
      <c r="K210" s="44" t="inlineStr">
        <is>
          <t>user.officer, template.incident.active</t>
        </is>
      </c>
      <c r="L210" s="44" t="inlineStr">
        <is>
          <t>user.officer, template.incident.active</t>
        </is>
      </c>
      <c r="M210" s="44" t="inlineStr">
        <is>
          <t>401. Token bị revoke sau logout. Không cho phép tiếp tục sử dụng</t>
        </is>
      </c>
      <c r="N210" s="44" t="inlineStr"/>
      <c r="O210" s="44" t="inlineStr"/>
      <c r="P210" s="41" t="inlineStr">
        <is>
          <t>[API] Không đạt - xem HTML report</t>
        </is>
      </c>
      <c r="Q210" s="44" t="inlineStr">
        <is>
          <t>Không đạt</t>
        </is>
      </c>
      <c r="R210" s="41" t="inlineStr"/>
      <c r="S210" s="41" t="inlineStr">
        <is>
          <t>BUG-056</t>
        </is>
      </c>
      <c r="T210" s="41" t="inlineStr">
        <is>
          <t>26/05/2026 02:10</t>
        </is>
      </c>
      <c r="U210" s="41" t="inlineStr"/>
      <c r="V210" s="44" t="inlineStr"/>
      <c r="W210" s="41" t="inlineStr"/>
      <c r="X210" s="44" t="inlineStr"/>
    </row>
    <row r="211" ht="80" customHeight="1">
      <c r="A211" s="41" t="inlineStr">
        <is>
          <t>TC-213</t>
        </is>
      </c>
      <c r="B211" s="50" t="inlineStr">
        <is>
          <t>SECURITY</t>
        </is>
      </c>
      <c r="C211" s="45" t="inlineStr">
        <is>
          <t>P1</t>
        </is>
      </c>
      <c r="D211" s="44" t="inlineStr">
        <is>
          <t>Security — Mass Assignment</t>
        </is>
      </c>
      <c r="E211" s="44" t="inlineStr">
        <is>
          <t>SECURITY: Mass assignment — POST /templates với trường không được phép (createdById) → ignore</t>
        </is>
      </c>
      <c r="F211" s="41" t="inlineStr">
        <is>
          <t>REQ-SEC-213</t>
        </is>
      </c>
      <c r="G211" s="41" t="inlineStr">
        <is>
          <t>OWASP Top 10</t>
        </is>
      </c>
      <c r="H211" s="41" t="inlineStr">
        <is>
          <t>Cao</t>
        </is>
      </c>
      <c r="I211" s="44" t="inlineStr">
        <is>
          <t>Admin</t>
        </is>
      </c>
      <c r="J211" s="44" t="inlineStr">
        <is>
          <t>1. POST /templates với body bao gồm {createdById:'attacker-uuid', ...rest valid}</t>
        </is>
      </c>
      <c r="K211" s="44" t="inlineStr">
        <is>
          <t>user.admin</t>
        </is>
      </c>
      <c r="L211" s="44" t="inlineStr">
        <is>
          <t>user.admin</t>
        </is>
      </c>
      <c r="M211" s="44" t="inlineStr">
        <is>
          <t>201. createdById được set bởi server từ token, không phải từ request body. Attacker không thể set owner</t>
        </is>
      </c>
      <c r="N211" s="44" t="inlineStr"/>
      <c r="O211" s="44" t="inlineStr"/>
      <c r="P211" s="41" t="inlineStr">
        <is>
          <t>[API] Không đạt - xem HTML report</t>
        </is>
      </c>
      <c r="Q211" s="44" t="inlineStr">
        <is>
          <t>Không đạt</t>
        </is>
      </c>
      <c r="R211" s="41" t="inlineStr"/>
      <c r="S211" s="41" t="inlineStr">
        <is>
          <t>BUG-057</t>
        </is>
      </c>
      <c r="T211" s="41" t="inlineStr">
        <is>
          <t>26/05/2026 02:10</t>
        </is>
      </c>
      <c r="U211" s="41" t="inlineStr"/>
      <c r="V211" s="44" t="inlineStr"/>
      <c r="W211" s="41" t="inlineStr"/>
      <c r="X211" s="44" t="inlineStr"/>
    </row>
    <row r="212" ht="80" customHeight="1">
      <c r="A212" s="41" t="inlineStr">
        <is>
          <t>TC-214</t>
        </is>
      </c>
      <c r="B212" s="50" t="inlineStr">
        <is>
          <t>SECURITY</t>
        </is>
      </c>
      <c r="C212" s="43" t="inlineStr">
        <is>
          <t>P0</t>
        </is>
      </c>
      <c r="D212" s="44" t="inlineStr">
        <is>
          <t>Security — Privilege Escalation</t>
        </is>
      </c>
      <c r="E212" s="44" t="inlineStr">
        <is>
          <t>SECURITY: Privilege escalation — officer POST /templates với extra field role='ADMIN' → 403</t>
        </is>
      </c>
      <c r="F212" s="41" t="inlineStr">
        <is>
          <t>REQ-SEC-214</t>
        </is>
      </c>
      <c r="G212" s="41" t="inlineStr">
        <is>
          <t>OWASP Top 10</t>
        </is>
      </c>
      <c r="H212" s="41" t="inlineStr">
        <is>
          <t>Cao</t>
        </is>
      </c>
      <c r="I212" s="44" t="inlineStr">
        <is>
          <t>Đăng nhập officer</t>
        </is>
      </c>
      <c r="J212" s="44" t="inlineStr">
        <is>
          <t>1. POST /templates {role:'ADMIN', name:'X', ...rest}</t>
        </is>
      </c>
      <c r="K212" s="44" t="inlineStr">
        <is>
          <t>user.officer</t>
        </is>
      </c>
      <c r="L212" s="44" t="inlineStr">
        <is>
          <t>user.officer</t>
        </is>
      </c>
      <c r="M212" s="44" t="inlineStr">
        <is>
          <t>403. Server không nhận field role từ body. Officer vẫn 403</t>
        </is>
      </c>
      <c r="N212" s="44" t="inlineStr"/>
      <c r="O212" s="44" t="inlineStr"/>
      <c r="P212" s="41" t="inlineStr">
        <is>
          <t>[API] Đạt như expected. Thời gian: 0ms</t>
        </is>
      </c>
      <c r="Q212" s="44" t="inlineStr">
        <is>
          <t>Đạt</t>
        </is>
      </c>
      <c r="R212" s="41" t="inlineStr"/>
      <c r="S212" s="41" t="inlineStr">
        <is>
          <t>BUG-058</t>
        </is>
      </c>
      <c r="T212" s="41" t="inlineStr">
        <is>
          <t>26/05/2026 02:10</t>
        </is>
      </c>
      <c r="U212" s="41" t="inlineStr"/>
      <c r="V212" s="44" t="inlineStr"/>
      <c r="W212" s="41" t="inlineStr"/>
      <c r="X212" s="44" t="inlineStr"/>
    </row>
    <row r="213" ht="80" customHeight="1">
      <c r="A213" s="41" t="inlineStr">
        <is>
          <t>TC-215</t>
        </is>
      </c>
      <c r="B213" s="50" t="inlineStr">
        <is>
          <t>SECURITY</t>
        </is>
      </c>
      <c r="C213" s="45" t="inlineStr">
        <is>
          <t>P1</t>
        </is>
      </c>
      <c r="D213" s="44" t="inlineStr">
        <is>
          <t>Security — Data Exposure</t>
        </is>
      </c>
      <c r="E213" s="44" t="inlineStr">
        <is>
          <t>SECURITY: Sensitive data trong response — /logs không expose user password</t>
        </is>
      </c>
      <c r="F213" s="41" t="inlineStr">
        <is>
          <t>REQ-SEC-215</t>
        </is>
      </c>
      <c r="G213" s="41" t="inlineStr">
        <is>
          <t>OWASP Top 10</t>
        </is>
      </c>
      <c r="H213" s="41" t="inlineStr">
        <is>
          <t>Cao</t>
        </is>
      </c>
      <c r="I213" s="44" t="inlineStr">
        <is>
          <t>Admin, GET /logs</t>
        </is>
      </c>
      <c r="J213" s="44" t="inlineStr">
        <is>
          <t>1. GET /api/v1/document-numbers/logs
2. Kiểm tra response schema</t>
        </is>
      </c>
      <c r="K213" s="44" t="inlineStr">
        <is>
          <t>user.admin, logs.mixed_users_18</t>
        </is>
      </c>
      <c r="L213" s="44" t="inlineStr">
        <is>
          <t>user.admin, logs.mixed_users_18</t>
        </is>
      </c>
      <c r="M213" s="44" t="inlineStr">
        <is>
          <t>Response không chứa: user.password, user.passwordHash, 2FA secrets, refresh tokens. Chỉ expose: userId, user.fullName (nếu cần)</t>
        </is>
      </c>
      <c r="N213" s="44" t="inlineStr"/>
      <c r="O213" s="44" t="inlineStr"/>
      <c r="P213" s="41" t="inlineStr">
        <is>
          <t>[API] Đạt như expected. Thời gian: 0ms</t>
        </is>
      </c>
      <c r="Q213" s="44" t="inlineStr">
        <is>
          <t>Đạt</t>
        </is>
      </c>
      <c r="R213" s="41" t="inlineStr"/>
      <c r="S213" s="41" t="inlineStr"/>
      <c r="T213" s="41" t="inlineStr">
        <is>
          <t>26/05/2026 02:10</t>
        </is>
      </c>
      <c r="U213" s="41" t="inlineStr"/>
      <c r="V213" s="44" t="inlineStr"/>
      <c r="W213" s="41" t="inlineStr"/>
      <c r="X213" s="44" t="inlineStr"/>
    </row>
    <row r="214" ht="80" customHeight="1">
      <c r="A214" s="41" t="inlineStr">
        <is>
          <t>TC-216</t>
        </is>
      </c>
      <c r="B214" s="50" t="inlineStr">
        <is>
          <t>SECURITY</t>
        </is>
      </c>
      <c r="C214" s="45" t="inlineStr">
        <is>
          <t>P1</t>
        </is>
      </c>
      <c r="D214" s="44" t="inlineStr">
        <is>
          <t>Security — Error Handling</t>
        </is>
      </c>
      <c r="E214" s="44" t="inlineStr">
        <is>
          <t>SECURITY: Server error không leak stack trace → không expose internals</t>
        </is>
      </c>
      <c r="F214" s="41" t="inlineStr">
        <is>
          <t>REQ-SEC-216</t>
        </is>
      </c>
      <c r="G214" s="41" t="inlineStr">
        <is>
          <t>OWASP Top 10</t>
        </is>
      </c>
      <c r="H214" s="41" t="inlineStr">
        <is>
          <t>Cao</t>
        </is>
      </c>
      <c r="I214" s="44" t="inlineStr">
        <is>
          <t>Gây ra internal server error (invalid UUID format)</t>
        </is>
      </c>
      <c r="J214" s="44" t="inlineStr">
        <is>
          <t>1. GET /templates/not-a-valid-uuid-at-all/stats</t>
        </is>
      </c>
      <c r="K214" s="44" t="inlineStr">
        <is>
          <t>user.admin</t>
        </is>
      </c>
      <c r="L214" s="44" t="inlineStr">
        <is>
          <t>user.admin</t>
        </is>
      </c>
      <c r="M214" s="44" t="inlineStr">
        <is>
          <t>400 hoặc 404. Response message là user-friendly, không chứa: stack trace, file paths, Prisma errors, DB schema details</t>
        </is>
      </c>
      <c r="N214" s="44" t="inlineStr"/>
      <c r="O214" s="44" t="inlineStr"/>
      <c r="P214" s="41" t="inlineStr">
        <is>
          <t>[API] Không đạt - xem HTML report</t>
        </is>
      </c>
      <c r="Q214" s="44" t="inlineStr">
        <is>
          <t>Không đạt</t>
        </is>
      </c>
      <c r="R214" s="41" t="inlineStr"/>
      <c r="S214" s="41" t="inlineStr">
        <is>
          <t>BUG-059</t>
        </is>
      </c>
      <c r="T214" s="41" t="inlineStr">
        <is>
          <t>26/05/2026 02:10</t>
        </is>
      </c>
      <c r="U214" s="41" t="inlineStr"/>
      <c r="V214" s="44" t="inlineStr"/>
      <c r="W214" s="41" t="inlineStr"/>
      <c r="X214" s="44" t="inlineStr"/>
    </row>
    <row r="215" ht="80" customHeight="1">
      <c r="A215" s="41" t="inlineStr">
        <is>
          <t>TC-217</t>
        </is>
      </c>
      <c r="B215" s="50" t="inlineStr">
        <is>
          <t>SECURITY</t>
        </is>
      </c>
      <c r="C215" s="45" t="inlineStr">
        <is>
          <t>P1</t>
        </is>
      </c>
      <c r="D215" s="44" t="inlineStr">
        <is>
          <t>Security — Long Payload</t>
        </is>
      </c>
      <c r="E215" s="44" t="inlineStr">
        <is>
          <t>SECURITY: Long string injection trong template name (10000 chars) → 400</t>
        </is>
      </c>
      <c r="F215" s="41" t="inlineStr">
        <is>
          <t>REQ-SEC-217</t>
        </is>
      </c>
      <c r="G215" s="41" t="inlineStr">
        <is>
          <t>OWASP Top 10</t>
        </is>
      </c>
      <c r="H215" s="41" t="inlineStr">
        <is>
          <t>Cao</t>
        </is>
      </c>
      <c r="I215" s="44" t="inlineStr">
        <is>
          <t>Admin</t>
        </is>
      </c>
      <c r="J215" s="44" t="inlineStr">
        <is>
          <t>1. POST /templates {name: 'A' * 10000}</t>
        </is>
      </c>
      <c r="K215" s="44" t="inlineStr">
        <is>
          <t>user.admin</t>
        </is>
      </c>
      <c r="L215" s="44" t="inlineStr">
        <is>
          <t>user.admin</t>
        </is>
      </c>
      <c r="M215" s="44" t="inlineStr">
        <is>
          <t>400. Validation error: name tối đa X ký tự. Không bị OOM hay slow response</t>
        </is>
      </c>
      <c r="N215" s="44" t="inlineStr"/>
      <c r="O215" s="44" t="inlineStr"/>
      <c r="P215" s="41" t="inlineStr">
        <is>
          <t>[API] Đạt như expected. Thời gian: 0ms</t>
        </is>
      </c>
      <c r="Q215" s="44" t="inlineStr">
        <is>
          <t>Đạt</t>
        </is>
      </c>
      <c r="R215" s="41" t="inlineStr"/>
      <c r="S215" s="41" t="inlineStr"/>
      <c r="T215" s="41" t="inlineStr">
        <is>
          <t>26/05/2026 02:10</t>
        </is>
      </c>
      <c r="U215" s="41" t="inlineStr"/>
      <c r="V215" s="44" t="inlineStr"/>
      <c r="W215" s="41" t="inlineStr"/>
      <c r="X215" s="44" t="inlineStr"/>
    </row>
    <row r="216" ht="80" customHeight="1">
      <c r="A216" s="41" t="inlineStr">
        <is>
          <t>TC-218</t>
        </is>
      </c>
      <c r="B216" s="50" t="inlineStr">
        <is>
          <t>SECURITY</t>
        </is>
      </c>
      <c r="C216" s="48" t="inlineStr">
        <is>
          <t>P2</t>
        </is>
      </c>
      <c r="D216" s="44" t="inlineStr">
        <is>
          <t>Security — Null Byte</t>
        </is>
      </c>
      <c r="E216" s="44" t="inlineStr">
        <is>
          <t>SECURITY: Unicode null byte trong LITERAL segment value → xử lý safe</t>
        </is>
      </c>
      <c r="F216" s="41" t="inlineStr">
        <is>
          <t>REQ-SEC-218</t>
        </is>
      </c>
      <c r="G216" s="41" t="inlineStr">
        <is>
          <t>OWASP Top 10</t>
        </is>
      </c>
      <c r="H216" s="41" t="inlineStr">
        <is>
          <t>TB</t>
        </is>
      </c>
      <c r="I216" s="44" t="inlineStr">
        <is>
          <t>Admin</t>
        </is>
      </c>
      <c r="J216" s="44" t="inlineStr">
        <is>
          <t>1. POST /templates {segments:[{type:'LITERAL',value:'VV\u0000INJECTED'}]}</t>
        </is>
      </c>
      <c r="K216" s="44" t="inlineStr">
        <is>
          <t>user.admin</t>
        </is>
      </c>
      <c r="L216" s="44" t="inlineStr">
        <is>
          <t>user.admin</t>
        </is>
      </c>
      <c r="M216" s="44" t="inlineStr">
        <is>
          <t>400 hoặc 201 với null byte stripped. Không crash. Không corrupt DB</t>
        </is>
      </c>
      <c r="N216" s="44" t="inlineStr"/>
      <c r="O216" s="44" t="inlineStr"/>
      <c r="P216" s="41" t="inlineStr">
        <is>
          <t>[API] Đạt như expected. Thời gian: 0ms</t>
        </is>
      </c>
      <c r="Q216" s="44" t="inlineStr">
        <is>
          <t>Đạt</t>
        </is>
      </c>
      <c r="R216" s="41" t="inlineStr"/>
      <c r="S216" s="41" t="inlineStr"/>
      <c r="T216" s="41" t="inlineStr">
        <is>
          <t>26/05/2026 02:10</t>
        </is>
      </c>
      <c r="U216" s="41" t="inlineStr"/>
      <c r="V216" s="44" t="inlineStr"/>
      <c r="W216" s="41" t="inlineStr"/>
      <c r="X216" s="44" t="inlineStr"/>
    </row>
    <row r="217" ht="80" customHeight="1">
      <c r="A217" s="41" t="inlineStr">
        <is>
          <t>TC-219</t>
        </is>
      </c>
      <c r="B217" s="50" t="inlineStr">
        <is>
          <t>SECURITY</t>
        </is>
      </c>
      <c r="C217" s="45" t="inlineStr">
        <is>
          <t>P1</t>
        </is>
      </c>
      <c r="D217" s="44" t="inlineStr">
        <is>
          <t>Security — CORS</t>
        </is>
      </c>
      <c r="E217" s="44" t="inlineStr">
        <is>
          <t>SECURITY: CORS — request từ allowed origin nhận Access-Control-Allow-Origin đúng</t>
        </is>
      </c>
      <c r="F217" s="41" t="inlineStr">
        <is>
          <t>REQ-SEC-219</t>
        </is>
      </c>
      <c r="G217" s="41" t="inlineStr">
        <is>
          <t>OWASP Top 10</t>
        </is>
      </c>
      <c r="H217" s="41" t="inlineStr">
        <is>
          <t>Cao</t>
        </is>
      </c>
      <c r="I217" s="44" t="inlineStr">
        <is>
          <t>Biết CORS_ORIGIN config của server</t>
        </is>
      </c>
      <c r="J217" s="44" t="inlineStr">
        <is>
          <t>1. GET /templates với Origin: http://171.244.40.245</t>
        </is>
      </c>
      <c r="K217" s="44" t="inlineStr">
        <is>
          <t>user.admin</t>
        </is>
      </c>
      <c r="L217" s="44" t="inlineStr">
        <is>
          <t>user.admin</t>
        </is>
      </c>
      <c r="M217" s="44" t="inlineStr">
        <is>
          <t>Response có Access-Control-Allow-Origin: http://171.244.40.245 (hoặc *). Cross-origin requests từ app domain được phép</t>
        </is>
      </c>
      <c r="N217" s="44" t="inlineStr"/>
      <c r="O217" s="44" t="inlineStr"/>
      <c r="P217" s="41" t="inlineStr">
        <is>
          <t>[API] Đạt như expected. Thời gian: 0ms</t>
        </is>
      </c>
      <c r="Q217" s="44" t="inlineStr">
        <is>
          <t>Đạt</t>
        </is>
      </c>
      <c r="R217" s="41" t="inlineStr"/>
      <c r="S217" s="41" t="inlineStr"/>
      <c r="T217" s="41" t="inlineStr">
        <is>
          <t>26/05/2026 02:10</t>
        </is>
      </c>
      <c r="U217" s="41" t="inlineStr"/>
      <c r="V217" s="44" t="inlineStr"/>
      <c r="W217" s="41" t="inlineStr"/>
      <c r="X217" s="44" t="inlineStr"/>
    </row>
    <row r="218" ht="80" customHeight="1">
      <c r="A218" s="41" t="inlineStr">
        <is>
          <t>TC-220</t>
        </is>
      </c>
      <c r="B218" s="50" t="inlineStr">
        <is>
          <t>SECURITY</t>
        </is>
      </c>
      <c r="C218" s="48" t="inlineStr">
        <is>
          <t>P2</t>
        </is>
      </c>
      <c r="D218" s="44" t="inlineStr">
        <is>
          <t>Security — Timing</t>
        </is>
      </c>
      <c r="E218" s="44" t="inlineStr">
        <is>
          <t>SECURITY: Timing attack — /draft với valid vs invalid token không differ quá 100ms</t>
        </is>
      </c>
      <c r="F218" s="41" t="inlineStr">
        <is>
          <t>REQ-SEC-220</t>
        </is>
      </c>
      <c r="G218" s="41" t="inlineStr">
        <is>
          <t>OWASP Top 10</t>
        </is>
      </c>
      <c r="H218" s="41" t="inlineStr">
        <is>
          <t>TB</t>
        </is>
      </c>
      <c r="I218" s="44" t="inlineStr">
        <is>
          <t>So sánh response time valid vs invalid token</t>
        </is>
      </c>
      <c r="J218" s="44" t="inlineStr">
        <is>
          <t>1. POST /draft với valid token × 10 → đo thời gian
2. POST /draft với invalid token × 10 → đo thời gian
3. So sánh</t>
        </is>
      </c>
      <c r="K218" s="44" t="inlineStr">
        <is>
          <t>user.officer, template.incident.active</t>
        </is>
      </c>
      <c r="L218" s="44" t="inlineStr">
        <is>
          <t>user.officer, template.incident.active</t>
        </is>
      </c>
      <c r="M218" s="44" t="inlineStr">
        <is>
          <t>Difference trong response time &lt; 100ms (không thể đoán valid/invalid token qua timing)</t>
        </is>
      </c>
      <c r="N218" s="44" t="inlineStr"/>
      <c r="O218" s="44" t="inlineStr"/>
      <c r="P218" s="41" t="inlineStr">
        <is>
          <t>[API] Đạt như expected. Thời gian: 0ms</t>
        </is>
      </c>
      <c r="Q218" s="44" t="inlineStr">
        <is>
          <t>Đạt</t>
        </is>
      </c>
      <c r="R218" s="41" t="inlineStr"/>
      <c r="S218" s="41" t="inlineStr"/>
      <c r="T218" s="41" t="inlineStr">
        <is>
          <t>26/05/2026 02:10</t>
        </is>
      </c>
      <c r="U218" s="41" t="inlineStr"/>
      <c r="V218" s="44" t="inlineStr"/>
      <c r="W218" s="41" t="inlineStr"/>
      <c r="X218" s="44" t="inlineStr"/>
    </row>
    <row r="219" ht="80" customHeight="1">
      <c r="A219" s="41" t="inlineStr">
        <is>
          <t>TC-221</t>
        </is>
      </c>
      <c r="B219" s="50" t="inlineStr">
        <is>
          <t>SECURITY</t>
        </is>
      </c>
      <c r="C219" s="45" t="inlineStr">
        <is>
          <t>P1</t>
        </is>
      </c>
      <c r="D219" s="44" t="inlineStr">
        <is>
          <t>Security — Replay</t>
        </is>
      </c>
      <c r="E219" s="44" t="inlineStr">
        <is>
          <t>SECURITY: Replay attack — cùng request body gửi 2 lần → 2 số khác nhau (idempotency)</t>
        </is>
      </c>
      <c r="F219" s="41" t="inlineStr">
        <is>
          <t>REQ-SEC-221</t>
        </is>
      </c>
      <c r="G219" s="41" t="inlineStr">
        <is>
          <t>OWASP Top 10</t>
        </is>
      </c>
      <c r="H219" s="41" t="inlineStr">
        <is>
          <t>Cao</t>
        </is>
      </c>
      <c r="I219" s="44" t="inlineStr">
        <is>
          <t>Đăng nhập officer</t>
        </is>
      </c>
      <c r="J219" s="44" t="inlineStr">
        <is>
          <t>1. POST /commit {documentType:'INCIDENT'} lần 1
2. Gửi chính xác cùng request (body + headers) lần 2</t>
        </is>
      </c>
      <c r="K219" s="44" t="inlineStr">
        <is>
          <t>user.officer, template.incident.active</t>
        </is>
      </c>
      <c r="L219" s="44" t="inlineStr">
        <is>
          <t>user.officer, template.incident.active</t>
        </is>
      </c>
      <c r="M219" s="44" t="inlineStr">
        <is>
          <t>Lần 1: counter=N+1. Lần 2: counter=N+2, số khác. Không có idempotency key → 2 commits được tạo (expected behavior). OR nếu có idempotency key: trả về same response</t>
        </is>
      </c>
      <c r="N219" s="44" t="inlineStr"/>
      <c r="O219" s="44" t="inlineStr"/>
      <c r="P219" s="41" t="inlineStr">
        <is>
          <t>[API] Đạt như expected. Thời gian: 0ms</t>
        </is>
      </c>
      <c r="Q219" s="44" t="inlineStr">
        <is>
          <t>Đạt</t>
        </is>
      </c>
      <c r="R219" s="41" t="inlineStr"/>
      <c r="S219" s="41" t="inlineStr"/>
      <c r="T219" s="41" t="inlineStr">
        <is>
          <t>26/05/2026 02:10</t>
        </is>
      </c>
      <c r="U219" s="41" t="inlineStr"/>
      <c r="V219" s="44" t="inlineStr"/>
      <c r="W219" s="41" t="inlineStr"/>
      <c r="X219" s="44" t="inlineStr"/>
    </row>
    <row r="220" ht="80" customHeight="1">
      <c r="A220" s="41" t="inlineStr">
        <is>
          <t>TC-222</t>
        </is>
      </c>
      <c r="B220" s="56" t="inlineStr">
        <is>
          <t>A11Y</t>
        </is>
      </c>
      <c r="C220" s="48" t="inlineStr">
        <is>
          <t>P2</t>
        </is>
      </c>
      <c r="D220" s="44" t="inlineStr">
        <is>
          <t>A11Y — Color Independent</t>
        </is>
      </c>
      <c r="E220" s="44" t="inlineStr">
        <is>
          <t>A11Y: DocNumberPreviewField — badge 'Tự động' text cũng đọc được không phụ thuộc vào màu</t>
        </is>
      </c>
      <c r="F220" s="41" t="inlineStr">
        <is>
          <t>REQ-A11Y-222</t>
        </is>
      </c>
      <c r="G220" s="41" t="inlineStr">
        <is>
          <t>WCAG 2.1 AA</t>
        </is>
      </c>
      <c r="H220" s="41" t="inlineStr">
        <is>
          <t>TB</t>
        </is>
      </c>
      <c r="I220" s="44" t="inlineStr">
        <is>
          <t>Form tạo vụ việc, người dùng color blind</t>
        </is>
      </c>
      <c r="J220" s="44" t="inlineStr">
        <is>
          <t>1. Disable CSS (greyscale)
2. Vẫn phân biệt được AUTO vs MANUAL vs OVERRIDE badge</t>
        </is>
      </c>
      <c r="K220" s="44" t="inlineStr">
        <is>
          <t>template.incident.active, user.officer</t>
        </is>
      </c>
      <c r="L220" s="44" t="inlineStr">
        <is>
          <t>template.incident.active, user.officer</t>
        </is>
      </c>
      <c r="M220" s="44" t="inlineStr">
        <is>
          <t>Badge dùng text label 'Tự động' / 'Nhập tay' (không chỉ màu). Color-blind users hiểu được trạng thái</t>
        </is>
      </c>
      <c r="N220" s="44" t="inlineStr"/>
      <c r="O220" s="44" t="inlineStr"/>
      <c r="P220" s="41" t="inlineStr">
        <is>
          <t>Medium</t>
        </is>
      </c>
      <c r="Q220" s="44" t="inlineStr"/>
      <c r="R220" s="41" t="inlineStr"/>
      <c r="S220" s="41" t="inlineStr"/>
      <c r="T220" s="41" t="inlineStr"/>
      <c r="U220" s="41" t="inlineStr"/>
      <c r="V220" s="44" t="inlineStr"/>
      <c r="W220" s="41" t="inlineStr"/>
      <c r="X220" s="44" t="inlineStr"/>
    </row>
    <row r="221" ht="80" customHeight="1">
      <c r="A221" s="41" t="inlineStr">
        <is>
          <t>TC-223</t>
        </is>
      </c>
      <c r="B221" s="56" t="inlineStr">
        <is>
          <t>A11Y</t>
        </is>
      </c>
      <c r="C221" s="48" t="inlineStr">
        <is>
          <t>P2</t>
        </is>
      </c>
      <c r="D221" s="44" t="inlineStr">
        <is>
          <t>A11Y — Keyboard Drag</t>
        </is>
      </c>
      <c r="E221" s="44" t="inlineStr">
        <is>
          <t>A11Y: SegmentBuilder reorder — drag-drop có keyboard alternative</t>
        </is>
      </c>
      <c r="F221" s="41" t="inlineStr">
        <is>
          <t>REQ-A11Y-223</t>
        </is>
      </c>
      <c r="G221" s="41" t="inlineStr">
        <is>
          <t>WCAG 2.1 AA</t>
        </is>
      </c>
      <c r="H221" s="41" t="inlineStr">
        <is>
          <t>TB</t>
        </is>
      </c>
      <c r="I221" s="44" t="inlineStr">
        <is>
          <t>Admin, modal tạo template, có nhiều segments</t>
        </is>
      </c>
      <c r="J221" s="44" t="inlineStr">
        <is>
          <t>1. Không dùng chuột
2. Tab đến segment
3. Dùng keyboard để di chuyển segment lên/xuống (arrow keys hoặc button)</t>
        </is>
      </c>
      <c r="K221" s="44" t="inlineStr">
        <is>
          <t>user.admin</t>
        </is>
      </c>
      <c r="L221" s="44" t="inlineStr">
        <is>
          <t>user.admin</t>
        </is>
      </c>
      <c r="M221" s="44" t="inlineStr">
        <is>
          <t>Có keyboard alternative cho reorder (nút ↑↓ button hoặc aria-grabbed drag). Không yêu cầu chuột cho reorder</t>
        </is>
      </c>
      <c r="N221" s="44" t="inlineStr"/>
      <c r="O221" s="44" t="inlineStr"/>
      <c r="P221" s="41" t="inlineStr">
        <is>
          <t>Medium</t>
        </is>
      </c>
      <c r="Q221" s="44" t="inlineStr"/>
      <c r="R221" s="41" t="inlineStr"/>
      <c r="S221" s="41" t="inlineStr"/>
      <c r="T221" s="41" t="inlineStr"/>
      <c r="U221" s="41" t="inlineStr"/>
      <c r="V221" s="44" t="inlineStr"/>
      <c r="W221" s="41" t="inlineStr"/>
      <c r="X221" s="44" t="inlineStr"/>
    </row>
    <row r="222" ht="80" customHeight="1">
      <c r="A222" s="41" t="inlineStr">
        <is>
          <t>TC-224</t>
        </is>
      </c>
      <c r="B222" s="56" t="inlineStr">
        <is>
          <t>A11Y</t>
        </is>
      </c>
      <c r="C222" s="48" t="inlineStr">
        <is>
          <t>P2</t>
        </is>
      </c>
      <c r="D222" s="44" t="inlineStr">
        <is>
          <t>A11Y — Sort</t>
        </is>
      </c>
      <c r="E222" s="44" t="inlineStr">
        <is>
          <t>A11Y: Settings page — table column headers sort interactive có aria-sort</t>
        </is>
      </c>
      <c r="F222" s="41" t="inlineStr">
        <is>
          <t>REQ-A11Y-224</t>
        </is>
      </c>
      <c r="G222" s="41" t="inlineStr">
        <is>
          <t>WCAG 2.1 AA</t>
        </is>
      </c>
      <c r="H222" s="41" t="inlineStr">
        <is>
          <t>TB</t>
        </is>
      </c>
      <c r="I222" s="44" t="inlineStr">
        <is>
          <t>Admin, trang settings</t>
        </is>
      </c>
      <c r="J222" s="44" t="inlineStr">
        <is>
          <t>1. Nếu table có sort: kiểm tra aria-sort trên th
2. Nếu không có sort: kiểm tra không có misleading interactive indicators</t>
        </is>
      </c>
      <c r="K222" s="44" t="inlineStr">
        <is>
          <t>user.admin, templates.all_seeded</t>
        </is>
      </c>
      <c r="L222" s="44" t="inlineStr">
        <is>
          <t>user.admin, templates.all_seeded</t>
        </is>
      </c>
      <c r="M222" s="44" t="inlineStr">
        <is>
          <t>Nếu có sort: th có aria-sort='ascending'/'descending'. Screen reader thông báo sort state. Nếu không có sort: headers không có button role</t>
        </is>
      </c>
      <c r="N222" s="44" t="inlineStr"/>
      <c r="O222" s="44" t="inlineStr"/>
      <c r="P222" s="41" t="inlineStr">
        <is>
          <t>Medium</t>
        </is>
      </c>
      <c r="Q222" s="44" t="inlineStr"/>
      <c r="R222" s="41" t="inlineStr"/>
      <c r="S222" s="41" t="inlineStr"/>
      <c r="T222" s="41" t="inlineStr"/>
      <c r="U222" s="41" t="inlineStr"/>
      <c r="V222" s="44" t="inlineStr"/>
      <c r="W222" s="41" t="inlineStr"/>
      <c r="X222" s="44" t="inlineStr"/>
    </row>
    <row r="223" ht="80" customHeight="1">
      <c r="A223" s="41" t="inlineStr">
        <is>
          <t>TC-225</t>
        </is>
      </c>
      <c r="B223" s="56" t="inlineStr">
        <is>
          <t>A11Y</t>
        </is>
      </c>
      <c r="C223" s="45" t="inlineStr">
        <is>
          <t>P1</t>
        </is>
      </c>
      <c r="D223" s="44" t="inlineStr">
        <is>
          <t>A11Y — Modal Announce</t>
        </is>
      </c>
      <c r="E223" s="44" t="inlineStr">
        <is>
          <t>A11Y: Modal TemplateFormModal announce khi mở bằng aria-live</t>
        </is>
      </c>
      <c r="F223" s="41" t="inlineStr">
        <is>
          <t>REQ-A11Y-225</t>
        </is>
      </c>
      <c r="G223" s="41" t="inlineStr">
        <is>
          <t>WCAG 2.1 AA</t>
        </is>
      </c>
      <c r="H223" s="41" t="inlineStr">
        <is>
          <t>Cao</t>
        </is>
      </c>
      <c r="I223" s="44" t="inlineStr">
        <is>
          <t>Admin, click 'Thêm mới'</t>
        </is>
      </c>
      <c r="J223" s="44" t="inlineStr">
        <is>
          <t>1. Mở modal
2. Screen reader (NVDA) nghe announcement</t>
        </is>
      </c>
      <c r="K223" s="44" t="inlineStr">
        <is>
          <t>user.admin</t>
        </is>
      </c>
      <c r="L223" s="44" t="inlineStr">
        <is>
          <t>user.admin</t>
        </is>
      </c>
      <c r="M223" s="44" t="inlineStr">
        <is>
          <t>Screen reader đọc title của modal khi mở: 'Thêm template mới' (hoặc tương tự). Modal có role='dialog' và aria-labelledby</t>
        </is>
      </c>
      <c r="N223" s="44" t="inlineStr"/>
      <c r="O223" s="44" t="inlineStr"/>
      <c r="P223" s="41" t="inlineStr">
        <is>
          <t>High</t>
        </is>
      </c>
      <c r="Q223" s="44" t="inlineStr"/>
      <c r="R223" s="41" t="inlineStr"/>
      <c r="S223" s="41" t="inlineStr"/>
      <c r="T223" s="41" t="inlineStr"/>
      <c r="U223" s="41" t="inlineStr"/>
      <c r="V223" s="44" t="inlineStr"/>
      <c r="W223" s="41" t="inlineStr"/>
      <c r="X223" s="44" t="inlineStr"/>
    </row>
    <row r="224" ht="80" customHeight="1">
      <c r="A224" s="41" t="inlineStr">
        <is>
          <t>TC-226</t>
        </is>
      </c>
      <c r="B224" s="56" t="inlineStr">
        <is>
          <t>A11Y</t>
        </is>
      </c>
      <c r="C224" s="48" t="inlineStr">
        <is>
          <t>P2</t>
        </is>
      </c>
      <c r="D224" s="44" t="inlineStr">
        <is>
          <t>A11Y — Live Region</t>
        </is>
      </c>
      <c r="E224" s="44" t="inlineStr">
        <is>
          <t>A11Y: Preview bar trong SegmentBuilder có aria-live để update động</t>
        </is>
      </c>
      <c r="F224" s="41" t="inlineStr">
        <is>
          <t>REQ-A11Y-226</t>
        </is>
      </c>
      <c r="G224" s="41" t="inlineStr">
        <is>
          <t>WCAG 2.1 AA</t>
        </is>
      </c>
      <c r="H224" s="41" t="inlineStr">
        <is>
          <t>TB</t>
        </is>
      </c>
      <c r="I224" s="44" t="inlineStr">
        <is>
          <t>Admin, modal tạo template</t>
        </is>
      </c>
      <c r="J224" s="44" t="inlineStr">
        <is>
          <t>1. Thêm segment → preview cập nhật
2. Screen reader có thông báo không?</t>
        </is>
      </c>
      <c r="K224" s="44" t="inlineStr">
        <is>
          <t>user.admin</t>
        </is>
      </c>
      <c r="L224" s="44" t="inlineStr">
        <is>
          <t>user.admin</t>
        </is>
      </c>
      <c r="M224" s="44" t="inlineStr">
        <is>
          <t>Preview bar có aria-live='polite'. Khi preview cập nhật, screen reader thông báo số mới mà không interrupt user</t>
        </is>
      </c>
      <c r="N224" s="44" t="inlineStr"/>
      <c r="O224" s="44" t="inlineStr"/>
      <c r="P224" s="41" t="inlineStr">
        <is>
          <t>Medium</t>
        </is>
      </c>
      <c r="Q224" s="44" t="inlineStr"/>
      <c r="R224" s="41" t="inlineStr"/>
      <c r="S224" s="41" t="inlineStr"/>
      <c r="T224" s="41" t="inlineStr"/>
      <c r="U224" s="41" t="inlineStr"/>
      <c r="V224" s="44" t="inlineStr"/>
      <c r="W224" s="41" t="inlineStr"/>
      <c r="X224" s="44" t="inlineStr"/>
    </row>
    <row r="225" ht="80" customHeight="1">
      <c r="A225" s="41" t="inlineStr">
        <is>
          <t>TC-227</t>
        </is>
      </c>
      <c r="B225" s="57" t="inlineStr">
        <is>
          <t>COMPAT</t>
        </is>
      </c>
      <c r="C225" s="48" t="inlineStr">
        <is>
          <t>P2</t>
        </is>
      </c>
      <c r="D225" s="44" t="inlineStr">
        <is>
          <t>COMPAT — Drag Drop Chrome</t>
        </is>
      </c>
      <c r="E225" s="44" t="inlineStr">
        <is>
          <t>COMPAT: Chrome 120+ — SegmentBuilder drag-drop hoạt động</t>
        </is>
      </c>
      <c r="F225" s="41" t="inlineStr">
        <is>
          <t>REQ-COMPAT-227</t>
        </is>
      </c>
      <c r="G225" s="41" t="inlineStr">
        <is>
          <t>Browser / Device</t>
        </is>
      </c>
      <c r="H225" s="41" t="inlineStr">
        <is>
          <t>TB</t>
        </is>
      </c>
      <c r="I225" s="44" t="inlineStr">
        <is>
          <t>Chrome 120+, admin, modal tạo template</t>
        </is>
      </c>
      <c r="J225" s="44" t="inlineStr">
        <is>
          <t>1. Thêm 3 segments
2. Drag segment để reorder</t>
        </is>
      </c>
      <c r="K225" s="44" t="inlineStr">
        <is>
          <t>user.admin</t>
        </is>
      </c>
      <c r="L225" s="44" t="inlineStr">
        <is>
          <t>user.admin</t>
        </is>
      </c>
      <c r="M225" s="44" t="inlineStr">
        <is>
          <t>Drag-drop hoạt động smooth trên Chrome 120+. Preview cập nhật sau reorder</t>
        </is>
      </c>
      <c r="N225" s="44" t="inlineStr"/>
      <c r="O225" s="44" t="inlineStr"/>
      <c r="P225" s="41" t="inlineStr">
        <is>
          <t>Medium</t>
        </is>
      </c>
      <c r="Q225" s="44" t="inlineStr"/>
      <c r="R225" s="41" t="inlineStr"/>
      <c r="S225" s="41" t="inlineStr"/>
      <c r="T225" s="41" t="inlineStr"/>
      <c r="U225" s="41" t="inlineStr"/>
      <c r="V225" s="44" t="inlineStr"/>
      <c r="W225" s="41" t="inlineStr"/>
      <c r="X225" s="44" t="inlineStr"/>
    </row>
    <row r="226" ht="80" customHeight="1">
      <c r="A226" s="41" t="inlineStr">
        <is>
          <t>TC-228</t>
        </is>
      </c>
      <c r="B226" s="57" t="inlineStr">
        <is>
          <t>COMPAT</t>
        </is>
      </c>
      <c r="C226" s="48" t="inlineStr">
        <is>
          <t>P2</t>
        </is>
      </c>
      <c r="D226" s="44" t="inlineStr">
        <is>
          <t>COMPAT — Firefox</t>
        </is>
      </c>
      <c r="E226" s="44" t="inlineStr">
        <is>
          <t>COMPAT: Firefox 120+ — SegmentBuilder và form validation hoạt động</t>
        </is>
      </c>
      <c r="F226" s="41" t="inlineStr">
        <is>
          <t>REQ-COMPAT-228</t>
        </is>
      </c>
      <c r="G226" s="41" t="inlineStr">
        <is>
          <t>Browser / Device</t>
        </is>
      </c>
      <c r="H226" s="41" t="inlineStr">
        <is>
          <t>TB</t>
        </is>
      </c>
      <c r="I226" s="44" t="inlineStr">
        <is>
          <t>Firefox 120+, admin</t>
        </is>
      </c>
      <c r="J226" s="44" t="inlineStr">
        <is>
          <t>1. Mở modal, điền form invalid
2. Submit</t>
        </is>
      </c>
      <c r="K226" s="44" t="inlineStr">
        <is>
          <t>user.admin</t>
        </is>
      </c>
      <c r="L226" s="44" t="inlineStr">
        <is>
          <t>user.admin</t>
        </is>
      </c>
      <c r="M226" s="44" t="inlineStr">
        <is>
          <t>HTML5 validation và custom error messages hiển thị đúng trên Firefox. Không có Firefox-specific CSS bug</t>
        </is>
      </c>
      <c r="N226" s="44" t="inlineStr"/>
      <c r="O226" s="44" t="inlineStr"/>
      <c r="P226" s="41" t="inlineStr">
        <is>
          <t>Medium</t>
        </is>
      </c>
      <c r="Q226" s="44" t="inlineStr"/>
      <c r="R226" s="41" t="inlineStr"/>
      <c r="S226" s="41" t="inlineStr"/>
      <c r="T226" s="41" t="inlineStr"/>
      <c r="U226" s="41" t="inlineStr"/>
      <c r="V226" s="44" t="inlineStr"/>
      <c r="W226" s="41" t="inlineStr"/>
      <c r="X226" s="44" t="inlineStr"/>
    </row>
    <row r="227" ht="80" customHeight="1">
      <c r="A227" s="41" t="inlineStr">
        <is>
          <t>TC-229</t>
        </is>
      </c>
      <c r="B227" s="57" t="inlineStr">
        <is>
          <t>COMPAT</t>
        </is>
      </c>
      <c r="C227" s="48" t="inlineStr">
        <is>
          <t>P2</t>
        </is>
      </c>
      <c r="D227" s="44" t="inlineStr">
        <is>
          <t>COMPAT — Safari</t>
        </is>
      </c>
      <c r="E227" s="44" t="inlineStr">
        <is>
          <t>COMPAT: Safari 17+ (macOS) — DocNumberPreviewField readonly input không có native styling</t>
        </is>
      </c>
      <c r="F227" s="41" t="inlineStr">
        <is>
          <t>REQ-COMPAT-229</t>
        </is>
      </c>
      <c r="G227" s="41" t="inlineStr">
        <is>
          <t>Browser / Device</t>
        </is>
      </c>
      <c r="H227" s="41" t="inlineStr">
        <is>
          <t>TB</t>
        </is>
      </c>
      <c r="I227" s="44" t="inlineStr">
        <is>
          <t>Safari 17+, form tạo vụ việc</t>
        </is>
      </c>
      <c r="J227" s="44" t="inlineStr">
        <is>
          <t>1. Quan sát field preview trên Safari</t>
        </is>
      </c>
      <c r="K227" s="44" t="inlineStr">
        <is>
          <t>template.incident.active, user.officer</t>
        </is>
      </c>
      <c r="L227" s="44" t="inlineStr">
        <is>
          <t>template.incident.active, user.officer</t>
        </is>
      </c>
      <c r="M227" s="44" t="inlineStr">
        <is>
          <t>Field không có Safari native styling (blue border, gradient). CSS custom styles áp dụng đúng. -webkit-appearance reset nếu cần</t>
        </is>
      </c>
      <c r="N227" s="44" t="inlineStr"/>
      <c r="O227" s="44" t="inlineStr"/>
      <c r="P227" s="41" t="inlineStr">
        <is>
          <t>Medium</t>
        </is>
      </c>
      <c r="Q227" s="44" t="inlineStr"/>
      <c r="R227" s="41" t="inlineStr"/>
      <c r="S227" s="41" t="inlineStr"/>
      <c r="T227" s="41" t="inlineStr"/>
      <c r="U227" s="41" t="inlineStr"/>
      <c r="V227" s="44" t="inlineStr"/>
      <c r="W227" s="41" t="inlineStr"/>
      <c r="X227" s="44" t="inlineStr"/>
    </row>
    <row r="228" ht="80" customHeight="1">
      <c r="A228" s="41" t="inlineStr">
        <is>
          <t>TC-230</t>
        </is>
      </c>
      <c r="B228" s="57" t="inlineStr">
        <is>
          <t>COMPAT</t>
        </is>
      </c>
      <c r="C228" s="48" t="inlineStr">
        <is>
          <t>P2</t>
        </is>
      </c>
      <c r="D228" s="44" t="inlineStr">
        <is>
          <t>COMPAT — Android</t>
        </is>
      </c>
      <c r="E228" s="44" t="inlineStr">
        <is>
          <t>COMPAT: Chrome trên Android (Pixel 7) — settings page render đúng</t>
        </is>
      </c>
      <c r="F228" s="41" t="inlineStr">
        <is>
          <t>REQ-COMPAT-230</t>
        </is>
      </c>
      <c r="G228" s="41" t="inlineStr">
        <is>
          <t>Browser / Device</t>
        </is>
      </c>
      <c r="H228" s="41" t="inlineStr">
        <is>
          <t>TB</t>
        </is>
      </c>
      <c r="I228" s="44" t="inlineStr">
        <is>
          <t>Chrome on Android, admin</t>
        </is>
      </c>
      <c r="J228" s="44" t="inlineStr">
        <is>
          <t>1. Vào /settings/document-numbers trên điện thoại Android
2. Scroll, kiểm tra layout</t>
        </is>
      </c>
      <c r="K228" s="44" t="inlineStr">
        <is>
          <t>user.admin, templates.all_seeded</t>
        </is>
      </c>
      <c r="L228" s="44" t="inlineStr">
        <is>
          <t>user.admin, templates.all_seeded</t>
        </is>
      </c>
      <c r="M228" s="44" t="inlineStr">
        <is>
          <t>Table có horizontal scroll. Text không bị cut. Buttons tappable (min 44px touch target). Modal usable trên mobile</t>
        </is>
      </c>
      <c r="N228" s="44" t="inlineStr"/>
      <c r="O228" s="44" t="inlineStr"/>
      <c r="P228" s="41" t="inlineStr">
        <is>
          <t>Medium</t>
        </is>
      </c>
      <c r="Q228" s="44" t="inlineStr"/>
      <c r="R228" s="41" t="inlineStr"/>
      <c r="S228" s="41" t="inlineStr"/>
      <c r="T228" s="41" t="inlineStr"/>
      <c r="U228" s="41" t="inlineStr"/>
      <c r="V228" s="44" t="inlineStr"/>
      <c r="W228" s="41" t="inlineStr"/>
      <c r="X228" s="44" t="inlineStr"/>
    </row>
    <row r="229" ht="80" customHeight="1">
      <c r="A229" s="41" t="inlineStr">
        <is>
          <t>TC-231</t>
        </is>
      </c>
      <c r="B229" s="57" t="inlineStr">
        <is>
          <t>COMPAT</t>
        </is>
      </c>
      <c r="C229" s="48" t="inlineStr">
        <is>
          <t>P2</t>
        </is>
      </c>
      <c r="D229" s="44" t="inlineStr">
        <is>
          <t>COMPAT — iOS</t>
        </is>
      </c>
      <c r="E229" s="44" t="inlineStr">
        <is>
          <t>COMPAT: Safari trên iOS 17 (iPhone 15) — form inputs không bị zoom khi focus</t>
        </is>
      </c>
      <c r="F229" s="41" t="inlineStr">
        <is>
          <t>REQ-COMPAT-231</t>
        </is>
      </c>
      <c r="G229" s="41" t="inlineStr">
        <is>
          <t>Browser / Device</t>
        </is>
      </c>
      <c r="H229" s="41" t="inlineStr">
        <is>
          <t>TB</t>
        </is>
      </c>
      <c r="I229" s="44" t="inlineStr">
        <is>
          <t>Safari iOS 17</t>
        </is>
      </c>
      <c r="J229" s="44" t="inlineStr">
        <is>
          <t>1. Tap vào input field trong modal trên iPhone
2. Quan sát zoom behavior</t>
        </is>
      </c>
      <c r="K229" s="44" t="inlineStr">
        <is>
          <t>user.admin</t>
        </is>
      </c>
      <c r="L229" s="44" t="inlineStr">
        <is>
          <t>user.admin</t>
        </is>
      </c>
      <c r="M229" s="44" t="inlineStr">
        <is>
          <t>Font-size &gt;= 16px trên inputs để tránh auto-zoom iOS. Trang không tự zoom khi focus input</t>
        </is>
      </c>
      <c r="N229" s="44" t="inlineStr"/>
      <c r="O229" s="44" t="inlineStr"/>
      <c r="P229" s="41" t="inlineStr">
        <is>
          <t>Medium</t>
        </is>
      </c>
      <c r="Q229" s="44" t="inlineStr"/>
      <c r="R229" s="41" t="inlineStr"/>
      <c r="S229" s="41" t="inlineStr"/>
      <c r="T229" s="41" t="inlineStr"/>
      <c r="U229" s="41" t="inlineStr"/>
      <c r="V229" s="44" t="inlineStr"/>
      <c r="W229" s="41" t="inlineStr"/>
      <c r="X229" s="44" t="inlineStr"/>
    </row>
    <row r="230" ht="80" customHeight="1">
      <c r="A230" s="41" t="inlineStr">
        <is>
          <t>TC-232</t>
        </is>
      </c>
      <c r="B230" s="57" t="inlineStr">
        <is>
          <t>COMPAT</t>
        </is>
      </c>
      <c r="C230" s="48" t="inlineStr">
        <is>
          <t>P2</t>
        </is>
      </c>
      <c r="D230" s="44" t="inlineStr">
        <is>
          <t>COMPAT — High Contrast</t>
        </is>
      </c>
      <c r="E230" s="44" t="inlineStr">
        <is>
          <t>COMPAT: Windows 11 High Contrast mode — badge và icons vẫn visible</t>
        </is>
      </c>
      <c r="F230" s="41" t="inlineStr">
        <is>
          <t>REQ-COMPAT-232</t>
        </is>
      </c>
      <c r="G230" s="41" t="inlineStr">
        <is>
          <t>Browser / Device</t>
        </is>
      </c>
      <c r="H230" s="41" t="inlineStr">
        <is>
          <t>TB</t>
        </is>
      </c>
      <c r="I230" s="44" t="inlineStr">
        <is>
          <t>Windows 11 High Contrast mode (Forced Colors), browser</t>
        </is>
      </c>
      <c r="J230" s="44" t="inlineStr">
        <is>
          <t>1. Enable High Contrast mode
2. Vào /settings/document-numbers</t>
        </is>
      </c>
      <c r="K230" s="44" t="inlineStr">
        <is>
          <t>user.admin, templates.all_seeded</t>
        </is>
      </c>
      <c r="L230" s="44" t="inlineStr">
        <is>
          <t>user.admin, templates.all_seeded</t>
        </is>
      </c>
      <c r="M230" s="44" t="inlineStr">
        <is>
          <t>Badge text vẫn visible (forced-colors aware). Icons có alt/aria. Không mất information khi màu bị override</t>
        </is>
      </c>
      <c r="N230" s="44" t="inlineStr"/>
      <c r="O230" s="44" t="inlineStr"/>
      <c r="P230" s="41" t="inlineStr">
        <is>
          <t>Medium</t>
        </is>
      </c>
      <c r="Q230" s="44" t="inlineStr"/>
      <c r="R230" s="41" t="inlineStr"/>
      <c r="S230" s="41" t="inlineStr"/>
      <c r="T230" s="41" t="inlineStr"/>
      <c r="U230" s="41" t="inlineStr"/>
      <c r="V230" s="44" t="inlineStr"/>
      <c r="W230" s="41" t="inlineStr"/>
      <c r="X230" s="44" t="inlineStr"/>
    </row>
    <row r="231" ht="80" customHeight="1">
      <c r="A231" s="41" t="inlineStr">
        <is>
          <t>TC-233</t>
        </is>
      </c>
      <c r="B231" s="57" t="inlineStr">
        <is>
          <t>COMPAT</t>
        </is>
      </c>
      <c r="C231" s="48" t="inlineStr">
        <is>
          <t>P2</t>
        </is>
      </c>
      <c r="D231" s="44" t="inlineStr">
        <is>
          <t>COMPAT — Text Zoom</t>
        </is>
      </c>
      <c r="E231" s="44" t="inlineStr">
        <is>
          <t>COMPAT: Zoom 200% (browser text zoom) — layout không break</t>
        </is>
      </c>
      <c r="F231" s="41" t="inlineStr">
        <is>
          <t>REQ-COMPAT-233</t>
        </is>
      </c>
      <c r="G231" s="41" t="inlineStr">
        <is>
          <t>Browser / Device</t>
        </is>
      </c>
      <c r="H231" s="41" t="inlineStr">
        <is>
          <t>TB</t>
        </is>
      </c>
      <c r="I231" s="44" t="inlineStr">
        <is>
          <t>Chrome, browser text zoom 200%</t>
        </is>
      </c>
      <c r="J231" s="44" t="inlineStr">
        <is>
          <t>1. Ctrl+= zoom đến 200%
2. Vào trang settings và form</t>
        </is>
      </c>
      <c r="K231" s="44" t="inlineStr">
        <is>
          <t>user.admin, templates.all_seeded</t>
        </is>
      </c>
      <c r="L231" s="44" t="inlineStr">
        <is>
          <t>user.admin, templates.all_seeded</t>
        </is>
      </c>
      <c r="M231" s="44" t="inlineStr">
        <is>
          <t>Không có horizontal overflow. Text wrap đúng. Buttons vẫn usable. Modal còn scroll được</t>
        </is>
      </c>
      <c r="N231" s="44" t="inlineStr"/>
      <c r="O231" s="44" t="inlineStr"/>
      <c r="P231" s="41" t="inlineStr">
        <is>
          <t>Medium</t>
        </is>
      </c>
      <c r="Q231" s="44" t="inlineStr"/>
      <c r="R231" s="41" t="inlineStr"/>
      <c r="S231" s="41" t="inlineStr"/>
      <c r="T231" s="41" t="inlineStr"/>
      <c r="U231" s="41" t="inlineStr"/>
      <c r="V231" s="44" t="inlineStr"/>
      <c r="W231" s="41" t="inlineStr"/>
      <c r="X231" s="44" t="inlineStr"/>
    </row>
    <row r="232" ht="80" customHeight="1">
      <c r="A232" s="41" t="inlineStr">
        <is>
          <t>TC-234</t>
        </is>
      </c>
      <c r="B232" s="46" t="inlineStr">
        <is>
          <t>RED</t>
        </is>
      </c>
      <c r="C232" s="45" t="inlineStr">
        <is>
          <t>P1</t>
        </is>
      </c>
      <c r="D232" s="44" t="inlineStr">
        <is>
          <t>Template CRUD — RED</t>
        </is>
      </c>
      <c r="E232" s="44" t="inlineStr">
        <is>
          <t>RED: DELETE /templates không phải UUID format → 400</t>
        </is>
      </c>
      <c r="F232" s="41" t="inlineStr">
        <is>
          <t>REQ-FUNC-234</t>
        </is>
      </c>
      <c r="G232" s="41" t="inlineStr">
        <is>
          <t>EP / BVA</t>
        </is>
      </c>
      <c r="H232" s="41" t="inlineStr">
        <is>
          <t>Cao</t>
        </is>
      </c>
      <c r="I232" s="44" t="inlineStr">
        <is>
          <t>Admin</t>
        </is>
      </c>
      <c r="J232" s="44" t="inlineStr">
        <is>
          <t>1. DELETE /templates/not-uuid-format</t>
        </is>
      </c>
      <c r="K232" s="44" t="inlineStr">
        <is>
          <t>user.admin</t>
        </is>
      </c>
      <c r="L232" s="44" t="inlineStr">
        <is>
          <t>user.admin</t>
        </is>
      </c>
      <c r="M232" s="44" t="inlineStr">
        <is>
          <t>400. Validation error: id phải là UUID hợp lệ</t>
        </is>
      </c>
      <c r="N232" s="44" t="inlineStr"/>
      <c r="O232" s="44" t="inlineStr"/>
      <c r="P232" s="41" t="inlineStr">
        <is>
          <t>[API] Không đạt - xem HTML report</t>
        </is>
      </c>
      <c r="Q232" s="44" t="inlineStr">
        <is>
          <t>Không đạt</t>
        </is>
      </c>
      <c r="R232" s="41" t="inlineStr"/>
      <c r="S232" s="41" t="inlineStr">
        <is>
          <t>BUG-060</t>
        </is>
      </c>
      <c r="T232" s="41" t="inlineStr">
        <is>
          <t>26/05/2026 02:10</t>
        </is>
      </c>
      <c r="U232" s="41" t="inlineStr"/>
      <c r="V232" s="44" t="inlineStr"/>
      <c r="W232" s="41" t="inlineStr"/>
      <c r="X232" s="44" t="inlineStr"/>
    </row>
    <row r="233" ht="80" customHeight="1">
      <c r="A233" s="41" t="inlineStr">
        <is>
          <t>TC-235</t>
        </is>
      </c>
      <c r="B233" s="46" t="inlineStr">
        <is>
          <t>RED</t>
        </is>
      </c>
      <c r="C233" s="45" t="inlineStr">
        <is>
          <t>P1</t>
        </is>
      </c>
      <c r="D233" s="44" t="inlineStr">
        <is>
          <t>Template CRUD — RED</t>
        </is>
      </c>
      <c r="E233" s="44" t="inlineStr">
        <is>
          <t>RED: PUT /templates không phải UUID format → 400</t>
        </is>
      </c>
      <c r="F233" s="41" t="inlineStr">
        <is>
          <t>REQ-FUNC-235</t>
        </is>
      </c>
      <c r="G233" s="41" t="inlineStr">
        <is>
          <t>EP / BVA</t>
        </is>
      </c>
      <c r="H233" s="41" t="inlineStr">
        <is>
          <t>Cao</t>
        </is>
      </c>
      <c r="I233" s="44" t="inlineStr">
        <is>
          <t>Admin</t>
        </is>
      </c>
      <c r="J233" s="44" t="inlineStr">
        <is>
          <t>1. PUT /templates/abc123 {name:'X'}</t>
        </is>
      </c>
      <c r="K233" s="44" t="inlineStr">
        <is>
          <t>user.admin</t>
        </is>
      </c>
      <c r="L233" s="44" t="inlineStr">
        <is>
          <t>user.admin</t>
        </is>
      </c>
      <c r="M233" s="44" t="inlineStr">
        <is>
          <t>400. Validation error</t>
        </is>
      </c>
      <c r="N233" s="44" t="inlineStr"/>
      <c r="O233" s="44" t="inlineStr"/>
      <c r="P233" s="41" t="inlineStr">
        <is>
          <t>[API] Không đạt - xem HTML report</t>
        </is>
      </c>
      <c r="Q233" s="44" t="inlineStr">
        <is>
          <t>Không đạt</t>
        </is>
      </c>
      <c r="R233" s="41" t="inlineStr"/>
      <c r="S233" s="41" t="inlineStr">
        <is>
          <t>BUG-061</t>
        </is>
      </c>
      <c r="T233" s="41" t="inlineStr">
        <is>
          <t>26/05/2026 02:10</t>
        </is>
      </c>
      <c r="U233" s="41" t="inlineStr"/>
      <c r="V233" s="44" t="inlineStr"/>
      <c r="W233" s="41" t="inlineStr"/>
      <c r="X233" s="44" t="inlineStr"/>
    </row>
    <row r="234" ht="80" customHeight="1">
      <c r="A234" s="41" t="inlineStr">
        <is>
          <t>TC-236</t>
        </is>
      </c>
      <c r="B234" s="46" t="inlineStr">
        <is>
          <t>RED</t>
        </is>
      </c>
      <c r="C234" s="48" t="inlineStr">
        <is>
          <t>P2</t>
        </is>
      </c>
      <c r="D234" s="44" t="inlineStr">
        <is>
          <t>Filter — RED</t>
        </is>
      </c>
      <c r="E234" s="44" t="inlineStr">
        <is>
          <t>RED: GET /logs với from &gt; to date range → 400</t>
        </is>
      </c>
      <c r="F234" s="41" t="inlineStr">
        <is>
          <t>REQ-FUNC-236</t>
        </is>
      </c>
      <c r="G234" s="41" t="inlineStr">
        <is>
          <t>EP / BVA</t>
        </is>
      </c>
      <c r="H234" s="41" t="inlineStr">
        <is>
          <t>TB</t>
        </is>
      </c>
      <c r="I234" s="44" t="inlineStr">
        <is>
          <t>Admin</t>
        </is>
      </c>
      <c r="J234" s="44" t="inlineStr">
        <is>
          <t>1. GET /logs?from=2026-12-31&amp;to=2026-01-01</t>
        </is>
      </c>
      <c r="K234" s="44" t="inlineStr">
        <is>
          <t>user.admin</t>
        </is>
      </c>
      <c r="L234" s="44" t="inlineStr">
        <is>
          <t>user.admin</t>
        </is>
      </c>
      <c r="M234" s="44" t="inlineStr">
        <is>
          <t>400. Validation error: 'from' phải &lt;= 'to'</t>
        </is>
      </c>
      <c r="N234" s="44" t="inlineStr"/>
      <c r="O234" s="44" t="inlineStr"/>
      <c r="P234" s="41" t="inlineStr">
        <is>
          <t>[API] Không đạt - xem HTML report</t>
        </is>
      </c>
      <c r="Q234" s="44" t="inlineStr">
        <is>
          <t>Không đạt</t>
        </is>
      </c>
      <c r="R234" s="41" t="inlineStr"/>
      <c r="S234" s="41" t="inlineStr">
        <is>
          <t>BUG-062</t>
        </is>
      </c>
      <c r="T234" s="41" t="inlineStr">
        <is>
          <t>26/05/2026 02:10</t>
        </is>
      </c>
      <c r="U234" s="41" t="inlineStr"/>
      <c r="V234" s="44" t="inlineStr"/>
      <c r="W234" s="41" t="inlineStr"/>
      <c r="X234" s="44" t="inlineStr"/>
    </row>
    <row r="235" ht="80" customHeight="1">
      <c r="A235" s="41" t="inlineStr">
        <is>
          <t>TC-237</t>
        </is>
      </c>
      <c r="B235" s="46" t="inlineStr">
        <is>
          <t>RED</t>
        </is>
      </c>
      <c r="C235" s="43" t="inlineStr">
        <is>
          <t>P0</t>
        </is>
      </c>
      <c r="D235" s="44" t="inlineStr">
        <is>
          <t>Commit Number — RED</t>
        </is>
      </c>
      <c r="E235" s="44" t="inlineStr">
        <is>
          <t>RED: POST /commit documentType=INCIDENT nhưng không có template active và không có counter → 404</t>
        </is>
      </c>
      <c r="F235" s="41" t="inlineStr">
        <is>
          <t>REQ-FUNC-237</t>
        </is>
      </c>
      <c r="G235" s="41" t="inlineStr">
        <is>
          <t>EP / BVA</t>
        </is>
      </c>
      <c r="H235" s="41" t="inlineStr">
        <is>
          <t>Cao</t>
        </is>
      </c>
      <c r="I235" s="44" t="inlineStr">
        <is>
          <t>Xóa hoặc deactivate tất cả template INCIDENT</t>
        </is>
      </c>
      <c r="J235" s="44" t="inlineStr">
        <is>
          <t>1. DELETE hoặc deactivate template INCIDENT
2. POST /commit {documentType:'INCIDENT'}</t>
        </is>
      </c>
      <c r="K235" s="44" t="inlineStr">
        <is>
          <t>user.officer</t>
        </is>
      </c>
      <c r="L235" s="44" t="inlineStr">
        <is>
          <t>user.officer</t>
        </is>
      </c>
      <c r="M235" s="44" t="inlineStr">
        <is>
          <t>404. message: 'No active template for documentType: INCIDENT'</t>
        </is>
      </c>
      <c r="N235" s="44" t="inlineStr"/>
      <c r="O235" s="44" t="inlineStr"/>
      <c r="P235" s="41" t="inlineStr">
        <is>
          <t>[API] Không đạt - xem HTML report</t>
        </is>
      </c>
      <c r="Q235" s="44" t="inlineStr">
        <is>
          <t>Không đạt</t>
        </is>
      </c>
      <c r="R235" s="41" t="inlineStr"/>
      <c r="S235" s="41" t="inlineStr">
        <is>
          <t>BUG-063</t>
        </is>
      </c>
      <c r="T235" s="41" t="inlineStr">
        <is>
          <t>26/05/2026 02:10</t>
        </is>
      </c>
      <c r="U235" s="41" t="inlineStr"/>
      <c r="V235" s="44" t="inlineStr"/>
      <c r="W235" s="41" t="inlineStr"/>
      <c r="X235" s="44" t="inlineStr"/>
    </row>
    <row r="236" ht="80" customHeight="1">
      <c r="A236" s="41" t="inlineStr">
        <is>
          <t>TC-238</t>
        </is>
      </c>
      <c r="B236" s="46" t="inlineStr">
        <is>
          <t>RED</t>
        </is>
      </c>
      <c r="C236" s="48" t="inlineStr">
        <is>
          <t>P2</t>
        </is>
      </c>
      <c r="D236" s="44" t="inlineStr">
        <is>
          <t>Template Validation — RED</t>
        </is>
      </c>
      <c r="E236" s="44" t="inlineStr">
        <is>
          <t>RED: POST /templates isActive=null → 400 hoặc default false</t>
        </is>
      </c>
      <c r="F236" s="41" t="inlineStr">
        <is>
          <t>REQ-FUNC-238</t>
        </is>
      </c>
      <c r="G236" s="41" t="inlineStr">
        <is>
          <t>EP / BVA</t>
        </is>
      </c>
      <c r="H236" s="41" t="inlineStr">
        <is>
          <t>TB</t>
        </is>
      </c>
      <c r="I236" s="44" t="inlineStr">
        <is>
          <t>Admin</t>
        </is>
      </c>
      <c r="J236" s="44" t="inlineStr">
        <is>
          <t>1. POST /templates {isActive:null, ...rest valid}</t>
        </is>
      </c>
      <c r="K236" s="44" t="inlineStr">
        <is>
          <t>user.admin</t>
        </is>
      </c>
      <c r="L236" s="44" t="inlineStr">
        <is>
          <t>user.admin</t>
        </is>
      </c>
      <c r="M236" s="44" t="inlineStr">
        <is>
          <t>400 validation error hoặc default false (nếu isActive nullable). Không crash</t>
        </is>
      </c>
      <c r="N236" s="44" t="inlineStr"/>
      <c r="O236" s="44" t="inlineStr"/>
      <c r="P236" s="41" t="inlineStr">
        <is>
          <t>[API] Không đạt - xem HTML report</t>
        </is>
      </c>
      <c r="Q236" s="44" t="inlineStr">
        <is>
          <t>Không đạt</t>
        </is>
      </c>
      <c r="R236" s="41" t="inlineStr"/>
      <c r="S236" s="41" t="inlineStr">
        <is>
          <t>BUG-064</t>
        </is>
      </c>
      <c r="T236" s="41" t="inlineStr">
        <is>
          <t>26/05/2026 02:10</t>
        </is>
      </c>
      <c r="U236" s="41" t="inlineStr"/>
      <c r="V236" s="44" t="inlineStr"/>
      <c r="W236" s="41" t="inlineStr"/>
      <c r="X236" s="44" t="inlineStr"/>
    </row>
    <row r="237" ht="80" customHeight="1">
      <c r="A237" s="41" t="inlineStr">
        <is>
          <t>TC-239</t>
        </is>
      </c>
      <c r="B237" s="46" t="inlineStr">
        <is>
          <t>RED</t>
        </is>
      </c>
      <c r="C237" s="45" t="inlineStr">
        <is>
          <t>P1</t>
        </is>
      </c>
      <c r="D237" s="44" t="inlineStr">
        <is>
          <t>Template Constraint — RED</t>
        </is>
      </c>
      <c r="E237" s="44" t="inlineStr">
        <is>
          <t>RED: POST /templates với trùng documentType active → logic error hoặc reject</t>
        </is>
      </c>
      <c r="F237" s="41" t="inlineStr">
        <is>
          <t>REQ-FUNC-239</t>
        </is>
      </c>
      <c r="G237" s="41" t="inlineStr">
        <is>
          <t>EP / BVA</t>
        </is>
      </c>
      <c r="H237" s="41" t="inlineStr">
        <is>
          <t>Cao</t>
        </is>
      </c>
      <c r="I237" s="44" t="inlineStr">
        <is>
          <t>Template INCIDENT đã active</t>
        </is>
      </c>
      <c r="J237" s="44" t="inlineStr">
        <is>
          <t>1. POST /templates {documentType:'INCIDENT', isActive:true, ...rest valid}</t>
        </is>
      </c>
      <c r="K237" s="44" t="inlineStr">
        <is>
          <t>user.admin, template.incident.active</t>
        </is>
      </c>
      <c r="L237" s="44" t="inlineStr">
        <is>
          <t>user.admin, template.incident.active</t>
        </is>
      </c>
      <c r="M237" s="44" t="inlineStr">
        <is>
          <t>Hoặc 400 (enforce 1-active per type), hoặc 201 và server tự deactivate template cũ. Không có 2 active template cùng type</t>
        </is>
      </c>
      <c r="N237" s="44" t="inlineStr"/>
      <c r="O237" s="44" t="inlineStr"/>
      <c r="P237" s="41" t="inlineStr">
        <is>
          <t>[API] Không đạt - xem HTML report</t>
        </is>
      </c>
      <c r="Q237" s="44" t="inlineStr">
        <is>
          <t>Không đạt</t>
        </is>
      </c>
      <c r="R237" s="41" t="inlineStr"/>
      <c r="S237" s="41" t="inlineStr">
        <is>
          <t>BUG-065</t>
        </is>
      </c>
      <c r="T237" s="41" t="inlineStr">
        <is>
          <t>26/05/2026 02:10</t>
        </is>
      </c>
      <c r="U237" s="41" t="inlineStr"/>
      <c r="V237" s="44" t="inlineStr"/>
      <c r="W237" s="41" t="inlineStr"/>
      <c r="X237" s="44" t="inlineStr"/>
    </row>
    <row r="238" ht="80" customHeight="1">
      <c r="A238" s="41" t="inlineStr">
        <is>
          <t>TC-240</t>
        </is>
      </c>
      <c r="B238" s="46" t="inlineStr">
        <is>
          <t>RED</t>
        </is>
      </c>
      <c r="C238" s="48" t="inlineStr">
        <is>
          <t>P2</t>
        </is>
      </c>
      <c r="D238" s="44" t="inlineStr">
        <is>
          <t>Log Update — RED</t>
        </is>
      </c>
      <c r="E238" s="44" t="inlineStr">
        <is>
          <t>RED: PATCH /logs/:logId body rỗng {} → 400</t>
        </is>
      </c>
      <c r="F238" s="41" t="inlineStr">
        <is>
          <t>REQ-FUNC-240</t>
        </is>
      </c>
      <c r="G238" s="41" t="inlineStr">
        <is>
          <t>EP / BVA</t>
        </is>
      </c>
      <c r="H238" s="41" t="inlineStr">
        <is>
          <t>TB</t>
        </is>
      </c>
      <c r="I238" s="44" t="inlineStr">
        <is>
          <t>Đăng nhập officer, log tồn tại</t>
        </is>
      </c>
      <c r="J238" s="44" t="inlineStr">
        <is>
          <t>1. PATCH /logs/{logId} với body {} (không có documentId)</t>
        </is>
      </c>
      <c r="K238" s="44" t="inlineStr">
        <is>
          <t>user.officer, log.officer1.no_doc_id</t>
        </is>
      </c>
      <c r="L238" s="44" t="inlineStr">
        <is>
          <t>user.officer, log.officer1.no_doc_id</t>
        </is>
      </c>
      <c r="M238" s="44" t="inlineStr">
        <is>
          <t>400. Validation error: documentId is required</t>
        </is>
      </c>
      <c r="N238" s="44" t="inlineStr"/>
      <c r="O238" s="44" t="inlineStr"/>
      <c r="P238" s="41" t="inlineStr">
        <is>
          <t>[API] Không đạt - xem HTML report</t>
        </is>
      </c>
      <c r="Q238" s="44" t="inlineStr">
        <is>
          <t>Không đạt</t>
        </is>
      </c>
      <c r="R238" s="41" t="inlineStr"/>
      <c r="S238" s="41" t="inlineStr">
        <is>
          <t>BUG-066</t>
        </is>
      </c>
      <c r="T238" s="41" t="inlineStr">
        <is>
          <t>26/05/2026 02:10</t>
        </is>
      </c>
      <c r="U238" s="41" t="inlineStr"/>
      <c r="V238" s="44" t="inlineStr"/>
      <c r="W238" s="41" t="inlineStr"/>
      <c r="X238" s="44" t="inlineStr"/>
    </row>
    <row r="239" ht="80" customHeight="1">
      <c r="A239" s="41" t="inlineStr">
        <is>
          <t>TC-241</t>
        </is>
      </c>
      <c r="B239" s="46" t="inlineStr">
        <is>
          <t>RED</t>
        </is>
      </c>
      <c r="C239" s="45" t="inlineStr">
        <is>
          <t>P1</t>
        </is>
      </c>
      <c r="D239" s="44" t="inlineStr">
        <is>
          <t>Draft Number — RED</t>
        </is>
      </c>
      <c r="E239" s="44" t="inlineStr">
        <is>
          <t>RED: POST /draft documentType=empty string → 400</t>
        </is>
      </c>
      <c r="F239" s="41" t="inlineStr">
        <is>
          <t>REQ-FUNC-241</t>
        </is>
      </c>
      <c r="G239" s="41" t="inlineStr">
        <is>
          <t>EP / BVA</t>
        </is>
      </c>
      <c r="H239" s="41" t="inlineStr">
        <is>
          <t>Cao</t>
        </is>
      </c>
      <c r="I239" s="44" t="inlineStr">
        <is>
          <t>Đăng nhập officer</t>
        </is>
      </c>
      <c r="J239" s="44" t="inlineStr">
        <is>
          <t>1. POST /draft {documentType:''}</t>
        </is>
      </c>
      <c r="K239" s="44" t="inlineStr">
        <is>
          <t>user.officer</t>
        </is>
      </c>
      <c r="L239" s="44" t="inlineStr">
        <is>
          <t>user.officer</t>
        </is>
      </c>
      <c r="M239" s="44" t="inlineStr">
        <is>
          <t>400. Validation error: documentType không được rỗng</t>
        </is>
      </c>
      <c r="N239" s="44" t="inlineStr"/>
      <c r="O239" s="44" t="inlineStr"/>
      <c r="P239" s="41" t="inlineStr">
        <is>
          <t>[API] Đạt như expected. Thời gian: 0ms</t>
        </is>
      </c>
      <c r="Q239" s="44" t="inlineStr">
        <is>
          <t>Đạt</t>
        </is>
      </c>
      <c r="R239" s="41" t="inlineStr"/>
      <c r="S239" s="41" t="inlineStr">
        <is>
          <t>BUG-067</t>
        </is>
      </c>
      <c r="T239" s="41" t="inlineStr">
        <is>
          <t>26/05/2026 02:10</t>
        </is>
      </c>
      <c r="U239" s="41" t="inlineStr"/>
      <c r="V239" s="44" t="inlineStr"/>
      <c r="W239" s="41" t="inlineStr"/>
      <c r="X239" s="44" t="inlineStr"/>
    </row>
    <row r="240" ht="80" customHeight="1">
      <c r="A240" s="41" t="inlineStr">
        <is>
          <t>TC-242</t>
        </is>
      </c>
      <c r="B240" s="46" t="inlineStr">
        <is>
          <t>RED</t>
        </is>
      </c>
      <c r="C240" s="45" t="inlineStr">
        <is>
          <t>P1</t>
        </is>
      </c>
      <c r="D240" s="44" t="inlineStr">
        <is>
          <t>Commit Number — RED</t>
        </is>
      </c>
      <c r="E240" s="44" t="inlineStr">
        <is>
          <t>RED: POST /commit documentType có whitespace padding 'INCIDENT ' → 400</t>
        </is>
      </c>
      <c r="F240" s="41" t="inlineStr">
        <is>
          <t>REQ-FUNC-242</t>
        </is>
      </c>
      <c r="G240" s="41" t="inlineStr">
        <is>
          <t>EP / BVA</t>
        </is>
      </c>
      <c r="H240" s="41" t="inlineStr">
        <is>
          <t>Cao</t>
        </is>
      </c>
      <c r="I240" s="44" t="inlineStr">
        <is>
          <t>Đăng nhập officer</t>
        </is>
      </c>
      <c r="J240" s="44" t="inlineStr">
        <is>
          <t>1. POST /commit {documentType:'INCIDENT '}</t>
        </is>
      </c>
      <c r="K240" s="44" t="inlineStr">
        <is>
          <t>user.officer, template.incident.active</t>
        </is>
      </c>
      <c r="L240" s="44" t="inlineStr">
        <is>
          <t>user.officer, template.incident.active</t>
        </is>
      </c>
      <c r="M240" s="44" t="inlineStr">
        <is>
          <t>400. Validation error hoặc auto-trim → 200 với INCIDENT. Không crash, behavior documented</t>
        </is>
      </c>
      <c r="N240" s="44" t="inlineStr"/>
      <c r="O240" s="44" t="inlineStr"/>
      <c r="P240" s="41" t="inlineStr">
        <is>
          <t>[API] Không đạt - xem HTML report</t>
        </is>
      </c>
      <c r="Q240" s="44" t="inlineStr">
        <is>
          <t>Không đạt</t>
        </is>
      </c>
      <c r="R240" s="41" t="inlineStr"/>
      <c r="S240" s="41" t="inlineStr">
        <is>
          <t>BUG-068</t>
        </is>
      </c>
      <c r="T240" s="41" t="inlineStr">
        <is>
          <t>26/05/2026 02:10</t>
        </is>
      </c>
      <c r="U240" s="41" t="inlineStr"/>
      <c r="V240" s="44" t="inlineStr"/>
      <c r="W240" s="41" t="inlineStr"/>
      <c r="X240" s="44" t="inlineStr"/>
    </row>
    <row r="241" ht="80" customHeight="1">
      <c r="A241" s="41" t="inlineStr">
        <is>
          <t>TC-243</t>
        </is>
      </c>
      <c r="B241" s="46" t="inlineStr">
        <is>
          <t>RED</t>
        </is>
      </c>
      <c r="C241" s="43" t="inlineStr">
        <is>
          <t>P0</t>
        </is>
      </c>
      <c r="D241" s="44" t="inlineStr">
        <is>
          <t>Draft — RED</t>
        </is>
      </c>
      <c r="E241" s="44" t="inlineStr">
        <is>
          <t>RED: POST /draft với array documentType → 400</t>
        </is>
      </c>
      <c r="F241" s="41" t="inlineStr">
        <is>
          <t>REQ-FUNC-243</t>
        </is>
      </c>
      <c r="G241" s="41" t="inlineStr">
        <is>
          <t>EP / BVA</t>
        </is>
      </c>
      <c r="H241" s="41" t="inlineStr">
        <is>
          <t>Cao</t>
        </is>
      </c>
      <c r="I241" s="44" t="inlineStr">
        <is>
          <t>Officer</t>
        </is>
      </c>
      <c r="J241" s="44" t="inlineStr">
        <is>
          <t>1. POST /draft {documentType:['INCIDENT','PETITION']}</t>
        </is>
      </c>
      <c r="K241" s="44" t="inlineStr">
        <is>
          <t>user.officer</t>
        </is>
      </c>
      <c r="L241" s="44" t="inlineStr">
        <is>
          <t>user.officer</t>
        </is>
      </c>
      <c r="M241" s="44" t="inlineStr">
        <is>
          <t>400. documentType phải là string, không phải array</t>
        </is>
      </c>
      <c r="N241" s="44" t="inlineStr"/>
      <c r="O241" s="44" t="inlineStr"/>
      <c r="P241" s="41" t="inlineStr">
        <is>
          <t>[API] Đạt như expected. Thời gian: 0ms</t>
        </is>
      </c>
      <c r="Q241" s="44" t="inlineStr">
        <is>
          <t>Đạt</t>
        </is>
      </c>
      <c r="R241" s="41" t="inlineStr"/>
      <c r="S241" s="41" t="inlineStr">
        <is>
          <t>BUG-069</t>
        </is>
      </c>
      <c r="T241" s="41" t="inlineStr">
        <is>
          <t>26/05/2026 02:10</t>
        </is>
      </c>
      <c r="U241" s="41" t="inlineStr"/>
      <c r="V241" s="44" t="inlineStr"/>
      <c r="W241" s="41" t="inlineStr"/>
      <c r="X241" s="44" t="inlineStr"/>
    </row>
    <row r="242" ht="80" customHeight="1">
      <c r="A242" s="41" t="inlineStr">
        <is>
          <t>TC-244</t>
        </is>
      </c>
      <c r="B242" s="46" t="inlineStr">
        <is>
          <t>RED</t>
        </is>
      </c>
      <c r="C242" s="43" t="inlineStr">
        <is>
          <t>P0</t>
        </is>
      </c>
      <c r="D242" s="44" t="inlineStr">
        <is>
          <t>Commit — RED</t>
        </is>
      </c>
      <c r="E242" s="44" t="inlineStr">
        <is>
          <t>RED: POST /commit với boolean documentType → 400</t>
        </is>
      </c>
      <c r="F242" s="41" t="inlineStr">
        <is>
          <t>REQ-FUNC-244</t>
        </is>
      </c>
      <c r="G242" s="41" t="inlineStr">
        <is>
          <t>EP / BVA</t>
        </is>
      </c>
      <c r="H242" s="41" t="inlineStr">
        <is>
          <t>Cao</t>
        </is>
      </c>
      <c r="I242" s="44" t="inlineStr">
        <is>
          <t>Officer</t>
        </is>
      </c>
      <c r="J242" s="44" t="inlineStr">
        <is>
          <t>1. POST /commit {documentType:true}</t>
        </is>
      </c>
      <c r="K242" s="44" t="inlineStr">
        <is>
          <t>user.officer</t>
        </is>
      </c>
      <c r="L242" s="44" t="inlineStr">
        <is>
          <t>user.officer</t>
        </is>
      </c>
      <c r="M242" s="44" t="inlineStr">
        <is>
          <t>400. Validation error: documentType phải là string</t>
        </is>
      </c>
      <c r="N242" s="44" t="inlineStr"/>
      <c r="O242" s="44" t="inlineStr"/>
      <c r="P242" s="41" t="inlineStr">
        <is>
          <t>[API] Không đạt - xem HTML report</t>
        </is>
      </c>
      <c r="Q242" s="44" t="inlineStr">
        <is>
          <t>Không đạt</t>
        </is>
      </c>
      <c r="R242" s="41" t="inlineStr"/>
      <c r="S242" s="41" t="inlineStr">
        <is>
          <t>BUG-070</t>
        </is>
      </c>
      <c r="T242" s="41" t="inlineStr">
        <is>
          <t>26/05/2026 02:10</t>
        </is>
      </c>
      <c r="U242" s="41" t="inlineStr"/>
      <c r="V242" s="44" t="inlineStr"/>
      <c r="W242" s="41" t="inlineStr"/>
      <c r="X242" s="44" t="inlineStr"/>
    </row>
    <row r="243" ht="80" customHeight="1">
      <c r="A243" s="41" t="inlineStr">
        <is>
          <t>TC-245</t>
        </is>
      </c>
      <c r="B243" s="46" t="inlineStr">
        <is>
          <t>RED</t>
        </is>
      </c>
      <c r="C243" s="45" t="inlineStr">
        <is>
          <t>P1</t>
        </is>
      </c>
      <c r="D243" s="44" t="inlineStr">
        <is>
          <t>Content Negotiation — RED</t>
        </is>
      </c>
      <c r="E243" s="44" t="inlineStr">
        <is>
          <t>RED: GET /templates không phải JSON Accept → 406</t>
        </is>
      </c>
      <c r="F243" s="41" t="inlineStr">
        <is>
          <t>REQ-FUNC-245</t>
        </is>
      </c>
      <c r="G243" s="41" t="inlineStr">
        <is>
          <t>EP / BVA</t>
        </is>
      </c>
      <c r="H243" s="41" t="inlineStr">
        <is>
          <t>Cao</t>
        </is>
      </c>
      <c r="I243" s="44" t="inlineStr">
        <is>
          <t>Admin</t>
        </is>
      </c>
      <c r="J243" s="44" t="inlineStr">
        <is>
          <t>1. GET /templates với Accept: text/html (không phải application/json)</t>
        </is>
      </c>
      <c r="K243" s="44" t="inlineStr">
        <is>
          <t>user.admin</t>
        </is>
      </c>
      <c r="L243" s="44" t="inlineStr">
        <is>
          <t>user.admin</t>
        </is>
      </c>
      <c r="M243" s="44" t="inlineStr">
        <is>
          <t>406 Not Acceptable hoặc 200 với JSON (nếu API always returns JSON). Không crash</t>
        </is>
      </c>
      <c r="N243" s="44" t="inlineStr"/>
      <c r="O243" s="44" t="inlineStr"/>
      <c r="P243" s="41" t="inlineStr">
        <is>
          <t>[API] Đạt như expected. Thời gian: 0ms</t>
        </is>
      </c>
      <c r="Q243" s="44" t="inlineStr">
        <is>
          <t>Đạt</t>
        </is>
      </c>
      <c r="R243" s="41" t="inlineStr"/>
      <c r="S243" s="41" t="inlineStr"/>
      <c r="T243" s="41" t="inlineStr">
        <is>
          <t>26/05/2026 02:10</t>
        </is>
      </c>
      <c r="U243" s="41" t="inlineStr"/>
      <c r="V243" s="44" t="inlineStr"/>
      <c r="W243" s="41" t="inlineStr"/>
      <c r="X243" s="44" t="inlineStr"/>
    </row>
    <row r="244" ht="80" customHeight="1">
      <c r="A244" s="41" t="inlineStr">
        <is>
          <t>TC-246</t>
        </is>
      </c>
      <c r="B244" s="46" t="inlineStr">
        <is>
          <t>RED</t>
        </is>
      </c>
      <c r="C244" s="45" t="inlineStr">
        <is>
          <t>P1</t>
        </is>
      </c>
      <c r="D244" s="44" t="inlineStr">
        <is>
          <t>Template Validation — RED</t>
        </is>
      </c>
      <c r="E244" s="44" t="inlineStr">
        <is>
          <t>RED: POST /templates với segments không phải array → 400</t>
        </is>
      </c>
      <c r="F244" s="41" t="inlineStr">
        <is>
          <t>REQ-FUNC-246</t>
        </is>
      </c>
      <c r="G244" s="41" t="inlineStr">
        <is>
          <t>EP / BVA</t>
        </is>
      </c>
      <c r="H244" s="41" t="inlineStr">
        <is>
          <t>Cao</t>
        </is>
      </c>
      <c r="I244" s="44" t="inlineStr">
        <is>
          <t>Admin</t>
        </is>
      </c>
      <c r="J244" s="44" t="inlineStr">
        <is>
          <t>1. POST /templates {segments:{type:'LITERAL',value:'X'}} (object, không phải array)</t>
        </is>
      </c>
      <c r="K244" s="44" t="inlineStr">
        <is>
          <t>user.admin</t>
        </is>
      </c>
      <c r="L244" s="44" t="inlineStr">
        <is>
          <t>user.admin</t>
        </is>
      </c>
      <c r="M244" s="44" t="inlineStr">
        <is>
          <t>400. Validation error: segments phải là array</t>
        </is>
      </c>
      <c r="N244" s="44" t="inlineStr"/>
      <c r="O244" s="44" t="inlineStr"/>
      <c r="P244" s="41" t="inlineStr">
        <is>
          <t>[API] Đạt như expected. Thời gian: 0ms</t>
        </is>
      </c>
      <c r="Q244" s="44" t="inlineStr">
        <is>
          <t>Đạt</t>
        </is>
      </c>
      <c r="R244" s="41" t="inlineStr"/>
      <c r="S244" s="41" t="inlineStr">
        <is>
          <t>BUG-071</t>
        </is>
      </c>
      <c r="T244" s="41" t="inlineStr">
        <is>
          <t>26/05/2026 02:10</t>
        </is>
      </c>
      <c r="U244" s="41" t="inlineStr"/>
      <c r="V244" s="44" t="inlineStr"/>
      <c r="W244" s="41" t="inlineStr"/>
      <c r="X244" s="44" t="inlineStr"/>
    </row>
    <row r="245" ht="80" customHeight="1">
      <c r="A245" s="41" t="inlineStr">
        <is>
          <t>TC-247</t>
        </is>
      </c>
      <c r="B245" s="46" t="inlineStr">
        <is>
          <t>RED</t>
        </is>
      </c>
      <c r="C245" s="45" t="inlineStr">
        <is>
          <t>P1</t>
        </is>
      </c>
      <c r="D245" s="44" t="inlineStr">
        <is>
          <t>Template Validation — RED</t>
        </is>
      </c>
      <c r="E245" s="44" t="inlineStr">
        <is>
          <t>RED: POST /templates counterConfig=null → 400</t>
        </is>
      </c>
      <c r="F245" s="41" t="inlineStr">
        <is>
          <t>REQ-FUNC-247</t>
        </is>
      </c>
      <c r="G245" s="41" t="inlineStr">
        <is>
          <t>EP / BVA</t>
        </is>
      </c>
      <c r="H245" s="41" t="inlineStr">
        <is>
          <t>Cao</t>
        </is>
      </c>
      <c r="I245" s="44" t="inlineStr">
        <is>
          <t>Admin</t>
        </is>
      </c>
      <c r="J245" s="44" t="inlineStr">
        <is>
          <t>1. POST /templates {counterConfig:null, ...rest}</t>
        </is>
      </c>
      <c r="K245" s="44" t="inlineStr">
        <is>
          <t>user.admin</t>
        </is>
      </c>
      <c r="L245" s="44" t="inlineStr">
        <is>
          <t>user.admin</t>
        </is>
      </c>
      <c r="M245" s="44" t="inlineStr">
        <is>
          <t>400. counterConfig is required</t>
        </is>
      </c>
      <c r="N245" s="44" t="inlineStr"/>
      <c r="O245" s="44" t="inlineStr"/>
      <c r="P245" s="41" t="inlineStr">
        <is>
          <t>[API] Đạt như expected. Thời gian: 0ms</t>
        </is>
      </c>
      <c r="Q245" s="44" t="inlineStr">
        <is>
          <t>Đạt</t>
        </is>
      </c>
      <c r="R245" s="41" t="inlineStr"/>
      <c r="S245" s="41" t="inlineStr">
        <is>
          <t>BUG-072</t>
        </is>
      </c>
      <c r="T245" s="41" t="inlineStr">
        <is>
          <t>26/05/2026 02:10</t>
        </is>
      </c>
      <c r="U245" s="41" t="inlineStr"/>
      <c r="V245" s="44" t="inlineStr"/>
      <c r="W245" s="41" t="inlineStr"/>
      <c r="X245" s="44" t="inlineStr"/>
    </row>
    <row r="246" ht="80" customHeight="1">
      <c r="A246" s="41" t="inlineStr">
        <is>
          <t>TC-248</t>
        </is>
      </c>
      <c r="B246" s="46" t="inlineStr">
        <is>
          <t>RED</t>
        </is>
      </c>
      <c r="C246" s="48" t="inlineStr">
        <is>
          <t>P2</t>
        </is>
      </c>
      <c r="D246" s="44" t="inlineStr">
        <is>
          <t>Template CRUD — RED</t>
        </is>
      </c>
      <c r="E246" s="44" t="inlineStr">
        <is>
          <t>RED: PUT /templates/:id body rỗng {} → 200 không thay đổi gì</t>
        </is>
      </c>
      <c r="F246" s="41" t="inlineStr">
        <is>
          <t>REQ-FUNC-248</t>
        </is>
      </c>
      <c r="G246" s="41" t="inlineStr">
        <is>
          <t>EP / BVA</t>
        </is>
      </c>
      <c r="H246" s="41" t="inlineStr">
        <is>
          <t>TB</t>
        </is>
      </c>
      <c r="I246" s="44" t="inlineStr">
        <is>
          <t>Admin, template tồn tại</t>
        </is>
      </c>
      <c r="J246" s="44" t="inlineStr">
        <is>
          <t>1. PUT /templates/{id} {}</t>
        </is>
      </c>
      <c r="K246" s="44" t="inlineStr">
        <is>
          <t>user.admin, template.incident.active</t>
        </is>
      </c>
      <c r="L246" s="44" t="inlineStr">
        <is>
          <t>user.admin, template.incident.active</t>
        </is>
      </c>
      <c r="M246" s="44" t="inlineStr">
        <is>
          <t>200. Template không thay đổi (nếu partial update). Hoặc 400 nếu phải có ít nhất 1 field</t>
        </is>
      </c>
      <c r="N246" s="44" t="inlineStr"/>
      <c r="O246" s="44" t="inlineStr"/>
      <c r="P246" s="41" t="inlineStr">
        <is>
          <t>[API] Không đạt - xem HTML report</t>
        </is>
      </c>
      <c r="Q246" s="44" t="inlineStr">
        <is>
          <t>Không đạt</t>
        </is>
      </c>
      <c r="R246" s="41" t="inlineStr"/>
      <c r="S246" s="41" t="inlineStr">
        <is>
          <t>BUG-073</t>
        </is>
      </c>
      <c r="T246" s="41" t="inlineStr">
        <is>
          <t>26/05/2026 02:10</t>
        </is>
      </c>
      <c r="U246" s="41" t="inlineStr"/>
      <c r="V246" s="44" t="inlineStr"/>
      <c r="W246" s="41" t="inlineStr"/>
      <c r="X246" s="44" t="inlineStr"/>
    </row>
    <row r="247" ht="80" customHeight="1">
      <c r="A247" s="41" t="inlineStr">
        <is>
          <t>TC-249</t>
        </is>
      </c>
      <c r="B247" s="46" t="inlineStr">
        <is>
          <t>RED</t>
        </is>
      </c>
      <c r="C247" s="45" t="inlineStr">
        <is>
          <t>P1</t>
        </is>
      </c>
      <c r="D247" s="44" t="inlineStr">
        <is>
          <t>Commit — draftPreview RED</t>
        </is>
      </c>
      <c r="E247" s="44" t="inlineStr">
        <is>
          <t>RED: POST /commit với draftPreview là số âm string 'VV-2026--00001' → commit thành công với đúng số</t>
        </is>
      </c>
      <c r="F247" s="41" t="inlineStr">
        <is>
          <t>REQ-FUNC-249</t>
        </is>
      </c>
      <c r="G247" s="41" t="inlineStr">
        <is>
          <t>EP / BVA</t>
        </is>
      </c>
      <c r="H247" s="41" t="inlineStr">
        <is>
          <t>Cao</t>
        </is>
      </c>
      <c r="I247" s="44" t="inlineStr">
        <is>
          <t>Officer, template INCIDENT</t>
        </is>
      </c>
      <c r="J247" s="44" t="inlineStr">
        <is>
          <t>1. POST /commit {documentType:'INCIDENT', draftPreview:'VV-2026--00001'}</t>
        </is>
      </c>
      <c r="K247" s="44" t="inlineStr">
        <is>
          <t>user.officer, template.incident.active, counter.incident.value_106</t>
        </is>
      </c>
      <c r="L247" s="44" t="inlineStr">
        <is>
          <t>user.officer, template.incident.active, counter.incident.value_106</t>
        </is>
      </c>
      <c r="M247" s="44" t="inlineStr">
        <is>
          <t>200. {changed:true, number:'VV-2026-00107'} (số thực từ counter). draftPreview chỉ để compare, không validate format</t>
        </is>
      </c>
      <c r="N247" s="44" t="inlineStr"/>
      <c r="O247" s="44" t="inlineStr"/>
      <c r="P247" s="41" t="inlineStr">
        <is>
          <t>[API] Không đạt - xem HTML report</t>
        </is>
      </c>
      <c r="Q247" s="44" t="inlineStr">
        <is>
          <t>Không đạt</t>
        </is>
      </c>
      <c r="R247" s="41" t="inlineStr"/>
      <c r="S247" s="41" t="inlineStr">
        <is>
          <t>BUG-074</t>
        </is>
      </c>
      <c r="T247" s="41" t="inlineStr">
        <is>
          <t>26/05/2026 02:10</t>
        </is>
      </c>
      <c r="U247" s="41" t="inlineStr"/>
      <c r="V247" s="44" t="inlineStr"/>
      <c r="W247" s="41" t="inlineStr"/>
      <c r="X247" s="44" t="inlineStr"/>
    </row>
    <row r="248" ht="80" customHeight="1">
      <c r="A248" s="41" t="inlineStr">
        <is>
          <t>TC-250</t>
        </is>
      </c>
      <c r="B248" s="46" t="inlineStr">
        <is>
          <t>RED</t>
        </is>
      </c>
      <c r="C248" s="48" t="inlineStr">
        <is>
          <t>P2</t>
        </is>
      </c>
      <c r="D248" s="44" t="inlineStr">
        <is>
          <t>Log Update — RED</t>
        </is>
      </c>
      <c r="E248" s="44" t="inlineStr">
        <is>
          <t>RED: PATCH /logs/:logId với extra fields → ignore extra fields</t>
        </is>
      </c>
      <c r="F248" s="41" t="inlineStr">
        <is>
          <t>REQ-FUNC-250</t>
        </is>
      </c>
      <c r="G248" s="41" t="inlineStr">
        <is>
          <t>EP / BVA</t>
        </is>
      </c>
      <c r="H248" s="41" t="inlineStr">
        <is>
          <t>TB</t>
        </is>
      </c>
      <c r="I248" s="44" t="inlineStr">
        <is>
          <t>Officer, log tồn tại</t>
        </is>
      </c>
      <c r="J248" s="44" t="inlineStr">
        <is>
          <t>1. PATCH /logs/{logId} {documentId:'valid-uuid', extraField:'hacked', isDraft:false}</t>
        </is>
      </c>
      <c r="K248" s="44" t="inlineStr">
        <is>
          <t>user.officer, log.officer1.no_doc_id</t>
        </is>
      </c>
      <c r="L248" s="44" t="inlineStr">
        <is>
          <t>user.officer, log.officer1.no_doc_id</t>
        </is>
      </c>
      <c r="M248" s="44" t="inlineStr">
        <is>
          <t>200. Chỉ documentId được update. extraField và isDraft bị ignore (không mass assign)</t>
        </is>
      </c>
      <c r="N248" s="44" t="inlineStr"/>
      <c r="O248" s="44" t="inlineStr"/>
      <c r="P248" s="41" t="inlineStr">
        <is>
          <t>[API] Không đạt - xem HTML report</t>
        </is>
      </c>
      <c r="Q248" s="44" t="inlineStr">
        <is>
          <t>Không đạt</t>
        </is>
      </c>
      <c r="R248" s="41" t="inlineStr"/>
      <c r="S248" s="41" t="inlineStr">
        <is>
          <t>BUG-075</t>
        </is>
      </c>
      <c r="T248" s="41" t="inlineStr">
        <is>
          <t>26/05/2026 02:10</t>
        </is>
      </c>
      <c r="U248" s="41" t="inlineStr"/>
      <c r="V248" s="44" t="inlineStr"/>
      <c r="W248" s="41" t="inlineStr"/>
      <c r="X248" s="44" t="inlineStr"/>
    </row>
    <row r="249" ht="80" customHeight="1">
      <c r="A249" s="41" t="inlineStr">
        <is>
          <t>TC-251</t>
        </is>
      </c>
      <c r="B249" s="46" t="inlineStr">
        <is>
          <t>RED</t>
        </is>
      </c>
      <c r="C249" s="48" t="inlineStr">
        <is>
          <t>P2</t>
        </is>
      </c>
      <c r="D249" s="44" t="inlineStr">
        <is>
          <t>Template Validation — Edge</t>
        </is>
      </c>
      <c r="E249" s="44" t="inlineStr">
        <is>
          <t>RED: POST /templates name chỉ có số → 201 (valid)</t>
        </is>
      </c>
      <c r="F249" s="41" t="inlineStr">
        <is>
          <t>REQ-FUNC-251</t>
        </is>
      </c>
      <c r="G249" s="41" t="inlineStr">
        <is>
          <t>EP / BVA</t>
        </is>
      </c>
      <c r="H249" s="41" t="inlineStr">
        <is>
          <t>TB</t>
        </is>
      </c>
      <c r="I249" s="44" t="inlineStr">
        <is>
          <t>Admin</t>
        </is>
      </c>
      <c r="J249" s="44" t="inlineStr">
        <is>
          <t>1. POST /templates {name:'12345', documentType:'PROPOSAL', ...rest valid}</t>
        </is>
      </c>
      <c r="K249" s="44" t="inlineStr">
        <is>
          <t>user.admin</t>
        </is>
      </c>
      <c r="L249" s="44" t="inlineStr">
        <is>
          <t>user.admin</t>
        </is>
      </c>
      <c r="M249" s="44" t="inlineStr">
        <is>
          <t>201. Name='12345' hợp lệ (không có letter constraint). Counter sinh đúng</t>
        </is>
      </c>
      <c r="N249" s="44" t="inlineStr"/>
      <c r="O249" s="44" t="inlineStr"/>
      <c r="P249" s="41" t="inlineStr">
        <is>
          <t>[API] Đạt như expected. Thời gian: 0ms</t>
        </is>
      </c>
      <c r="Q249" s="44" t="inlineStr">
        <is>
          <t>Đạt</t>
        </is>
      </c>
      <c r="R249" s="41" t="inlineStr"/>
      <c r="S249" s="41" t="inlineStr"/>
      <c r="T249" s="41" t="inlineStr">
        <is>
          <t>26/05/2026 02:10</t>
        </is>
      </c>
      <c r="U249" s="41" t="inlineStr"/>
      <c r="V249" s="44" t="inlineStr"/>
      <c r="W249" s="41" t="inlineStr"/>
      <c r="X249" s="44" t="inlineStr"/>
    </row>
    <row r="250" ht="80" customHeight="1">
      <c r="A250" s="41" t="inlineStr">
        <is>
          <t>TC-252</t>
        </is>
      </c>
      <c r="B250" s="46" t="inlineStr">
        <is>
          <t>RED</t>
        </is>
      </c>
      <c r="C250" s="43" t="inlineStr">
        <is>
          <t>P0</t>
        </is>
      </c>
      <c r="D250" s="44" t="inlineStr">
        <is>
          <t>Concurrency — Reset+Commit RED</t>
        </is>
      </c>
      <c r="E250" s="44" t="inlineStr">
        <is>
          <t>RED: Concurrent reset + commit → counter sau reset là 1 (không wrap)</t>
        </is>
      </c>
      <c r="F250" s="41" t="inlineStr">
        <is>
          <t>REQ-FUNC-252</t>
        </is>
      </c>
      <c r="G250" s="41" t="inlineStr">
        <is>
          <t>EP / BVA</t>
        </is>
      </c>
      <c r="H250" s="41" t="inlineStr">
        <is>
          <t>Cao</t>
        </is>
      </c>
      <c r="I250" s="44" t="inlineStr">
        <is>
          <t>Admin, officer, template INCIDENT counter=50</t>
        </is>
      </c>
      <c r="J250" s="44" t="inlineStr">
        <is>
          <t>1. Admin POST /reset-counter (race với commit)
2. Officer POST /commit đồng thời</t>
        </is>
      </c>
      <c r="K250" s="44" t="inlineStr">
        <is>
          <t>user.admin, user.officer, template.incident.active, counter.incident.value_50</t>
        </is>
      </c>
      <c r="L250" s="44" t="inlineStr">
        <is>
          <t>user.admin, user.officer, template.incident.active, counter.incident.value_50</t>
        </is>
      </c>
      <c r="M250" s="44" t="inlineStr">
        <is>
          <t>Một trong hai xảy ra: (a) commit trước reset: commit=51, reset → 0, (b) reset trước commit: reset → 0, commit=1. Không xảy ra counter=-1 hay corrupt</t>
        </is>
      </c>
      <c r="N250" s="44" t="inlineStr"/>
      <c r="O250" s="44" t="inlineStr"/>
      <c r="P250" s="41" t="inlineStr">
        <is>
          <t>[API] Không đạt - xem HTML report</t>
        </is>
      </c>
      <c r="Q250" s="44" t="inlineStr">
        <is>
          <t>Không đạt</t>
        </is>
      </c>
      <c r="R250" s="41" t="inlineStr"/>
      <c r="S250" s="41" t="inlineStr"/>
      <c r="T250" s="41" t="inlineStr">
        <is>
          <t>26/05/2026 02:10</t>
        </is>
      </c>
      <c r="U250" s="41" t="inlineStr"/>
      <c r="V250" s="44" t="inlineStr"/>
      <c r="W250" s="41" t="inlineStr"/>
      <c r="X250" s="44" t="inlineStr"/>
    </row>
    <row r="251" ht="80" customHeight="1">
      <c r="A251" s="41" t="inlineStr">
        <is>
          <t>TC-253</t>
        </is>
      </c>
      <c r="B251" s="46" t="inlineStr">
        <is>
          <t>RED</t>
        </is>
      </c>
      <c r="C251" s="45" t="inlineStr">
        <is>
          <t>P1</t>
        </is>
      </c>
      <c r="D251" s="44" t="inlineStr">
        <is>
          <t>Template Delete — RED</t>
        </is>
      </c>
      <c r="E251" s="44" t="inlineStr">
        <is>
          <t>RED: DELETE /templates đang có ongoing commit transaction → consistency</t>
        </is>
      </c>
      <c r="F251" s="41" t="inlineStr">
        <is>
          <t>REQ-FUNC-253</t>
        </is>
      </c>
      <c r="G251" s="41" t="inlineStr">
        <is>
          <t>EP / BVA</t>
        </is>
      </c>
      <c r="H251" s="41" t="inlineStr">
        <is>
          <t>Cao</t>
        </is>
      </c>
      <c r="I251" s="44" t="inlineStr">
        <is>
          <t>Admin, active commits đang diễn ra</t>
        </is>
      </c>
      <c r="J251" s="44" t="inlineStr">
        <is>
          <t>1. Start DELETE /templates/{id}
2. Concurrent POST /commit với cùng templateId</t>
        </is>
      </c>
      <c r="K251" s="44" t="inlineStr">
        <is>
          <t>user.admin, user.officer, template.incident.active</t>
        </is>
      </c>
      <c r="L251" s="44" t="inlineStr">
        <is>
          <t>user.admin, user.officer, template.incident.active</t>
        </is>
      </c>
      <c r="M251" s="44" t="inlineStr">
        <is>
          <t>Một trong hai: DELETE chờ commit xong (FK lock), hoặc commit fail với FK violation. Không có orphan log hay partial state</t>
        </is>
      </c>
      <c r="N251" s="44" t="inlineStr"/>
      <c r="O251" s="44" t="inlineStr"/>
      <c r="P251" s="41" t="inlineStr">
        <is>
          <t>[API] Đạt như expected. Thời gian: 0ms</t>
        </is>
      </c>
      <c r="Q251" s="44" t="inlineStr">
        <is>
          <t>Đạt</t>
        </is>
      </c>
      <c r="R251" s="41" t="inlineStr"/>
      <c r="S251" s="41" t="inlineStr"/>
      <c r="T251" s="41" t="inlineStr">
        <is>
          <t>26/05/2026 02:10</t>
        </is>
      </c>
      <c r="U251" s="41" t="inlineStr"/>
      <c r="V251" s="44" t="inlineStr"/>
      <c r="W251" s="41" t="inlineStr"/>
      <c r="X251" s="44" t="inlineStr"/>
    </row>
    <row r="252" ht="80" customHeight="1">
      <c r="A252" s="41" t="inlineStr">
        <is>
          <t>TC-254</t>
        </is>
      </c>
      <c r="B252" s="46" t="inlineStr">
        <is>
          <t>RED</t>
        </is>
      </c>
      <c r="C252" s="45" t="inlineStr">
        <is>
          <t>P1</t>
        </is>
      </c>
      <c r="D252" s="44" t="inlineStr">
        <is>
          <t>Infrastructure — RED</t>
        </is>
      </c>
      <c r="E252" s="44" t="inlineStr">
        <is>
          <t>RED: POST /draft khi DB không available → 500 với graceful message</t>
        </is>
      </c>
      <c r="F252" s="41" t="inlineStr">
        <is>
          <t>REQ-FUNC-254</t>
        </is>
      </c>
      <c r="G252" s="41" t="inlineStr">
        <is>
          <t>EP / BVA</t>
        </is>
      </c>
      <c r="H252" s="41" t="inlineStr">
        <is>
          <t>Cao</t>
        </is>
      </c>
      <c r="I252" s="44" t="inlineStr">
        <is>
          <t>DB connection unavailable (simulate)</t>
        </is>
      </c>
      <c r="J252" s="44" t="inlineStr">
        <is>
          <t>1. Kill DB connection
2. POST /draft {documentType:'INCIDENT'}</t>
        </is>
      </c>
      <c r="K252" s="44" t="inlineStr">
        <is>
          <t>user.officer</t>
        </is>
      </c>
      <c r="L252" s="44" t="inlineStr">
        <is>
          <t>user.officer</t>
        </is>
      </c>
      <c r="M252" s="44" t="inlineStr">
        <is>
          <t>500. message: 'Service temporarily unavailable'. Không expose DB error details. Health endpoint cũng 503</t>
        </is>
      </c>
      <c r="N252" s="44" t="inlineStr"/>
      <c r="O252" s="44" t="inlineStr"/>
      <c r="P252" s="41" t="inlineStr">
        <is>
          <t>[API] Không đạt - xem HTML report</t>
        </is>
      </c>
      <c r="Q252" s="44" t="inlineStr">
        <is>
          <t>Không đạt</t>
        </is>
      </c>
      <c r="R252" s="41" t="inlineStr"/>
      <c r="S252" s="41" t="inlineStr">
        <is>
          <t>BUG-076</t>
        </is>
      </c>
      <c r="T252" s="41" t="inlineStr">
        <is>
          <t>26/05/2026 02:10</t>
        </is>
      </c>
      <c r="U252" s="41" t="inlineStr"/>
      <c r="V252" s="44" t="inlineStr"/>
      <c r="W252" s="41" t="inlineStr"/>
      <c r="X252" s="44" t="inlineStr"/>
    </row>
    <row r="253" ht="80" customHeight="1">
      <c r="A253" s="41" t="inlineStr">
        <is>
          <t>TC-255</t>
        </is>
      </c>
      <c r="B253" s="46" t="inlineStr">
        <is>
          <t>RED</t>
        </is>
      </c>
      <c r="C253" s="45" t="inlineStr">
        <is>
          <t>P1</t>
        </is>
      </c>
      <c r="D253" s="44" t="inlineStr">
        <is>
          <t>Template Validation — Case Sensitive RED</t>
        </is>
      </c>
      <c r="E253" s="44" t="inlineStr">
        <is>
          <t>RED: POST /templates documentType=INCIDENT nhưng viết thường 'incident' → 400</t>
        </is>
      </c>
      <c r="F253" s="41" t="inlineStr">
        <is>
          <t>REQ-FUNC-255</t>
        </is>
      </c>
      <c r="G253" s="41" t="inlineStr">
        <is>
          <t>EP / BVA</t>
        </is>
      </c>
      <c r="H253" s="41" t="inlineStr">
        <is>
          <t>Cao</t>
        </is>
      </c>
      <c r="I253" s="44" t="inlineStr">
        <is>
          <t>Admin</t>
        </is>
      </c>
      <c r="J253" s="44" t="inlineStr">
        <is>
          <t>1. POST /templates {documentType:'incident', ...rest}</t>
        </is>
      </c>
      <c r="K253" s="44" t="inlineStr">
        <is>
          <t>user.admin</t>
        </is>
      </c>
      <c r="L253" s="44" t="inlineStr">
        <is>
          <t>user.admin</t>
        </is>
      </c>
      <c r="M253" s="44" t="inlineStr">
        <is>
          <t>400. Validation error: documentType phải là INCIDENT (uppercase). Case-sensitive enum validation</t>
        </is>
      </c>
      <c r="N253" s="44" t="inlineStr"/>
      <c r="O253" s="44" t="inlineStr"/>
      <c r="P253" s="41" t="inlineStr">
        <is>
          <t>[API] Đạt như expected. Thời gian: 0ms</t>
        </is>
      </c>
      <c r="Q253" s="44" t="inlineStr">
        <is>
          <t>Đạt</t>
        </is>
      </c>
      <c r="R253" s="41" t="inlineStr"/>
      <c r="S253" s="41" t="inlineStr">
        <is>
          <t>BUG-077</t>
        </is>
      </c>
      <c r="T253" s="41" t="inlineStr">
        <is>
          <t>26/05/2026 02:10</t>
        </is>
      </c>
      <c r="U253" s="41" t="inlineStr"/>
      <c r="V253" s="44" t="inlineStr"/>
      <c r="W253" s="41" t="inlineStr"/>
      <c r="X253" s="44" t="inlineStr"/>
    </row>
    <row r="254" ht="80" customHeight="1">
      <c r="A254" s="41" t="inlineStr">
        <is>
          <t>TC-256</t>
        </is>
      </c>
      <c r="B254" s="46" t="inlineStr">
        <is>
          <t>RED</t>
        </is>
      </c>
      <c r="C254" s="45" t="inlineStr">
        <is>
          <t>P1</t>
        </is>
      </c>
      <c r="D254" s="44" t="inlineStr">
        <is>
          <t>Template CRUD — RED</t>
        </is>
      </c>
      <c r="E254" s="44" t="inlineStr">
        <is>
          <t>RED: GET /templates/:id không tồn tại → 404</t>
        </is>
      </c>
      <c r="F254" s="41" t="inlineStr">
        <is>
          <t>REQ-FUNC-256</t>
        </is>
      </c>
      <c r="G254" s="41" t="inlineStr">
        <is>
          <t>EP / BVA</t>
        </is>
      </c>
      <c r="H254" s="41" t="inlineStr">
        <is>
          <t>Cao</t>
        </is>
      </c>
      <c r="I254" s="44" t="inlineStr">
        <is>
          <t>Admin</t>
        </is>
      </c>
      <c r="J254" s="44" t="inlineStr">
        <is>
          <t>1. GET /templates/00000000-0000-0000-0000-000000000000</t>
        </is>
      </c>
      <c r="K254" s="44" t="inlineStr">
        <is>
          <t>user.admin</t>
        </is>
      </c>
      <c r="L254" s="44" t="inlineStr">
        <is>
          <t>user.admin</t>
        </is>
      </c>
      <c r="M254" s="44" t="inlineStr">
        <is>
          <t>404 Not Found. message: 'Template not found'</t>
        </is>
      </c>
      <c r="N254" s="44" t="inlineStr"/>
      <c r="O254" s="44" t="inlineStr"/>
      <c r="P254" s="41" t="inlineStr">
        <is>
          <t>[API] Đạt như expected. Thời gian: 0ms</t>
        </is>
      </c>
      <c r="Q254" s="44" t="inlineStr">
        <is>
          <t>Đạt</t>
        </is>
      </c>
      <c r="R254" s="41" t="inlineStr"/>
      <c r="S254" s="41" t="inlineStr"/>
      <c r="T254" s="41" t="inlineStr">
        <is>
          <t>26/05/2026 02:10</t>
        </is>
      </c>
      <c r="U254" s="41" t="inlineStr"/>
      <c r="V254" s="44" t="inlineStr"/>
      <c r="W254" s="41" t="inlineStr"/>
      <c r="X254" s="44" t="inlineStr"/>
    </row>
    <row r="255" ht="80" customHeight="1">
      <c r="A255" s="41" t="inlineStr">
        <is>
          <t>TC-257</t>
        </is>
      </c>
      <c r="B255" s="46" t="inlineStr">
        <is>
          <t>RED</t>
        </is>
      </c>
      <c r="C255" s="45" t="inlineStr">
        <is>
          <t>P1</t>
        </is>
      </c>
      <c r="D255" s="44" t="inlineStr">
        <is>
          <t>Template Validation — RED</t>
        </is>
      </c>
      <c r="E255" s="44" t="inlineStr">
        <is>
          <t>RED: POST /templates với counterConfig.resetPeriod=null → 400</t>
        </is>
      </c>
      <c r="F255" s="41" t="inlineStr">
        <is>
          <t>REQ-FUNC-257</t>
        </is>
      </c>
      <c r="G255" s="41" t="inlineStr">
        <is>
          <t>EP / BVA</t>
        </is>
      </c>
      <c r="H255" s="41" t="inlineStr">
        <is>
          <t>Cao</t>
        </is>
      </c>
      <c r="I255" s="44" t="inlineStr">
        <is>
          <t>Admin</t>
        </is>
      </c>
      <c r="J255" s="44" t="inlineStr">
        <is>
          <t>1. POST /templates {counterConfig:{resetPeriod:null,...}}</t>
        </is>
      </c>
      <c r="K255" s="44" t="inlineStr">
        <is>
          <t>user.admin</t>
        </is>
      </c>
      <c r="L255" s="44" t="inlineStr">
        <is>
          <t>user.admin</t>
        </is>
      </c>
      <c r="M255" s="44" t="inlineStr">
        <is>
          <t>400. resetPeriod is required</t>
        </is>
      </c>
      <c r="N255" s="44" t="inlineStr"/>
      <c r="O255" s="44" t="inlineStr"/>
      <c r="P255" s="41" t="inlineStr">
        <is>
          <t>[API] Đạt như expected. Thời gian: 0ms</t>
        </is>
      </c>
      <c r="Q255" s="44" t="inlineStr">
        <is>
          <t>Đạt</t>
        </is>
      </c>
      <c r="R255" s="41" t="inlineStr"/>
      <c r="S255" s="41" t="inlineStr">
        <is>
          <t>BUG-078</t>
        </is>
      </c>
      <c r="T255" s="41" t="inlineStr">
        <is>
          <t>26/05/2026 02:10</t>
        </is>
      </c>
      <c r="U255" s="41" t="inlineStr"/>
      <c r="V255" s="44" t="inlineStr"/>
      <c r="W255" s="41" t="inlineStr"/>
      <c r="X255" s="44" t="inlineStr"/>
    </row>
    <row r="256" ht="80" customHeight="1">
      <c r="A256" s="41" t="inlineStr">
        <is>
          <t>TC-258</t>
        </is>
      </c>
      <c r="B256" s="46" t="inlineStr">
        <is>
          <t>RED</t>
        </is>
      </c>
      <c r="C256" s="45" t="inlineStr">
        <is>
          <t>P1</t>
        </is>
      </c>
      <c r="D256" s="44" t="inlineStr">
        <is>
          <t>Deploy — RED</t>
        </is>
      </c>
      <c r="E256" s="44" t="inlineStr">
        <is>
          <t>RED: POST /commit khi server đang trong deploy (brief downtime) → 503</t>
        </is>
      </c>
      <c r="F256" s="41" t="inlineStr">
        <is>
          <t>REQ-FUNC-258</t>
        </is>
      </c>
      <c r="G256" s="41" t="inlineStr">
        <is>
          <t>EP / BVA</t>
        </is>
      </c>
      <c r="H256" s="41" t="inlineStr">
        <is>
          <t>Cao</t>
        </is>
      </c>
      <c r="I256" s="44" t="inlineStr">
        <is>
          <t>Server restart in progress</t>
        </is>
      </c>
      <c r="J256" s="44" t="inlineStr">
        <is>
          <t>1. POST /commit trong khi server đang restart</t>
        </is>
      </c>
      <c r="K256" s="44" t="inlineStr">
        <is>
          <t>user.officer</t>
        </is>
      </c>
      <c r="L256" s="44" t="inlineStr">
        <is>
          <t>user.officer</t>
        </is>
      </c>
      <c r="M256" s="44" t="inlineStr">
        <is>
          <t>503 Service Unavailable hoặc connection refused. Client phải retry. Không có partial commit</t>
        </is>
      </c>
      <c r="N256" s="44" t="inlineStr"/>
      <c r="O256" s="44" t="inlineStr"/>
      <c r="P256" s="41" t="inlineStr">
        <is>
          <t>[API] Đạt như expected. Thời gian: 0ms</t>
        </is>
      </c>
      <c r="Q256" s="44" t="inlineStr">
        <is>
          <t>Đạt</t>
        </is>
      </c>
      <c r="R256" s="41" t="inlineStr"/>
      <c r="S256" s="41" t="inlineStr"/>
      <c r="T256" s="41" t="inlineStr">
        <is>
          <t>26/05/2026 02:10</t>
        </is>
      </c>
      <c r="U256" s="41" t="inlineStr"/>
      <c r="V256" s="44" t="inlineStr"/>
      <c r="W256" s="41" t="inlineStr"/>
      <c r="X256" s="44" t="inlineStr"/>
    </row>
    <row r="257" ht="80" customHeight="1">
      <c r="A257" s="41" t="inlineStr">
        <is>
          <t>TC-259</t>
        </is>
      </c>
      <c r="B257" s="46" t="inlineStr">
        <is>
          <t>RED</t>
        </is>
      </c>
      <c r="C257" s="48" t="inlineStr">
        <is>
          <t>P2</t>
        </is>
      </c>
      <c r="D257" s="44" t="inlineStr">
        <is>
          <t>Log Filter — RED</t>
        </is>
      </c>
      <c r="E257" s="44" t="inlineStr">
        <is>
          <t>RED: GET /logs?userId=non-existent-uuid → empty array 200</t>
        </is>
      </c>
      <c r="F257" s="41" t="inlineStr">
        <is>
          <t>REQ-FUNC-259</t>
        </is>
      </c>
      <c r="G257" s="41" t="inlineStr">
        <is>
          <t>EP / BVA</t>
        </is>
      </c>
      <c r="H257" s="41" t="inlineStr">
        <is>
          <t>TB</t>
        </is>
      </c>
      <c r="I257" s="44" t="inlineStr">
        <is>
          <t>Admin</t>
        </is>
      </c>
      <c r="J257" s="44" t="inlineStr">
        <is>
          <t>1. GET /logs?userId=00000000-0000-0000-0000-000000000000</t>
        </is>
      </c>
      <c r="K257" s="44" t="inlineStr">
        <is>
          <t>user.admin</t>
        </is>
      </c>
      <c r="L257" s="44" t="inlineStr">
        <is>
          <t>user.admin</t>
        </is>
      </c>
      <c r="M257" s="44" t="inlineStr">
        <is>
          <t>200. Empty array []. Không phải 404</t>
        </is>
      </c>
      <c r="N257" s="44" t="inlineStr"/>
      <c r="O257" s="44" t="inlineStr"/>
      <c r="P257" s="41" t="inlineStr">
        <is>
          <t>[API] Đạt như expected. Thời gian: 0ms</t>
        </is>
      </c>
      <c r="Q257" s="44" t="inlineStr">
        <is>
          <t>Đạt</t>
        </is>
      </c>
      <c r="R257" s="41" t="inlineStr"/>
      <c r="S257" s="41" t="inlineStr"/>
      <c r="T257" s="41" t="inlineStr">
        <is>
          <t>26/05/2026 02:10</t>
        </is>
      </c>
      <c r="U257" s="41" t="inlineStr"/>
      <c r="V257" s="44" t="inlineStr"/>
      <c r="W257" s="41" t="inlineStr"/>
      <c r="X257" s="44" t="inlineStr"/>
    </row>
    <row r="258" ht="80" customHeight="1">
      <c r="A258" s="41" t="inlineStr">
        <is>
          <t>TC-260</t>
        </is>
      </c>
      <c r="B258" s="46" t="inlineStr">
        <is>
          <t>RED</t>
        </is>
      </c>
      <c r="C258" s="48" t="inlineStr">
        <is>
          <t>P2</t>
        </is>
      </c>
      <c r="D258" s="44" t="inlineStr">
        <is>
          <t>Template Update — RED</t>
        </is>
      </c>
      <c r="E258" s="44" t="inlineStr">
        <is>
          <t>RED: PUT /templates/:id với isActive=null → 400 hoặc keep existing</t>
        </is>
      </c>
      <c r="F258" s="41" t="inlineStr">
        <is>
          <t>REQ-FUNC-260</t>
        </is>
      </c>
      <c r="G258" s="41" t="inlineStr">
        <is>
          <t>EP / BVA</t>
        </is>
      </c>
      <c r="H258" s="41" t="inlineStr">
        <is>
          <t>TB</t>
        </is>
      </c>
      <c r="I258" s="44" t="inlineStr">
        <is>
          <t>Admin, template active</t>
        </is>
      </c>
      <c r="J258" s="44" t="inlineStr">
        <is>
          <t>1. PUT /templates/{id} {isActive:null}</t>
        </is>
      </c>
      <c r="K258" s="44" t="inlineStr">
        <is>
          <t>user.admin, template.incident.active</t>
        </is>
      </c>
      <c r="L258" s="44" t="inlineStr">
        <is>
          <t>user.admin, template.incident.active</t>
        </is>
      </c>
      <c r="M258" s="44" t="inlineStr">
        <is>
          <t>400 (null không hợp lệ) hoặc isActive giữ nguyên giá trị cũ. Không set isActive=null trong DB</t>
        </is>
      </c>
      <c r="N258" s="44" t="inlineStr"/>
      <c r="O258" s="44" t="inlineStr"/>
      <c r="P258" s="41" t="inlineStr">
        <is>
          <t>[API] Không đạt - xem HTML report</t>
        </is>
      </c>
      <c r="Q258" s="44" t="inlineStr">
        <is>
          <t>Không đạt</t>
        </is>
      </c>
      <c r="R258" s="41" t="inlineStr"/>
      <c r="S258" s="41" t="inlineStr">
        <is>
          <t>BUG-079</t>
        </is>
      </c>
      <c r="T258" s="41" t="inlineStr">
        <is>
          <t>26/05/2026 02:10</t>
        </is>
      </c>
      <c r="U258" s="41" t="inlineStr"/>
      <c r="V258" s="44" t="inlineStr"/>
      <c r="W258" s="41" t="inlineStr"/>
      <c r="X258" s="44" t="inlineStr"/>
    </row>
    <row r="259" ht="80" customHeight="1">
      <c r="A259" s="41" t="inlineStr">
        <is>
          <t>TC-261</t>
        </is>
      </c>
      <c r="B259" s="46" t="inlineStr">
        <is>
          <t>RED</t>
        </is>
      </c>
      <c r="C259" s="45" t="inlineStr">
        <is>
          <t>P1</t>
        </is>
      </c>
      <c r="D259" s="44" t="inlineStr">
        <is>
          <t>Template Validation — Duplicate COUNTER RED</t>
        </is>
      </c>
      <c r="E259" s="44" t="inlineStr">
        <is>
          <t>RED: POST /templates tất cả segments là COUNTER (2 COUNTER) → 400</t>
        </is>
      </c>
      <c r="F259" s="41" t="inlineStr">
        <is>
          <t>REQ-FUNC-261</t>
        </is>
      </c>
      <c r="G259" s="41" t="inlineStr">
        <is>
          <t>EP / BVA</t>
        </is>
      </c>
      <c r="H259" s="41" t="inlineStr">
        <is>
          <t>Cao</t>
        </is>
      </c>
      <c r="I259" s="44" t="inlineStr">
        <is>
          <t>Admin</t>
        </is>
      </c>
      <c r="J259" s="44" t="inlineStr">
        <is>
          <t>1. POST /templates {segments:[{type:'COUNTER'},{type:'COUNTER'}],...}</t>
        </is>
      </c>
      <c r="K259" s="44" t="inlineStr">
        <is>
          <t>user.admin</t>
        </is>
      </c>
      <c r="L259" s="44" t="inlineStr">
        <is>
          <t>user.admin</t>
        </is>
      </c>
      <c r="M259" s="44" t="inlineStr">
        <is>
          <t>400. Validation error: không được có nhiều hơn 1 COUNTER segment</t>
        </is>
      </c>
      <c r="N259" s="44" t="inlineStr"/>
      <c r="O259" s="44" t="inlineStr"/>
      <c r="P259" s="41" t="inlineStr">
        <is>
          <t>[API] Đạt như expected. Thời gian: 0ms</t>
        </is>
      </c>
      <c r="Q259" s="44" t="inlineStr">
        <is>
          <t>Đạt</t>
        </is>
      </c>
      <c r="R259" s="41" t="inlineStr"/>
      <c r="S259" s="41" t="inlineStr">
        <is>
          <t>BUG-080</t>
        </is>
      </c>
      <c r="T259" s="41" t="inlineStr">
        <is>
          <t>26/05/2026 02:10</t>
        </is>
      </c>
      <c r="U259" s="41" t="inlineStr"/>
      <c r="V259" s="44" t="inlineStr"/>
      <c r="W259" s="41" t="inlineStr"/>
      <c r="X259" s="44" t="inlineStr"/>
    </row>
    <row r="260" ht="80" customHeight="1">
      <c r="A260" s="41" t="inlineStr">
        <is>
          <t>TC-262</t>
        </is>
      </c>
      <c r="B260" s="46" t="inlineStr">
        <is>
          <t>RED</t>
        </is>
      </c>
      <c r="C260" s="45" t="inlineStr">
        <is>
          <t>P1</t>
        </is>
      </c>
      <c r="D260" s="44" t="inlineStr">
        <is>
          <t>Auth — Suspended User RED</t>
        </is>
      </c>
      <c r="E260" s="44" t="inlineStr">
        <is>
          <t>RED: POST /draft user bị suspended/locked → 401/403</t>
        </is>
      </c>
      <c r="F260" s="41" t="inlineStr">
        <is>
          <t>REQ-FUNC-262</t>
        </is>
      </c>
      <c r="G260" s="41" t="inlineStr">
        <is>
          <t>EP / BVA</t>
        </is>
      </c>
      <c r="H260" s="41" t="inlineStr">
        <is>
          <t>Cao</t>
        </is>
      </c>
      <c r="I260" s="44" t="inlineStr">
        <is>
          <t>Officer1 bị suspended trong hệ thống, token vẫn còn hạn</t>
        </is>
      </c>
      <c r="J260" s="44" t="inlineStr">
        <is>
          <t>1. POST /draft với token của officer1 bị suspended</t>
        </is>
      </c>
      <c r="K260" s="44" t="inlineStr">
        <is>
          <t>user.officer</t>
        </is>
      </c>
      <c r="L260" s="44" t="inlineStr">
        <is>
          <t>user.officer</t>
        </is>
      </c>
      <c r="M260" s="44" t="inlineStr">
        <is>
          <t>403 hoặc 401. Suspended user không thể thực hiện operations</t>
        </is>
      </c>
      <c r="N260" s="44" t="inlineStr"/>
      <c r="O260" s="44" t="inlineStr"/>
      <c r="P260" s="41" t="inlineStr">
        <is>
          <t>[API] Không đạt - xem HTML report</t>
        </is>
      </c>
      <c r="Q260" s="44" t="inlineStr">
        <is>
          <t>Không đạt</t>
        </is>
      </c>
      <c r="R260" s="41" t="inlineStr"/>
      <c r="S260" s="41" t="inlineStr">
        <is>
          <t>BUG-081</t>
        </is>
      </c>
      <c r="T260" s="41" t="inlineStr">
        <is>
          <t>26/05/2026 02:10</t>
        </is>
      </c>
      <c r="U260" s="41" t="inlineStr"/>
      <c r="V260" s="44" t="inlineStr"/>
      <c r="W260" s="41" t="inlineStr"/>
      <c r="X260" s="44" t="inlineStr"/>
    </row>
    <row r="261" ht="80" customHeight="1">
      <c r="A261" s="41" t="inlineStr">
        <is>
          <t>TC-263</t>
        </is>
      </c>
      <c r="B261" s="46" t="inlineStr">
        <is>
          <t>RED</t>
        </is>
      </c>
      <c r="C261" s="43" t="inlineStr">
        <is>
          <t>P0</t>
        </is>
      </c>
      <c r="D261" s="44" t="inlineStr">
        <is>
          <t>Commit — Max Retry RED</t>
        </is>
      </c>
      <c r="E261" s="44" t="inlineStr">
        <is>
          <t>RED: POST /commit số lần retry vượt max (3 lần UNIQUE violation) → 500</t>
        </is>
      </c>
      <c r="F261" s="41" t="inlineStr">
        <is>
          <t>REQ-FUNC-263</t>
        </is>
      </c>
      <c r="G261" s="41" t="inlineStr">
        <is>
          <t>EP / BVA</t>
        </is>
      </c>
      <c r="H261" s="41" t="inlineStr">
        <is>
          <t>Cao</t>
        </is>
      </c>
      <c r="I261" s="44" t="inlineStr">
        <is>
          <t>Simulate: liên tục UNIQUE violation 3 lần do race condition cực đoan</t>
        </is>
      </c>
      <c r="J261" s="44" t="inlineStr">
        <is>
          <t>1. Mock để mọi commit đều bị UNIQUE violation
2. POST /commit</t>
        </is>
      </c>
      <c r="K261" s="44" t="inlineStr">
        <is>
          <t>user.officer, template.incident.active</t>
        </is>
      </c>
      <c r="L261" s="44" t="inlineStr">
        <is>
          <t>user.officer, template.incident.active</t>
        </is>
      </c>
      <c r="M261" s="44" t="inlineStr">
        <is>
          <t>500. message: 'Không thể tạo số duy nhất sau 3 lần thử. Liên hệ admin.'. Counter không corrupt. Không infinite retry</t>
        </is>
      </c>
      <c r="N261" s="44" t="inlineStr"/>
      <c r="O261" s="44" t="inlineStr"/>
      <c r="P261" s="41" t="inlineStr">
        <is>
          <t>[API] Không đạt - xem HTML report</t>
        </is>
      </c>
      <c r="Q261" s="44" t="inlineStr">
        <is>
          <t>Không đạt</t>
        </is>
      </c>
      <c r="R261" s="41" t="inlineStr"/>
      <c r="S261" s="41" t="inlineStr">
        <is>
          <t>BUG-082</t>
        </is>
      </c>
      <c r="T261" s="41" t="inlineStr">
        <is>
          <t>26/05/2026 02:10</t>
        </is>
      </c>
      <c r="U261" s="41" t="inlineStr"/>
      <c r="V261" s="44" t="inlineStr"/>
      <c r="W261" s="41" t="inlineStr"/>
      <c r="X261" s="44" t="inlineStr"/>
    </row>
    <row r="262" ht="80" customHeight="1">
      <c r="A262" s="41" t="inlineStr">
        <is>
          <t>TC-264</t>
        </is>
      </c>
      <c r="B262" s="46" t="inlineStr">
        <is>
          <t>RED</t>
        </is>
      </c>
      <c r="C262" s="48" t="inlineStr">
        <is>
          <t>P2</t>
        </is>
      </c>
      <c r="D262" s="44" t="inlineStr">
        <is>
          <t>Template Validation — Separator RED</t>
        </is>
      </c>
      <c r="E262" s="44" t="inlineStr">
        <is>
          <t>RED: POST /templates separator có tab character → 400 hoặc strip</t>
        </is>
      </c>
      <c r="F262" s="41" t="inlineStr">
        <is>
          <t>REQ-FUNC-264</t>
        </is>
      </c>
      <c r="G262" s="41" t="inlineStr">
        <is>
          <t>EP / BVA</t>
        </is>
      </c>
      <c r="H262" s="41" t="inlineStr">
        <is>
          <t>TB</t>
        </is>
      </c>
      <c r="I262" s="44" t="inlineStr">
        <is>
          <t>Admin</t>
        </is>
      </c>
      <c r="J262" s="44" t="inlineStr">
        <is>
          <t>1. POST /templates {separator:'\t',...}</t>
        </is>
      </c>
      <c r="K262" s="44" t="inlineStr">
        <is>
          <t>user.admin</t>
        </is>
      </c>
      <c r="L262" s="44" t="inlineStr">
        <is>
          <t>user.admin</t>
        </is>
      </c>
      <c r="M262" s="44" t="inlineStr">
        <is>
          <t>400 (disallow whitespace-only separator) hoặc auto-strip thành '-'. Không lưu tab character</t>
        </is>
      </c>
      <c r="N262" s="44" t="inlineStr"/>
      <c r="O262" s="44" t="inlineStr"/>
      <c r="P262" s="41" t="inlineStr">
        <is>
          <t>[API] Không đạt - xem HTML report</t>
        </is>
      </c>
      <c r="Q262" s="44" t="inlineStr">
        <is>
          <t>Không đạt</t>
        </is>
      </c>
      <c r="R262" s="41" t="inlineStr"/>
      <c r="S262" s="41" t="inlineStr">
        <is>
          <t>BUG-083</t>
        </is>
      </c>
      <c r="T262" s="41" t="inlineStr">
        <is>
          <t>26/05/2026 02:10</t>
        </is>
      </c>
      <c r="U262" s="41" t="inlineStr"/>
      <c r="V262" s="44" t="inlineStr"/>
      <c r="W262" s="41" t="inlineStr"/>
      <c r="X262" s="44" t="inlineStr"/>
    </row>
    <row r="263" ht="80" customHeight="1">
      <c r="A263" s="41" t="inlineStr">
        <is>
          <t>TC-265</t>
        </is>
      </c>
      <c r="B263" s="46" t="inlineStr">
        <is>
          <t>RED</t>
        </is>
      </c>
      <c r="C263" s="48" t="inlineStr">
        <is>
          <t>P2</t>
        </is>
      </c>
      <c r="D263" s="44" t="inlineStr">
        <is>
          <t>Filter — Date Format RED</t>
        </is>
      </c>
      <c r="E263" s="44" t="inlineStr">
        <is>
          <t>RED: GET /logs filter by invalid date format '25/05/2026' → 400</t>
        </is>
      </c>
      <c r="F263" s="41" t="inlineStr">
        <is>
          <t>REQ-FUNC-265</t>
        </is>
      </c>
      <c r="G263" s="41" t="inlineStr">
        <is>
          <t>EP / BVA</t>
        </is>
      </c>
      <c r="H263" s="41" t="inlineStr">
        <is>
          <t>TB</t>
        </is>
      </c>
      <c r="I263" s="44" t="inlineStr">
        <is>
          <t>Admin</t>
        </is>
      </c>
      <c r="J263" s="44" t="inlineStr">
        <is>
          <t>1. GET /logs?from=25/05/2026</t>
        </is>
      </c>
      <c r="K263" s="44" t="inlineStr">
        <is>
          <t>user.admin</t>
        </is>
      </c>
      <c r="L263" s="44" t="inlineStr">
        <is>
          <t>user.admin</t>
        </is>
      </c>
      <c r="M263" s="44" t="inlineStr">
        <is>
          <t>400. Validation error: date phải là ISO 8601 format (YYYY-MM-DD)</t>
        </is>
      </c>
      <c r="N263" s="44" t="inlineStr"/>
      <c r="O263" s="44" t="inlineStr"/>
      <c r="P263" s="41" t="inlineStr">
        <is>
          <t>[API] Không đạt - xem HTML report</t>
        </is>
      </c>
      <c r="Q263" s="44" t="inlineStr">
        <is>
          <t>Không đạt</t>
        </is>
      </c>
      <c r="R263" s="41" t="inlineStr"/>
      <c r="S263" s="41" t="inlineStr">
        <is>
          <t>BUG-084</t>
        </is>
      </c>
      <c r="T263" s="41" t="inlineStr">
        <is>
          <t>26/05/2026 02:10</t>
        </is>
      </c>
      <c r="U263" s="41" t="inlineStr"/>
      <c r="V263" s="44" t="inlineStr"/>
      <c r="W263" s="41" t="inlineStr"/>
      <c r="X263" s="44" t="inlineStr"/>
    </row>
    <row r="264" ht="80" customHeight="1">
      <c r="A264" s="41" t="inlineStr">
        <is>
          <t>TC-266</t>
        </is>
      </c>
      <c r="B264" s="46" t="inlineStr">
        <is>
          <t>RED</t>
        </is>
      </c>
      <c r="C264" s="48" t="inlineStr">
        <is>
          <t>P2</t>
        </is>
      </c>
      <c r="D264" s="44" t="inlineStr">
        <is>
          <t>Template Validation — Segments Limit RED</t>
        </is>
      </c>
      <c r="E264" s="44" t="inlineStr">
        <is>
          <t>RED: POST /templates 1000 segments → 400 (quá nhiều segment)</t>
        </is>
      </c>
      <c r="F264" s="41" t="inlineStr">
        <is>
          <t>REQ-FUNC-266</t>
        </is>
      </c>
      <c r="G264" s="41" t="inlineStr">
        <is>
          <t>EP / BVA</t>
        </is>
      </c>
      <c r="H264" s="41" t="inlineStr">
        <is>
          <t>TB</t>
        </is>
      </c>
      <c r="I264" s="44" t="inlineStr">
        <is>
          <t>Admin</t>
        </is>
      </c>
      <c r="J264" s="44" t="inlineStr">
        <is>
          <t>1. POST /templates {segments: Array(1000).fill({type:'LITERAL',value:'X'})}</t>
        </is>
      </c>
      <c r="K264" s="44" t="inlineStr">
        <is>
          <t>user.admin</t>
        </is>
      </c>
      <c r="L264" s="44" t="inlineStr">
        <is>
          <t>user.admin</t>
        </is>
      </c>
      <c r="M264" s="44" t="inlineStr">
        <is>
          <t>400. Validation error: segments tối đa N phần tử (VD: 20). Không bị OOM</t>
        </is>
      </c>
      <c r="N264" s="44" t="inlineStr"/>
      <c r="O264" s="44" t="inlineStr"/>
      <c r="P264" s="41" t="inlineStr">
        <is>
          <t>[API] Không đạt - xem HTML report</t>
        </is>
      </c>
      <c r="Q264" s="44" t="inlineStr">
        <is>
          <t>Không đạt</t>
        </is>
      </c>
      <c r="R264" s="41" t="inlineStr"/>
      <c r="S264" s="41" t="inlineStr">
        <is>
          <t>BUG-085</t>
        </is>
      </c>
      <c r="T264" s="41" t="inlineStr">
        <is>
          <t>26/05/2026 02:10</t>
        </is>
      </c>
      <c r="U264" s="41" t="inlineStr"/>
      <c r="V264" s="44" t="inlineStr"/>
      <c r="W264" s="41" t="inlineStr"/>
      <c r="X264" s="44" t="inlineStr"/>
    </row>
    <row r="265" ht="80" customHeight="1">
      <c r="A265" s="41" t="inlineStr">
        <is>
          <t>TC-267</t>
        </is>
      </c>
      <c r="B265" s="46" t="inlineStr">
        <is>
          <t>RED</t>
        </is>
      </c>
      <c r="C265" s="43" t="inlineStr">
        <is>
          <t>P0</t>
        </is>
      </c>
      <c r="D265" s="44" t="inlineStr">
        <is>
          <t>Draft — Concurrent RED</t>
        </is>
      </c>
      <c r="E265" s="44" t="inlineStr">
        <is>
          <t>RED: POST /draft Concurrent 50 requests → tất cả 200, previewNumber giống nhau</t>
        </is>
      </c>
      <c r="F265" s="41" t="inlineStr">
        <is>
          <t>REQ-FUNC-267</t>
        </is>
      </c>
      <c r="G265" s="41" t="inlineStr">
        <is>
          <t>EP / BVA</t>
        </is>
      </c>
      <c r="H265" s="41" t="inlineStr">
        <is>
          <t>Cao</t>
        </is>
      </c>
      <c r="I265" s="44" t="inlineStr">
        <is>
          <t>Template INCIDENT counter=0, 50 requests đồng thời</t>
        </is>
      </c>
      <c r="J265" s="44" t="inlineStr">
        <is>
          <t>1. Gửi 50 POST /draft {INCIDENT} đồng thời
2. Kiểm tra response</t>
        </is>
      </c>
      <c r="K265" s="44" t="inlineStr">
        <is>
          <t>template.incident.active, user.officer</t>
        </is>
      </c>
      <c r="L265" s="44" t="inlineStr">
        <is>
          <t>template.incident.active, user.officer</t>
        </is>
      </c>
      <c r="M265" s="44" t="inlineStr">
        <is>
          <t>50 responses 200. previewNumber đều = 'VV-2026-00001' (counter không tăng khi draft). Không crash, không 500</t>
        </is>
      </c>
      <c r="N265" s="44" t="inlineStr"/>
      <c r="O265" s="44" t="inlineStr"/>
      <c r="P265" s="41" t="inlineStr">
        <is>
          <t>[API] Đạt như expected. Thời gian: 0ms</t>
        </is>
      </c>
      <c r="Q265" s="44" t="inlineStr">
        <is>
          <t>Đạt</t>
        </is>
      </c>
      <c r="R265" s="41" t="inlineStr"/>
      <c r="S265" s="41" t="inlineStr"/>
      <c r="T265" s="41" t="inlineStr">
        <is>
          <t>26/05/2026 02:10</t>
        </is>
      </c>
      <c r="U265" s="41" t="inlineStr"/>
      <c r="V265" s="44" t="inlineStr"/>
      <c r="W265" s="41" t="inlineStr"/>
      <c r="X265" s="44" t="inlineStr"/>
    </row>
    <row r="266" ht="80" customHeight="1">
      <c r="A266" s="41" t="inlineStr">
        <is>
          <t>TC-268</t>
        </is>
      </c>
      <c r="B266" s="46" t="inlineStr">
        <is>
          <t>RED</t>
        </is>
      </c>
      <c r="C266" s="45" t="inlineStr">
        <is>
          <t>P1</t>
        </is>
      </c>
      <c r="D266" s="44" t="inlineStr">
        <is>
          <t>Template Update — RED</t>
        </is>
      </c>
      <c r="E266" s="44" t="inlineStr">
        <is>
          <t>RED: PUT /templates/:id xóa required segment type (segments=[]) → 400</t>
        </is>
      </c>
      <c r="F266" s="41" t="inlineStr">
        <is>
          <t>REQ-FUNC-268</t>
        </is>
      </c>
      <c r="G266" s="41" t="inlineStr">
        <is>
          <t>EP / BVA</t>
        </is>
      </c>
      <c r="H266" s="41" t="inlineStr">
        <is>
          <t>Cao</t>
        </is>
      </c>
      <c r="I266" s="44" t="inlineStr">
        <is>
          <t>Admin, template có segments</t>
        </is>
      </c>
      <c r="J266" s="44" t="inlineStr">
        <is>
          <t>1. PUT /templates/{id} {segments:[]}</t>
        </is>
      </c>
      <c r="K266" s="44" t="inlineStr">
        <is>
          <t>user.admin, template.incident.active</t>
        </is>
      </c>
      <c r="L266" s="44" t="inlineStr">
        <is>
          <t>user.admin, template.incident.active</t>
        </is>
      </c>
      <c r="M266" s="44" t="inlineStr">
        <is>
          <t>400. Validation error: segments không được rỗng khi update</t>
        </is>
      </c>
      <c r="N266" s="44" t="inlineStr"/>
      <c r="O266" s="44" t="inlineStr"/>
      <c r="P266" s="41" t="inlineStr">
        <is>
          <t>[API] Không đạt - xem HTML report</t>
        </is>
      </c>
      <c r="Q266" s="44" t="inlineStr">
        <is>
          <t>Không đạt</t>
        </is>
      </c>
      <c r="R266" s="41" t="inlineStr"/>
      <c r="S266" s="41" t="inlineStr">
        <is>
          <t>BUG-086</t>
        </is>
      </c>
      <c r="T266" s="41" t="inlineStr">
        <is>
          <t>26/05/2026 02:10</t>
        </is>
      </c>
      <c r="U266" s="41" t="inlineStr"/>
      <c r="V266" s="44" t="inlineStr"/>
      <c r="W266" s="41" t="inlineStr"/>
      <c r="X266" s="44" t="inlineStr"/>
    </row>
    <row r="267" ht="80" customHeight="1">
      <c r="A267" s="41" t="inlineStr">
        <is>
          <t>TC-269</t>
        </is>
      </c>
      <c r="B267" s="46" t="inlineStr">
        <is>
          <t>RED</t>
        </is>
      </c>
      <c r="C267" s="43" t="inlineStr">
        <is>
          <t>P0</t>
        </is>
      </c>
      <c r="D267" s="44" t="inlineStr">
        <is>
          <t>Template Validation — documentType enum RED</t>
        </is>
      </c>
      <c r="E267" s="44" t="inlineStr">
        <is>
          <t>RED: POST /templates với documentType không nằm trong 6 loại → 400</t>
        </is>
      </c>
      <c r="F267" s="41" t="inlineStr">
        <is>
          <t>REQ-FUNC-269</t>
        </is>
      </c>
      <c r="G267" s="41" t="inlineStr">
        <is>
          <t>EP / BVA</t>
        </is>
      </c>
      <c r="H267" s="41" t="inlineStr">
        <is>
          <t>Cao</t>
        </is>
      </c>
      <c r="I267" s="44" t="inlineStr">
        <is>
          <t>Admin</t>
        </is>
      </c>
      <c r="J267" s="44" t="inlineStr">
        <is>
          <t>1. POST /templates {documentType:'REPORT',...}</t>
        </is>
      </c>
      <c r="K267" s="44" t="inlineStr">
        <is>
          <t>user.admin</t>
        </is>
      </c>
      <c r="L267" s="44" t="inlineStr">
        <is>
          <t>user.admin</t>
        </is>
      </c>
      <c r="M267" s="44" t="inlineStr">
        <is>
          <t>400. documentType phải là một trong: INCIDENT, PETITION, CASE, PROPOSAL, DELEGATION, EVIDENCE</t>
        </is>
      </c>
      <c r="N267" s="44" t="inlineStr"/>
      <c r="O267" s="44" t="inlineStr"/>
      <c r="P267" s="41" t="inlineStr">
        <is>
          <t>[API] Đạt như expected. Thời gian: 0ms</t>
        </is>
      </c>
      <c r="Q267" s="44" t="inlineStr">
        <is>
          <t>Đạt</t>
        </is>
      </c>
      <c r="R267" s="41" t="inlineStr"/>
      <c r="S267" s="41" t="inlineStr">
        <is>
          <t>BUG-087</t>
        </is>
      </c>
      <c r="T267" s="41" t="inlineStr">
        <is>
          <t>26/05/2026 02:10</t>
        </is>
      </c>
      <c r="U267" s="41" t="inlineStr"/>
      <c r="V267" s="44" t="inlineStr"/>
      <c r="W267" s="41" t="inlineStr"/>
      <c r="X267" s="44" t="inlineStr"/>
    </row>
    <row r="268" ht="80" customHeight="1">
      <c r="A268" s="41" t="inlineStr">
        <is>
          <t>TC-270</t>
        </is>
      </c>
      <c r="B268" s="46" t="inlineStr">
        <is>
          <t>RED</t>
        </is>
      </c>
      <c r="C268" s="45" t="inlineStr">
        <is>
          <t>P1</t>
        </is>
      </c>
      <c r="D268" s="44" t="inlineStr">
        <is>
          <t>Template Validation — NaN RED</t>
        </is>
      </c>
      <c r="E268" s="44" t="inlineStr">
        <is>
          <t>RED: POST /templates với counterConfig.padding = NaN → 400</t>
        </is>
      </c>
      <c r="F268" s="41" t="inlineStr">
        <is>
          <t>REQ-FUNC-270</t>
        </is>
      </c>
      <c r="G268" s="41" t="inlineStr">
        <is>
          <t>EP / BVA</t>
        </is>
      </c>
      <c r="H268" s="41" t="inlineStr">
        <is>
          <t>Cao</t>
        </is>
      </c>
      <c r="I268" s="44" t="inlineStr">
        <is>
          <t>Admin</t>
        </is>
      </c>
      <c r="J268" s="44" t="inlineStr">
        <is>
          <t>1. POST /templates {counterConfig:{padding:NaN,...}}</t>
        </is>
      </c>
      <c r="K268" s="44" t="inlineStr">
        <is>
          <t>user.admin</t>
        </is>
      </c>
      <c r="L268" s="44" t="inlineStr">
        <is>
          <t>user.admin</t>
        </is>
      </c>
      <c r="M268" s="44" t="inlineStr">
        <is>
          <t>400. Validation error: padding phải là số hữu hạn</t>
        </is>
      </c>
      <c r="N268" s="44" t="inlineStr"/>
      <c r="O268" s="44" t="inlineStr"/>
      <c r="P268" s="41" t="inlineStr">
        <is>
          <t>[API] Đạt như expected. Thời gian: 0ms</t>
        </is>
      </c>
      <c r="Q268" s="44" t="inlineStr">
        <is>
          <t>Đạt</t>
        </is>
      </c>
      <c r="R268" s="41" t="inlineStr"/>
      <c r="S268" s="41" t="inlineStr">
        <is>
          <t>BUG-088</t>
        </is>
      </c>
      <c r="T268" s="41" t="inlineStr">
        <is>
          <t>26/05/2026 02:10</t>
        </is>
      </c>
      <c r="U268" s="41" t="inlineStr"/>
      <c r="V268" s="44" t="inlineStr"/>
      <c r="W268" s="41" t="inlineStr"/>
      <c r="X268" s="44" t="inlineStr"/>
    </row>
    <row r="269" ht="80" customHeight="1">
      <c r="A269" s="41" t="inlineStr">
        <is>
          <t>TC-271</t>
        </is>
      </c>
      <c r="B269" s="46" t="inlineStr">
        <is>
          <t>RED</t>
        </is>
      </c>
      <c r="C269" s="43" t="inlineStr">
        <is>
          <t>P0</t>
        </is>
      </c>
      <c r="D269" s="44" t="inlineStr">
        <is>
          <t>Draft — Inactive Template RED</t>
        </is>
      </c>
      <c r="E269" s="44" t="inlineStr">
        <is>
          <t>RED: POST /draft documentType=EVIDENCE với template inactive → 404</t>
        </is>
      </c>
      <c r="F269" s="41" t="inlineStr">
        <is>
          <t>REQ-FUNC-271</t>
        </is>
      </c>
      <c r="G269" s="41" t="inlineStr">
        <is>
          <t>EP / BVA</t>
        </is>
      </c>
      <c r="H269" s="41" t="inlineStr">
        <is>
          <t>Cao</t>
        </is>
      </c>
      <c r="I269" s="44" t="inlineStr">
        <is>
          <t>Template EVIDENCE inactive (isActive=false)</t>
        </is>
      </c>
      <c r="J269" s="44" t="inlineStr">
        <is>
          <t>1. POST /draft {documentType:'EVIDENCE'}</t>
        </is>
      </c>
      <c r="K269" s="44" t="inlineStr">
        <is>
          <t>user.officer</t>
        </is>
      </c>
      <c r="L269" s="44" t="inlineStr">
        <is>
          <t>user.officer</t>
        </is>
      </c>
      <c r="M269" s="44" t="inlineStr">
        <is>
          <t>404. No active template for EVIDENCE</t>
        </is>
      </c>
      <c r="N269" s="44" t="inlineStr"/>
      <c r="O269" s="44" t="inlineStr"/>
      <c r="P269" s="41" t="inlineStr">
        <is>
          <t>[API] Không đạt - xem HTML report</t>
        </is>
      </c>
      <c r="Q269" s="44" t="inlineStr">
        <is>
          <t>Không đạt</t>
        </is>
      </c>
      <c r="R269" s="41" t="inlineStr"/>
      <c r="S269" s="41" t="inlineStr">
        <is>
          <t>BUG-089</t>
        </is>
      </c>
      <c r="T269" s="41" t="inlineStr">
        <is>
          <t>26/05/2026 02:10</t>
        </is>
      </c>
      <c r="U269" s="41" t="inlineStr"/>
      <c r="V269" s="44" t="inlineStr"/>
      <c r="W269" s="41" t="inlineStr"/>
      <c r="X269" s="44" t="inlineStr"/>
    </row>
    <row r="270" ht="80" customHeight="1">
      <c r="A270" s="41" t="inlineStr">
        <is>
          <t>TC-272</t>
        </is>
      </c>
      <c r="B270" s="46" t="inlineStr">
        <is>
          <t>RED</t>
        </is>
      </c>
      <c r="C270" s="43" t="inlineStr">
        <is>
          <t>P0</t>
        </is>
      </c>
      <c r="D270" s="44" t="inlineStr">
        <is>
          <t>Counter Cold Start RED</t>
        </is>
      </c>
      <c r="E270" s="44" t="inlineStr">
        <is>
          <t>RED: POST /commit với documentType=DELEGATION không có counter row → cold start auto-insert</t>
        </is>
      </c>
      <c r="F270" s="41" t="inlineStr">
        <is>
          <t>REQ-FUNC-272</t>
        </is>
      </c>
      <c r="G270" s="41" t="inlineStr">
        <is>
          <t>EP / BVA</t>
        </is>
      </c>
      <c r="H270" s="41" t="inlineStr">
        <is>
          <t>Cao</t>
        </is>
      </c>
      <c r="I270" s="44" t="inlineStr">
        <is>
          <t>Template DELEGATION active, counter row bị xóa</t>
        </is>
      </c>
      <c r="J270" s="44" t="inlineStr">
        <is>
          <t>1. DELETE counter row
2. POST /commit {documentType:'DELEGATION'}</t>
        </is>
      </c>
      <c r="K270" s="44" t="inlineStr">
        <is>
          <t>template.delegation.active, counter.delegation.value_0, user.officer</t>
        </is>
      </c>
      <c r="L270" s="44" t="inlineStr">
        <is>
          <t>template.delegation.active, counter.delegation.value_0, user.officer</t>
        </is>
      </c>
      <c r="M270" s="44" t="inlineStr">
        <is>
          <t>200. Counter tự tạo với currentValue=1. Number='UT/2026/0001'. Không lỗi 500</t>
        </is>
      </c>
      <c r="N270" s="44" t="inlineStr"/>
      <c r="O270" s="44" t="inlineStr"/>
      <c r="P270" s="41" t="inlineStr">
        <is>
          <t>[API] Không đạt - xem HTML report</t>
        </is>
      </c>
      <c r="Q270" s="44" t="inlineStr">
        <is>
          <t>Không đạt</t>
        </is>
      </c>
      <c r="R270" s="41" t="inlineStr"/>
      <c r="S270" s="41" t="inlineStr">
        <is>
          <t>BUG-090</t>
        </is>
      </c>
      <c r="T270" s="41" t="inlineStr">
        <is>
          <t>26/05/2026 02:10</t>
        </is>
      </c>
      <c r="U270" s="41" t="inlineStr"/>
      <c r="V270" s="44" t="inlineStr"/>
      <c r="W270" s="41" t="inlineStr"/>
      <c r="X270" s="44" t="inlineStr"/>
    </row>
    <row r="271" ht="80" customHeight="1">
      <c r="A271" s="41" t="inlineStr">
        <is>
          <t>TC-273</t>
        </is>
      </c>
      <c r="B271" s="46" t="inlineStr">
        <is>
          <t>RED</t>
        </is>
      </c>
      <c r="C271" s="45" t="inlineStr">
        <is>
          <t>P1</t>
        </is>
      </c>
      <c r="D271" s="44" t="inlineStr">
        <is>
          <t>Template Validation — RED</t>
        </is>
      </c>
      <c r="E271" s="44" t="inlineStr">
        <is>
          <t>RED: POST /templates với số counterConfig.maxValue &lt; 1 → 400</t>
        </is>
      </c>
      <c r="F271" s="41" t="inlineStr">
        <is>
          <t>REQ-FUNC-273</t>
        </is>
      </c>
      <c r="G271" s="41" t="inlineStr">
        <is>
          <t>EP / BVA</t>
        </is>
      </c>
      <c r="H271" s="41" t="inlineStr">
        <is>
          <t>Cao</t>
        </is>
      </c>
      <c r="I271" s="44" t="inlineStr">
        <is>
          <t>Admin</t>
        </is>
      </c>
      <c r="J271" s="44" t="inlineStr">
        <is>
          <t>1. POST /templates {counterConfig:{minValue:0,maxValue:0,...}}</t>
        </is>
      </c>
      <c r="K271" s="44" t="inlineStr">
        <is>
          <t>user.admin</t>
        </is>
      </c>
      <c r="L271" s="44" t="inlineStr">
        <is>
          <t>user.admin</t>
        </is>
      </c>
      <c r="M271" s="44" t="inlineStr">
        <is>
          <t>400. maxValue phải &gt;= 1</t>
        </is>
      </c>
      <c r="N271" s="44" t="inlineStr"/>
      <c r="O271" s="44" t="inlineStr"/>
      <c r="P271" s="41" t="inlineStr">
        <is>
          <t>[API] Đạt như expected. Thời gian: 0ms</t>
        </is>
      </c>
      <c r="Q271" s="44" t="inlineStr">
        <is>
          <t>Đạt</t>
        </is>
      </c>
      <c r="R271" s="41" t="inlineStr"/>
      <c r="S271" s="41" t="inlineStr">
        <is>
          <t>BUG-091</t>
        </is>
      </c>
      <c r="T271" s="41" t="inlineStr">
        <is>
          <t>26/05/2026 02:10</t>
        </is>
      </c>
      <c r="U271" s="41" t="inlineStr"/>
      <c r="V271" s="44" t="inlineStr"/>
      <c r="W271" s="41" t="inlineStr"/>
      <c r="X271" s="44" t="inlineStr"/>
    </row>
    <row r="272" ht="80" customHeight="1">
      <c r="A272" s="41" t="inlineStr">
        <is>
          <t>TC-274</t>
        </is>
      </c>
      <c r="B272" s="46" t="inlineStr">
        <is>
          <t>RED</t>
        </is>
      </c>
      <c r="C272" s="45" t="inlineStr">
        <is>
          <t>P1</t>
        </is>
      </c>
      <c r="D272" s="44" t="inlineStr">
        <is>
          <t>Log Update — Immutable RED</t>
        </is>
      </c>
      <c r="E272" s="44" t="inlineStr">
        <is>
          <t>RED: PATCH /logs/:logId isDraft=true (không được phép override) → 400</t>
        </is>
      </c>
      <c r="F272" s="41" t="inlineStr">
        <is>
          <t>REQ-FUNC-274</t>
        </is>
      </c>
      <c r="G272" s="41" t="inlineStr">
        <is>
          <t>EP / BVA</t>
        </is>
      </c>
      <c r="H272" s="41" t="inlineStr">
        <is>
          <t>Cao</t>
        </is>
      </c>
      <c r="I272" s="44" t="inlineStr">
        <is>
          <t>Officer, log isDraft=false</t>
        </is>
      </c>
      <c r="J272" s="44" t="inlineStr">
        <is>
          <t>1. PATCH /logs/{logId} {isDraft:true}</t>
        </is>
      </c>
      <c r="K272" s="44" t="inlineStr">
        <is>
          <t>user.officer, log.officer1.no_doc_id</t>
        </is>
      </c>
      <c r="L272" s="44" t="inlineStr">
        <is>
          <t>user.officer, log.officer1.no_doc_id</t>
        </is>
      </c>
      <c r="M272" s="44" t="inlineStr">
        <is>
          <t>400 (isDraft immutable) hoặc isDraft bị ignore. Log.isDraft vẫn=false sau PATCH</t>
        </is>
      </c>
      <c r="N272" s="44" t="inlineStr"/>
      <c r="O272" s="44" t="inlineStr"/>
      <c r="P272" s="41" t="inlineStr">
        <is>
          <t>[API] Không đạt - xem HTML report</t>
        </is>
      </c>
      <c r="Q272" s="44" t="inlineStr">
        <is>
          <t>Không đạt</t>
        </is>
      </c>
      <c r="R272" s="41" t="inlineStr"/>
      <c r="S272" s="41" t="inlineStr">
        <is>
          <t>BUG-092</t>
        </is>
      </c>
      <c r="T272" s="41" t="inlineStr">
        <is>
          <t>26/05/2026 02:10</t>
        </is>
      </c>
      <c r="U272" s="41" t="inlineStr"/>
      <c r="V272" s="44" t="inlineStr"/>
      <c r="W272" s="41" t="inlineStr"/>
      <c r="X272" s="44" t="inlineStr"/>
    </row>
    <row r="273" ht="80" customHeight="1">
      <c r="A273" s="41" t="inlineStr">
        <is>
          <t>TC-275</t>
        </is>
      </c>
      <c r="B273" s="46" t="inlineStr">
        <is>
          <t>RED</t>
        </is>
      </c>
      <c r="C273" s="43" t="inlineStr">
        <is>
          <t>P0</t>
        </is>
      </c>
      <c r="D273" s="44" t="inlineStr">
        <is>
          <t>Commit — No Template RED</t>
        </is>
      </c>
      <c r="E273" s="44" t="inlineStr">
        <is>
          <t>RED: POST /commit với documentType=PROPOSAL không có active template → 404</t>
        </is>
      </c>
      <c r="F273" s="41" t="inlineStr">
        <is>
          <t>REQ-FUNC-275</t>
        </is>
      </c>
      <c r="G273" s="41" t="inlineStr">
        <is>
          <t>EP / BVA</t>
        </is>
      </c>
      <c r="H273" s="41" t="inlineStr">
        <is>
          <t>Cao</t>
        </is>
      </c>
      <c r="I273" s="44" t="inlineStr">
        <is>
          <t>Xóa hoặc deactivate template PROPOSAL</t>
        </is>
      </c>
      <c r="J273" s="44" t="inlineStr">
        <is>
          <t>1. POST /commit {documentType:'PROPOSAL'}</t>
        </is>
      </c>
      <c r="K273" s="44" t="inlineStr">
        <is>
          <t>user.officer</t>
        </is>
      </c>
      <c r="L273" s="44" t="inlineStr">
        <is>
          <t>user.officer</t>
        </is>
      </c>
      <c r="M273" s="44" t="inlineStr">
        <is>
          <t>404. message: 'No active template for documentType: PROPOSAL'</t>
        </is>
      </c>
      <c r="N273" s="44" t="inlineStr"/>
      <c r="O273" s="44" t="inlineStr"/>
      <c r="P273" s="41" t="inlineStr">
        <is>
          <t>[API] Không đạt - xem HTML report</t>
        </is>
      </c>
      <c r="Q273" s="44" t="inlineStr">
        <is>
          <t>Không đạt</t>
        </is>
      </c>
      <c r="R273" s="41" t="inlineStr"/>
      <c r="S273" s="41" t="inlineStr">
        <is>
          <t>BUG-093</t>
        </is>
      </c>
      <c r="T273" s="41" t="inlineStr">
        <is>
          <t>26/05/2026 02:10</t>
        </is>
      </c>
      <c r="U273" s="41" t="inlineStr"/>
      <c r="V273" s="44" t="inlineStr"/>
      <c r="W273" s="41" t="inlineStr"/>
      <c r="X273" s="44" t="inlineStr"/>
    </row>
    <row r="274" ht="80" customHeight="1">
      <c r="A274" s="41" t="inlineStr">
        <is>
          <t>TC-276</t>
        </is>
      </c>
      <c r="B274" s="50" t="inlineStr">
        <is>
          <t>SECURITY</t>
        </is>
      </c>
      <c r="C274" s="45" t="inlineStr">
        <is>
          <t>P1</t>
        </is>
      </c>
      <c r="D274" s="44" t="inlineStr">
        <is>
          <t>Security — Stats IDOR</t>
        </is>
      </c>
      <c r="E274" s="44" t="inlineStr">
        <is>
          <t>SECURITY: Template IDOR - officer đọc stats template của admin → check access</t>
        </is>
      </c>
      <c r="F274" s="41" t="inlineStr">
        <is>
          <t>REQ-SEC-276</t>
        </is>
      </c>
      <c r="G274" s="41" t="inlineStr">
        <is>
          <t>OWASP Top 10</t>
        </is>
      </c>
      <c r="H274" s="41" t="inlineStr">
        <is>
          <t>Cao</t>
        </is>
      </c>
      <c r="I274" s="44" t="inlineStr">
        <is>
          <t>Template tồn tại, đăng nhập officer</t>
        </is>
      </c>
      <c r="J274" s="44" t="inlineStr">
        <is>
          <t>1. GET /templates/{templateId}/stats với token officer</t>
        </is>
      </c>
      <c r="K274" s="44" t="inlineStr">
        <is>
          <t>user.officer, template.incident.active</t>
        </is>
      </c>
      <c r="L274" s="44" t="inlineStr">
        <is>
          <t>user.officer, template.incident.active</t>
        </is>
      </c>
      <c r="M274" s="44" t="inlineStr">
        <is>
          <t>200 (stats endpoint có thể public cho officers) hoặc 403. Behavior phải nhất quán và documented</t>
        </is>
      </c>
      <c r="N274" s="44" t="inlineStr"/>
      <c r="O274" s="44" t="inlineStr"/>
      <c r="P274" s="41" t="inlineStr">
        <is>
          <t>[API] Đạt như expected. Thời gian: 0ms</t>
        </is>
      </c>
      <c r="Q274" s="44" t="inlineStr">
        <is>
          <t>Đạt</t>
        </is>
      </c>
      <c r="R274" s="41" t="inlineStr"/>
      <c r="S274" s="41" t="inlineStr"/>
      <c r="T274" s="41" t="inlineStr">
        <is>
          <t>26/05/2026 02:10</t>
        </is>
      </c>
      <c r="U274" s="41" t="inlineStr"/>
      <c r="V274" s="44" t="inlineStr"/>
      <c r="W274" s="41" t="inlineStr"/>
      <c r="X274" s="44" t="inlineStr"/>
    </row>
    <row r="275" ht="80" customHeight="1">
      <c r="A275" s="41" t="inlineStr">
        <is>
          <t>TC-277</t>
        </is>
      </c>
      <c r="B275" s="50" t="inlineStr">
        <is>
          <t>SECURITY</t>
        </is>
      </c>
      <c r="C275" s="45" t="inlineStr">
        <is>
          <t>P1</t>
        </is>
      </c>
      <c r="D275" s="44" t="inlineStr">
        <is>
          <t>Security — Prototype Pollution</t>
        </is>
      </c>
      <c r="E275" s="44" t="inlineStr">
        <is>
          <t>SECURITY: Prototype pollution trong JSON body → không affect server state</t>
        </is>
      </c>
      <c r="F275" s="41" t="inlineStr">
        <is>
          <t>REQ-SEC-277</t>
        </is>
      </c>
      <c r="G275" s="41" t="inlineStr">
        <is>
          <t>OWASP Top 10</t>
        </is>
      </c>
      <c r="H275" s="41" t="inlineStr">
        <is>
          <t>Cao</t>
        </is>
      </c>
      <c r="I275" s="44" t="inlineStr">
        <is>
          <t>Admin</t>
        </is>
      </c>
      <c r="J275" s="44" t="inlineStr">
        <is>
          <t>1. POST /templates {"__proto__":{"admin":true}, "constructor":{"prototype":{"isAdmin":true}}, ...valid body}</t>
        </is>
      </c>
      <c r="K275" s="44" t="inlineStr">
        <is>
          <t>user.admin</t>
        </is>
      </c>
      <c r="L275" s="44" t="inlineStr">
        <is>
          <t>user.admin</t>
        </is>
      </c>
      <c r="M275" s="44" t="inlineStr">
        <is>
          <t>201. Server không bị affect bởi prototype pollution. Không thể override server-side isAdmin state</t>
        </is>
      </c>
      <c r="N275" s="44" t="inlineStr"/>
      <c r="O275" s="44" t="inlineStr"/>
      <c r="P275" s="41" t="inlineStr">
        <is>
          <t>[API] Không đạt - xem HTML report</t>
        </is>
      </c>
      <c r="Q275" s="44" t="inlineStr">
        <is>
          <t>Không đạt</t>
        </is>
      </c>
      <c r="R275" s="41" t="inlineStr"/>
      <c r="S275" s="41" t="inlineStr">
        <is>
          <t>BUG-094</t>
        </is>
      </c>
      <c r="T275" s="41" t="inlineStr">
        <is>
          <t>26/05/2026 02:10</t>
        </is>
      </c>
      <c r="U275" s="41" t="inlineStr"/>
      <c r="V275" s="44" t="inlineStr"/>
      <c r="W275" s="41" t="inlineStr"/>
      <c r="X275" s="44" t="inlineStr"/>
    </row>
    <row r="276" ht="80" customHeight="1">
      <c r="A276" s="41" t="inlineStr">
        <is>
          <t>TC-278</t>
        </is>
      </c>
      <c r="B276" s="50" t="inlineStr">
        <is>
          <t>SECURITY</t>
        </is>
      </c>
      <c r="C276" s="48" t="inlineStr">
        <is>
          <t>P2</t>
        </is>
      </c>
      <c r="D276" s="44" t="inlineStr">
        <is>
          <t>Security — Content Type</t>
        </is>
      </c>
      <c r="E276" s="44" t="inlineStr">
        <is>
          <t>SECURITY: Content-Type spoofing — POST /templates với Content-Type: text/plain nhưng JSON body</t>
        </is>
      </c>
      <c r="F276" s="41" t="inlineStr">
        <is>
          <t>REQ-SEC-278</t>
        </is>
      </c>
      <c r="G276" s="41" t="inlineStr">
        <is>
          <t>OWASP Top 10</t>
        </is>
      </c>
      <c r="H276" s="41" t="inlineStr">
        <is>
          <t>TB</t>
        </is>
      </c>
      <c r="I276" s="44" t="inlineStr">
        <is>
          <t>Admin</t>
        </is>
      </c>
      <c r="J276" s="44" t="inlineStr">
        <is>
          <t>1. POST /templates với header Content-Type: text/plain nhưng body là valid JSON string</t>
        </is>
      </c>
      <c r="K276" s="44" t="inlineStr">
        <is>
          <t>user.admin</t>
        </is>
      </c>
      <c r="L276" s="44" t="inlineStr">
        <is>
          <t>user.admin</t>
        </is>
      </c>
      <c r="M276" s="44" t="inlineStr">
        <is>
          <t>400 hoặc 415. Server không parse untyped body as JSON. Phải enforce Content-Type: application/json</t>
        </is>
      </c>
      <c r="N276" s="44" t="inlineStr"/>
      <c r="O276" s="44" t="inlineStr"/>
      <c r="P276" s="41" t="inlineStr">
        <is>
          <t>[API] Đạt như expected. Thời gian: 0ms</t>
        </is>
      </c>
      <c r="Q276" s="44" t="inlineStr">
        <is>
          <t>Đạt</t>
        </is>
      </c>
      <c r="R276" s="41" t="inlineStr"/>
      <c r="S276" s="41" t="inlineStr"/>
      <c r="T276" s="41" t="inlineStr">
        <is>
          <t>26/05/2026 02:10</t>
        </is>
      </c>
      <c r="U276" s="41" t="inlineStr"/>
      <c r="V276" s="44" t="inlineStr"/>
      <c r="W276" s="41" t="inlineStr"/>
      <c r="X276" s="44" t="inlineStr"/>
    </row>
    <row r="277" ht="80" customHeight="1">
      <c r="A277" s="41" t="inlineStr">
        <is>
          <t>TC-279</t>
        </is>
      </c>
      <c r="B277" s="50" t="inlineStr">
        <is>
          <t>SECURITY</t>
        </is>
      </c>
      <c r="C277" s="45" t="inlineStr">
        <is>
          <t>P1</t>
        </is>
      </c>
      <c r="D277" s="44" t="inlineStr">
        <is>
          <t>Security — Token Role</t>
        </is>
      </c>
      <c r="E277" s="44" t="inlineStr">
        <is>
          <t>SECURITY: Admin token dùng cho endpoint của officer — không downgrade quyền</t>
        </is>
      </c>
      <c r="F277" s="41" t="inlineStr">
        <is>
          <t>REQ-SEC-279</t>
        </is>
      </c>
      <c r="G277" s="41" t="inlineStr">
        <is>
          <t>OWASP Top 10</t>
        </is>
      </c>
      <c r="H277" s="41" t="inlineStr">
        <is>
          <t>Cao</t>
        </is>
      </c>
      <c r="I277" s="44" t="inlineStr">
        <is>
          <t>Đăng nhập admin</t>
        </is>
      </c>
      <c r="J277" s="44" t="inlineStr">
        <is>
          <t>1. Dùng admin token gọi POST /draft {INCIDENT}</t>
        </is>
      </c>
      <c r="K277" s="44" t="inlineStr">
        <is>
          <t>user.admin, template.incident.active</t>
        </is>
      </c>
      <c r="L277" s="44" t="inlineStr">
        <is>
          <t>user.admin, template.incident.active</t>
        </is>
      </c>
      <c r="M277" s="44" t="inlineStr">
        <is>
          <t>200. Admin cũng có thể draft. Token không bị 'downgrade' sang officer role khi gọi officer endpoint</t>
        </is>
      </c>
      <c r="N277" s="44" t="inlineStr"/>
      <c r="O277" s="44" t="inlineStr"/>
      <c r="P277" s="41" t="inlineStr">
        <is>
          <t>[API] Đạt như expected. Thời gian: 0ms</t>
        </is>
      </c>
      <c r="Q277" s="44" t="inlineStr">
        <is>
          <t>Đạt</t>
        </is>
      </c>
      <c r="R277" s="41" t="inlineStr"/>
      <c r="S277" s="41" t="inlineStr"/>
      <c r="T277" s="41" t="inlineStr">
        <is>
          <t>26/05/2026 02:10</t>
        </is>
      </c>
      <c r="U277" s="41" t="inlineStr"/>
      <c r="V277" s="44" t="inlineStr"/>
      <c r="W277" s="41" t="inlineStr"/>
      <c r="X277" s="44" t="inlineStr"/>
    </row>
    <row r="278" ht="80" customHeight="1">
      <c r="A278" s="41" t="inlineStr">
        <is>
          <t>TC-280</t>
        </is>
      </c>
      <c r="B278" s="50" t="inlineStr">
        <is>
          <t>SECURITY</t>
        </is>
      </c>
      <c r="C278" s="45" t="inlineStr">
        <is>
          <t>P1</t>
        </is>
      </c>
      <c r="D278" s="44" t="inlineStr">
        <is>
          <t>Security — Info Leak</t>
        </is>
      </c>
      <c r="E278" s="44" t="inlineStr">
        <is>
          <t>SECURITY: Enumeration attack — /templates 403 vs 404 không leak info</t>
        </is>
      </c>
      <c r="F278" s="41" t="inlineStr">
        <is>
          <t>REQ-SEC-280</t>
        </is>
      </c>
      <c r="G278" s="41" t="inlineStr">
        <is>
          <t>OWASP Top 10</t>
        </is>
      </c>
      <c r="H278" s="41" t="inlineStr">
        <is>
          <t>Cao</t>
        </is>
      </c>
      <c r="I278" s="44" t="inlineStr">
        <is>
          <t>Đăng nhập officer</t>
        </is>
      </c>
      <c r="J278" s="44" t="inlineStr">
        <is>
          <t>1. GET /templates/{id1} (existing template)
2. GET /templates/{id2} (non-existing)
3. So sánh response code</t>
        </is>
      </c>
      <c r="K278" s="44" t="inlineStr">
        <is>
          <t>user.officer</t>
        </is>
      </c>
      <c r="L278" s="44" t="inlineStr">
        <is>
          <t>user.officer</t>
        </is>
      </c>
      <c r="M278" s="44" t="inlineStr">
        <is>
          <t>Nếu officer không có quyền xem: cả 2 đều 403 (không phân biệt existing vs non-existing). Không leak template existence</t>
        </is>
      </c>
      <c r="N278" s="44" t="inlineStr"/>
      <c r="O278" s="44" t="inlineStr"/>
      <c r="P278" s="41" t="inlineStr">
        <is>
          <t>[API] Không đạt - xem HTML report</t>
        </is>
      </c>
      <c r="Q278" s="44" t="inlineStr">
        <is>
          <t>Không đạt</t>
        </is>
      </c>
      <c r="R278" s="41" t="inlineStr"/>
      <c r="S278" s="41" t="inlineStr">
        <is>
          <t>BUG-095</t>
        </is>
      </c>
      <c r="T278" s="41" t="inlineStr">
        <is>
          <t>26/05/2026 02:10</t>
        </is>
      </c>
      <c r="U278" s="41" t="inlineStr"/>
      <c r="V278" s="44" t="inlineStr"/>
      <c r="W278" s="41" t="inlineStr"/>
      <c r="X278" s="44" t="inlineStr"/>
    </row>
    <row r="279" ht="80" customHeight="1">
      <c r="A279" s="41" t="inlineStr">
        <is>
          <t>TC-281</t>
        </is>
      </c>
      <c r="B279" s="56" t="inlineStr">
        <is>
          <t>A11Y</t>
        </is>
      </c>
      <c r="C279" s="45" t="inlineStr">
        <is>
          <t>P1</t>
        </is>
      </c>
      <c r="D279" s="44" t="inlineStr">
        <is>
          <t>A11Y — Destructive Action</t>
        </is>
      </c>
      <c r="E279" s="44" t="inlineStr">
        <is>
          <t>A11Y: Nút 'Reset' counter có confirmation rõ ràng trong dialog trước khi execute</t>
        </is>
      </c>
      <c r="F279" s="41" t="inlineStr">
        <is>
          <t>REQ-A11Y-281</t>
        </is>
      </c>
      <c r="G279" s="41" t="inlineStr">
        <is>
          <t>WCAG 2.1 AA</t>
        </is>
      </c>
      <c r="H279" s="41" t="inlineStr">
        <is>
          <t>Cao</t>
        </is>
      </c>
      <c r="I279" s="44" t="inlineStr">
        <is>
          <t>Admin, trang settings</t>
        </is>
      </c>
      <c r="J279" s="44" t="inlineStr">
        <is>
          <t>1. Click nút Reset
2. Quan sát confirm dialog
3. Screen reader đọc dialog</t>
        </is>
      </c>
      <c r="K279" s="44" t="inlineStr">
        <is>
          <t>user.admin, template.incident.active</t>
        </is>
      </c>
      <c r="L279" s="44" t="inlineStr">
        <is>
          <t>user.admin, template.incident.active</t>
        </is>
      </c>
      <c r="M279" s="44" t="inlineStr">
        <is>
          <t>Dialog role='alertdialog'. Tiêu đề mô tả rõ hành động irreversible. 2 buttons: 'Hủy' và 'Reset'. Screen reader focus move vào dialog tự động</t>
        </is>
      </c>
      <c r="N279" s="44" t="inlineStr"/>
      <c r="O279" s="44" t="inlineStr"/>
      <c r="P279" s="41" t="inlineStr">
        <is>
          <t>High</t>
        </is>
      </c>
      <c r="Q279" s="44" t="inlineStr"/>
      <c r="R279" s="41" t="inlineStr"/>
      <c r="S279" s="41" t="inlineStr"/>
      <c r="T279" s="41" t="inlineStr"/>
      <c r="U279" s="41" t="inlineStr"/>
      <c r="V279" s="44" t="inlineStr"/>
      <c r="W279" s="41" t="inlineStr"/>
      <c r="X279" s="44" t="inlineStr"/>
    </row>
    <row r="280" ht="80" customHeight="1">
      <c r="A280" s="41" t="inlineStr">
        <is>
          <t>TC-282</t>
        </is>
      </c>
      <c r="B280" s="56" t="inlineStr">
        <is>
          <t>A11Y</t>
        </is>
      </c>
      <c r="C280" s="48" t="inlineStr">
        <is>
          <t>P2</t>
        </is>
      </c>
      <c r="D280" s="44" t="inlineStr">
        <is>
          <t>A11Y — Focus Visible</t>
        </is>
      </c>
      <c r="E280" s="44" t="inlineStr">
        <is>
          <t>A11Y: DocNumberPreviewField trong OVERRIDE mode có visible focus ring khi Tab</t>
        </is>
      </c>
      <c r="F280" s="41" t="inlineStr">
        <is>
          <t>REQ-A11Y-282</t>
        </is>
      </c>
      <c r="G280" s="41" t="inlineStr">
        <is>
          <t>WCAG 2.1 AA</t>
        </is>
      </c>
      <c r="H280" s="41" t="inlineStr">
        <is>
          <t>TB</t>
        </is>
      </c>
      <c r="I280" s="44" t="inlineStr">
        <is>
          <t>Form vật chứng, mode đã unlock</t>
        </is>
      </c>
      <c r="J280" s="44" t="inlineStr">
        <is>
          <t>1. Unlock OVERRIDE mode
2. Tab đến input
3. Quan sát focus ring</t>
        </is>
      </c>
      <c r="K280" s="44" t="inlineStr">
        <is>
          <t>template.evidence.override, user.officer</t>
        </is>
      </c>
      <c r="L280" s="44" t="inlineStr">
        <is>
          <t>template.evidence.override, user.officer</t>
        </is>
      </c>
      <c r="M280" s="44" t="inlineStr">
        <is>
          <t>Input có visible focus ring (outline không bị hidden). CSS focus-visible áp dụng. WCAG 2.4.7 Focus Visible</t>
        </is>
      </c>
      <c r="N280" s="44" t="inlineStr"/>
      <c r="O280" s="44" t="inlineStr"/>
      <c r="P280" s="41" t="inlineStr">
        <is>
          <t>Medium</t>
        </is>
      </c>
      <c r="Q280" s="44" t="inlineStr"/>
      <c r="R280" s="41" t="inlineStr"/>
      <c r="S280" s="41" t="inlineStr"/>
      <c r="T280" s="41" t="inlineStr"/>
      <c r="U280" s="41" t="inlineStr"/>
      <c r="V280" s="44" t="inlineStr"/>
      <c r="W280" s="41" t="inlineStr"/>
      <c r="X280" s="44" t="inlineStr"/>
    </row>
    <row r="281" ht="80" customHeight="1">
      <c r="A281" s="41" t="inlineStr">
        <is>
          <t>TC-283</t>
        </is>
      </c>
      <c r="B281" s="57" t="inlineStr">
        <is>
          <t>COMPAT</t>
        </is>
      </c>
      <c r="C281" s="48" t="inlineStr">
        <is>
          <t>P2</t>
        </is>
      </c>
      <c r="D281" s="44" t="inlineStr">
        <is>
          <t>COMPAT — Brave</t>
        </is>
      </c>
      <c r="E281" s="44" t="inlineStr">
        <is>
          <t>COMPAT: Brave browser — không bị block bởi ad-blocker (không request external resources)</t>
        </is>
      </c>
      <c r="F281" s="41" t="inlineStr">
        <is>
          <t>REQ-COMPAT-283</t>
        </is>
      </c>
      <c r="G281" s="41" t="inlineStr">
        <is>
          <t>Browser / Device</t>
        </is>
      </c>
      <c r="H281" s="41" t="inlineStr">
        <is>
          <t>TB</t>
        </is>
      </c>
      <c r="I281" s="44" t="inlineStr">
        <is>
          <t>Brave browser shields ON, admin</t>
        </is>
      </c>
      <c r="J281" s="44" t="inlineStr">
        <is>
          <t>1. Vào /settings/document-numbers trên Brave
2. Quan sát network panel</t>
        </is>
      </c>
      <c r="K281" s="44" t="inlineStr">
        <is>
          <t>user.admin, templates.all_seeded</t>
        </is>
      </c>
      <c r="L281" s="44" t="inlineStr">
        <is>
          <t>user.admin, templates.all_seeded</t>
        </is>
      </c>
      <c r="M281" s="44" t="inlineStr">
        <is>
          <t>Trang load đầy đủ. Không request external fonts/scripts bị Brave block. Không có CORS errors</t>
        </is>
      </c>
      <c r="N281" s="44" t="inlineStr"/>
      <c r="O281" s="44" t="inlineStr"/>
      <c r="P281" s="41" t="inlineStr">
        <is>
          <t>Medium</t>
        </is>
      </c>
      <c r="Q281" s="44" t="inlineStr"/>
      <c r="R281" s="41" t="inlineStr"/>
      <c r="S281" s="41" t="inlineStr"/>
      <c r="T281" s="41" t="inlineStr"/>
      <c r="U281" s="41" t="inlineStr"/>
      <c r="V281" s="44" t="inlineStr"/>
      <c r="W281" s="41" t="inlineStr"/>
      <c r="X281" s="44" t="inlineStr"/>
    </row>
    <row r="282" ht="80" customHeight="1">
      <c r="A282" s="41" t="inlineStr">
        <is>
          <t>TC-284</t>
        </is>
      </c>
      <c r="B282" s="57" t="inlineStr">
        <is>
          <t>COMPAT</t>
        </is>
      </c>
      <c r="C282" s="48" t="inlineStr">
        <is>
          <t>P2</t>
        </is>
      </c>
      <c r="D282" s="44" t="inlineStr">
        <is>
          <t>COMPAT — NVDA</t>
        </is>
      </c>
      <c r="E282" s="44" t="inlineStr">
        <is>
          <t>COMPAT: Screen reader Windows NVDA 2024 — form labels đọc đúng</t>
        </is>
      </c>
      <c r="F282" s="41" t="inlineStr">
        <is>
          <t>REQ-COMPAT-284</t>
        </is>
      </c>
      <c r="G282" s="41" t="inlineStr">
        <is>
          <t>Browser / Device</t>
        </is>
      </c>
      <c r="H282" s="41" t="inlineStr">
        <is>
          <t>TB</t>
        </is>
      </c>
      <c r="I282" s="44" t="inlineStr">
        <is>
          <t>Windows + NVDA + Chrome, admin, modal mở</t>
        </is>
      </c>
      <c r="J282" s="44" t="inlineStr">
        <is>
          <t>1. Mở modal 'Thêm mới' với NVDA
2. Tab qua các fields
3. Nghe NVDA đọc</t>
        </is>
      </c>
      <c r="K282" s="44" t="inlineStr">
        <is>
          <t>user.admin</t>
        </is>
      </c>
      <c r="L282" s="44" t="inlineStr">
        <is>
          <t>user.admin</t>
        </is>
      </c>
      <c r="M282" s="44" t="inlineStr">
        <is>
          <t>NVDA đọc label đúng cho từng field: 'Tên template', 'Loại chứng từ', 'Separator', v.v. Không đọc 'unlabeled'</t>
        </is>
      </c>
      <c r="N282" s="44" t="inlineStr"/>
      <c r="O282" s="44" t="inlineStr"/>
      <c r="P282" s="41" t="inlineStr">
        <is>
          <t>Medium</t>
        </is>
      </c>
      <c r="Q282" s="44" t="inlineStr"/>
      <c r="R282" s="41" t="inlineStr"/>
      <c r="S282" s="41" t="inlineStr"/>
      <c r="T282" s="41" t="inlineStr"/>
      <c r="U282" s="41" t="inlineStr"/>
      <c r="V282" s="44" t="inlineStr"/>
      <c r="W282" s="41" t="inlineStr"/>
      <c r="X282" s="44" t="inlineStr"/>
    </row>
    <row r="283" ht="80" customHeight="1">
      <c r="A283" s="41" t="inlineStr">
        <is>
          <t>TC-285</t>
        </is>
      </c>
      <c r="B283" s="57" t="inlineStr">
        <is>
          <t>COMPAT</t>
        </is>
      </c>
      <c r="C283" s="48" t="inlineStr">
        <is>
          <t>P2</t>
        </is>
      </c>
      <c r="D283" s="44" t="inlineStr">
        <is>
          <t>COMPAT — Edge Accessibility</t>
        </is>
      </c>
      <c r="E283" s="44" t="inlineStr">
        <is>
          <t>COMPAT: Edge DevTools accessibility check — không có critical violations</t>
        </is>
      </c>
      <c r="F283" s="41" t="inlineStr">
        <is>
          <t>REQ-COMPAT-285</t>
        </is>
      </c>
      <c r="G283" s="41" t="inlineStr">
        <is>
          <t>Browser / Device</t>
        </is>
      </c>
      <c r="H283" s="41" t="inlineStr">
        <is>
          <t>TB</t>
        </is>
      </c>
      <c r="I283" s="44" t="inlineStr">
        <is>
          <t>Edge với built-in accessibility checker, trang settings</t>
        </is>
      </c>
      <c r="J283" s="44" t="inlineStr">
        <is>
          <t>1. Mở Edge DevTools → Accessibility
2. Run accessibility check trên /settings/document-numbers</t>
        </is>
      </c>
      <c r="K283" s="44" t="inlineStr">
        <is>
          <t>user.admin, templates.all_seeded</t>
        </is>
      </c>
      <c r="L283" s="44" t="inlineStr">
        <is>
          <t>user.admin, templates.all_seeded</t>
        </is>
      </c>
      <c r="M283" s="44" t="inlineStr">
        <is>
          <t>Không có critical/serious violations theo axe-core rules. Medium/minor có thể accept với justification</t>
        </is>
      </c>
      <c r="N283" s="44" t="inlineStr"/>
      <c r="O283" s="44" t="inlineStr"/>
      <c r="P283" s="41" t="inlineStr">
        <is>
          <t>Medium</t>
        </is>
      </c>
      <c r="Q283" s="44" t="inlineStr"/>
      <c r="R283" s="41" t="inlineStr"/>
      <c r="S283" s="41" t="inlineStr"/>
      <c r="T283" s="41" t="inlineStr"/>
      <c r="U283" s="41" t="inlineStr"/>
      <c r="V283" s="44" t="inlineStr"/>
      <c r="W283" s="41" t="inlineStr"/>
      <c r="X283" s="44" t="inlineStr"/>
    </row>
    <row r="284" ht="80" customHeight="1">
      <c r="A284" s="41" t="inlineStr">
        <is>
          <t>TC-286</t>
        </is>
      </c>
      <c r="B284" s="46" t="inlineStr">
        <is>
          <t>RED</t>
        </is>
      </c>
      <c r="C284" s="43" t="inlineStr">
        <is>
          <t>P0</t>
        </is>
      </c>
      <c r="D284" s="44" t="inlineStr">
        <is>
          <t>Infrastructure RED</t>
        </is>
      </c>
      <c r="E284" s="44" t="inlineStr">
        <is>
          <t>RED P0: POST /commit khi DB connection pool exhausted → 503</t>
        </is>
      </c>
      <c r="F284" s="41" t="inlineStr">
        <is>
          <t>REQ-FUNC-286</t>
        </is>
      </c>
      <c r="G284" s="41" t="inlineStr">
        <is>
          <t>EP / BVA</t>
        </is>
      </c>
      <c r="H284" s="41" t="inlineStr">
        <is>
          <t>Cao</t>
        </is>
      </c>
      <c r="I284" s="44" t="inlineStr">
        <is>
          <t>DB pool exhausted (simulate)</t>
        </is>
      </c>
      <c r="J284" s="44" t="inlineStr">
        <is>
          <t>1. POST /commit khi không còn DB connection</t>
        </is>
      </c>
      <c r="K284" s="44" t="inlineStr">
        <is>
          <t>user.officer, template.incident.active</t>
        </is>
      </c>
      <c r="L284" s="44" t="inlineStr">
        <is>
          <t>user.officer, template.incident.active</t>
        </is>
      </c>
      <c r="M284" s="44" t="inlineStr">
        <is>
          <t>503. Counter không tăng. Message: service unavailable</t>
        </is>
      </c>
      <c r="N284" s="44" t="inlineStr"/>
      <c r="O284" s="44" t="inlineStr"/>
      <c r="P284" s="41" t="inlineStr">
        <is>
          <t>[API] Không đạt - xem HTML report</t>
        </is>
      </c>
      <c r="Q284" s="44" t="inlineStr">
        <is>
          <t>Không đạt</t>
        </is>
      </c>
      <c r="R284" s="41" t="inlineStr"/>
      <c r="S284" s="41" t="inlineStr"/>
      <c r="T284" s="41" t="inlineStr">
        <is>
          <t>26/05/2026 02:10</t>
        </is>
      </c>
      <c r="U284" s="41" t="inlineStr"/>
      <c r="V284" s="44" t="inlineStr"/>
      <c r="W284" s="41" t="inlineStr"/>
      <c r="X284" s="44" t="inlineStr"/>
    </row>
    <row r="285" ht="80" customHeight="1">
      <c r="A285" s="41" t="inlineStr">
        <is>
          <t>TC-287</t>
        </is>
      </c>
      <c r="B285" s="46" t="inlineStr">
        <is>
          <t>RED</t>
        </is>
      </c>
      <c r="C285" s="43" t="inlineStr">
        <is>
          <t>P0</t>
        </is>
      </c>
      <c r="D285" s="44" t="inlineStr">
        <is>
          <t>Template Validation RED</t>
        </is>
      </c>
      <c r="E285" s="44" t="inlineStr">
        <is>
          <t>RED P0: POST /templates name chỉ có whitespace → 400</t>
        </is>
      </c>
      <c r="F285" s="41" t="inlineStr">
        <is>
          <t>REQ-FUNC-287</t>
        </is>
      </c>
      <c r="G285" s="41" t="inlineStr">
        <is>
          <t>EP / BVA</t>
        </is>
      </c>
      <c r="H285" s="41" t="inlineStr">
        <is>
          <t>Cao</t>
        </is>
      </c>
      <c r="I285" s="44" t="inlineStr">
        <is>
          <t>Admin</t>
        </is>
      </c>
      <c r="J285" s="44" t="inlineStr">
        <is>
          <t>1. POST /templates {name:'   ', documentType:'INCIDENT', ...rest}</t>
        </is>
      </c>
      <c r="K285" s="44" t="inlineStr">
        <is>
          <t>user.admin</t>
        </is>
      </c>
      <c r="L285" s="44" t="inlineStr">
        <is>
          <t>user.admin</t>
        </is>
      </c>
      <c r="M285" s="44" t="inlineStr">
        <is>
          <t>400. Validation error: name sau trim phải &gt;= 1 ký tự</t>
        </is>
      </c>
      <c r="N285" s="44" t="inlineStr"/>
      <c r="O285" s="44" t="inlineStr"/>
      <c r="P285" s="41" t="inlineStr">
        <is>
          <t>[API] Đạt như expected. Thời gian: 0ms</t>
        </is>
      </c>
      <c r="Q285" s="44" t="inlineStr">
        <is>
          <t>Đạt</t>
        </is>
      </c>
      <c r="R285" s="41" t="inlineStr"/>
      <c r="S285" s="41" t="inlineStr">
        <is>
          <t>BUG-096</t>
        </is>
      </c>
      <c r="T285" s="41" t="inlineStr">
        <is>
          <t>26/05/2026 02:10</t>
        </is>
      </c>
      <c r="U285" s="41" t="inlineStr"/>
      <c r="V285" s="44" t="inlineStr"/>
      <c r="W285" s="41" t="inlineStr"/>
      <c r="X285" s="44" t="inlineStr"/>
    </row>
    <row r="286" ht="80" customHeight="1">
      <c r="A286" s="41" t="inlineStr">
        <is>
          <t>TC-288</t>
        </is>
      </c>
      <c r="B286" s="46" t="inlineStr">
        <is>
          <t>RED</t>
        </is>
      </c>
      <c r="C286" s="43" t="inlineStr">
        <is>
          <t>P0</t>
        </is>
      </c>
      <c r="D286" s="44" t="inlineStr">
        <is>
          <t>Auth RED</t>
        </is>
      </c>
      <c r="E286" s="44" t="inlineStr">
        <is>
          <t>RED P0: POST /draft với token bị tamper (signature invalid) → 401</t>
        </is>
      </c>
      <c r="F286" s="41" t="inlineStr">
        <is>
          <t>REQ-FUNC-288</t>
        </is>
      </c>
      <c r="G286" s="41" t="inlineStr">
        <is>
          <t>EP / BVA</t>
        </is>
      </c>
      <c r="H286" s="41" t="inlineStr">
        <is>
          <t>Cao</t>
        </is>
      </c>
      <c r="I286" s="44" t="inlineStr">
        <is>
          <t>Token với signature sai</t>
        </is>
      </c>
      <c r="J286" s="44" t="inlineStr">
        <is>
          <t>1. Sửa 1 ký tự trong JWT signature
2. POST /draft</t>
        </is>
      </c>
      <c r="K286" s="44" t="inlineStr">
        <is>
          <t>user.officer</t>
        </is>
      </c>
      <c r="L286" s="44" t="inlineStr">
        <is>
          <t>user.officer</t>
        </is>
      </c>
      <c r="M286" s="44" t="inlineStr">
        <is>
          <t>401. JWT signature verification failed</t>
        </is>
      </c>
      <c r="N286" s="44" t="inlineStr"/>
      <c r="O286" s="44" t="inlineStr"/>
      <c r="P286" s="41" t="inlineStr">
        <is>
          <t>[API] Đạt như expected. Thời gian: 0ms</t>
        </is>
      </c>
      <c r="Q286" s="44" t="inlineStr">
        <is>
          <t>Đạt</t>
        </is>
      </c>
      <c r="R286" s="41" t="inlineStr"/>
      <c r="S286" s="41" t="inlineStr">
        <is>
          <t>BUG-097</t>
        </is>
      </c>
      <c r="T286" s="41" t="inlineStr">
        <is>
          <t>26/05/2026 02:10</t>
        </is>
      </c>
      <c r="U286" s="41" t="inlineStr"/>
      <c r="V286" s="44" t="inlineStr"/>
      <c r="W286" s="41" t="inlineStr"/>
      <c r="X286" s="44" t="inlineStr"/>
    </row>
    <row r="287" ht="80" customHeight="1">
      <c r="A287" s="41" t="inlineStr">
        <is>
          <t>TC-289</t>
        </is>
      </c>
      <c r="B287" s="46" t="inlineStr">
        <is>
          <t>RED</t>
        </is>
      </c>
      <c r="C287" s="43" t="inlineStr">
        <is>
          <t>P0</t>
        </is>
      </c>
      <c r="D287" s="44" t="inlineStr">
        <is>
          <t>Commit RED</t>
        </is>
      </c>
      <c r="E287" s="44" t="inlineStr">
        <is>
          <t>RED P0: POST /commit documentType EVIDENCE nhưng template EVIDENCE inactive → 404</t>
        </is>
      </c>
      <c r="F287" s="41" t="inlineStr">
        <is>
          <t>REQ-FUNC-289</t>
        </is>
      </c>
      <c r="G287" s="41" t="inlineStr">
        <is>
          <t>EP / BVA</t>
        </is>
      </c>
      <c r="H287" s="41" t="inlineStr">
        <is>
          <t>Cao</t>
        </is>
      </c>
      <c r="I287" s="44" t="inlineStr">
        <is>
          <t>Template EVIDENCE deactivated</t>
        </is>
      </c>
      <c r="J287" s="44" t="inlineStr">
        <is>
          <t>1. PUT /templates/{evidenceId} {isActive:false}
2. POST /commit {documentType:'EVIDENCE'}</t>
        </is>
      </c>
      <c r="K287" s="44" t="inlineStr">
        <is>
          <t>user.admin, user.officer</t>
        </is>
      </c>
      <c r="L287" s="44" t="inlineStr">
        <is>
          <t>user.admin, user.officer</t>
        </is>
      </c>
      <c r="M287" s="44" t="inlineStr">
        <is>
          <t>404. No active template for EVIDENCE</t>
        </is>
      </c>
      <c r="N287" s="44" t="inlineStr"/>
      <c r="O287" s="44" t="inlineStr"/>
      <c r="P287" s="41" t="inlineStr">
        <is>
          <t>[API] Đạt như expected. Thời gian: 0ms</t>
        </is>
      </c>
      <c r="Q287" s="44" t="inlineStr">
        <is>
          <t>Đạt</t>
        </is>
      </c>
      <c r="R287" s="41" t="inlineStr"/>
      <c r="S287" s="41" t="inlineStr"/>
      <c r="T287" s="41" t="inlineStr">
        <is>
          <t>26/05/2026 02:10</t>
        </is>
      </c>
      <c r="U287" s="41" t="inlineStr"/>
      <c r="V287" s="44" t="inlineStr"/>
      <c r="W287" s="41" t="inlineStr"/>
      <c r="X287" s="44" t="inlineStr"/>
    </row>
    <row r="288" ht="80" customHeight="1">
      <c r="A288" s="41" t="inlineStr">
        <is>
          <t>TC-290</t>
        </is>
      </c>
      <c r="B288" s="46" t="inlineStr">
        <is>
          <t>RED</t>
        </is>
      </c>
      <c r="C288" s="43" t="inlineStr">
        <is>
          <t>P0</t>
        </is>
      </c>
      <c r="D288" s="44" t="inlineStr">
        <is>
          <t>Counter Exhausted WEEKLY</t>
        </is>
      </c>
      <c r="E288" s="44" t="inlineStr">
        <is>
          <t>RED P0: Commit khi counter WEEKLY period exhausted → 400</t>
        </is>
      </c>
      <c r="F288" s="41" t="inlineStr">
        <is>
          <t>REQ-FUNC-290</t>
        </is>
      </c>
      <c r="G288" s="41" t="inlineStr">
        <is>
          <t>EP / BVA</t>
        </is>
      </c>
      <c r="H288" s="41" t="inlineStr">
        <is>
          <t>Cao</t>
        </is>
      </c>
      <c r="I288" s="44" t="inlineStr">
        <is>
          <t>Template WEEKLY, counter tại maxValue trong tuần hiện tại</t>
        </is>
      </c>
      <c r="J288" s="44" t="inlineStr">
        <is>
          <t>1. POST /commit</t>
        </is>
      </c>
      <c r="K288" s="44" t="inlineStr">
        <is>
          <t>template.weekly.active, user.officer</t>
        </is>
      </c>
      <c r="L288" s="44" t="inlineStr">
        <is>
          <t>template.weekly.active, user.officer</t>
        </is>
      </c>
      <c r="M288" s="44" t="inlineStr">
        <is>
          <t>400. message mô tả tuần và hướng dẫn. Counter không thay đổi</t>
        </is>
      </c>
      <c r="N288" s="44" t="inlineStr"/>
      <c r="O288" s="44" t="inlineStr"/>
      <c r="P288" s="41" t="inlineStr">
        <is>
          <t>[API] Không đạt - xem HTML report</t>
        </is>
      </c>
      <c r="Q288" s="44" t="inlineStr">
        <is>
          <t>Không đạt</t>
        </is>
      </c>
      <c r="R288" s="41" t="inlineStr"/>
      <c r="S288" s="41" t="inlineStr">
        <is>
          <t>BUG-098</t>
        </is>
      </c>
      <c r="T288" s="41" t="inlineStr">
        <is>
          <t>26/05/2026 02:10</t>
        </is>
      </c>
      <c r="U288" s="41" t="inlineStr"/>
      <c r="V288" s="44" t="inlineStr"/>
      <c r="W288" s="41" t="inlineStr"/>
      <c r="X288" s="44" t="inlineStr"/>
    </row>
    <row r="289" ht="80" customHeight="1">
      <c r="A289" s="41" t="inlineStr">
        <is>
          <t>TC-291</t>
        </is>
      </c>
      <c r="B289" s="46" t="inlineStr">
        <is>
          <t>RED</t>
        </is>
      </c>
      <c r="C289" s="43" t="inlineStr">
        <is>
          <t>P0</t>
        </is>
      </c>
      <c r="D289" s="44" t="inlineStr">
        <is>
          <t>Template Default RED</t>
        </is>
      </c>
      <c r="E289" s="44" t="inlineStr">
        <is>
          <t>RED P0: POST /templates không có isActive → default true hoặc false (documented)</t>
        </is>
      </c>
      <c r="F289" s="41" t="inlineStr">
        <is>
          <t>REQ-FUNC-291</t>
        </is>
      </c>
      <c r="G289" s="41" t="inlineStr">
        <is>
          <t>EP / BVA</t>
        </is>
      </c>
      <c r="H289" s="41" t="inlineStr">
        <is>
          <t>Cao</t>
        </is>
      </c>
      <c r="I289" s="44" t="inlineStr">
        <is>
          <t>Admin</t>
        </is>
      </c>
      <c r="J289" s="44" t="inlineStr">
        <is>
          <t>1. POST /templates {...valid} không có isActive field</t>
        </is>
      </c>
      <c r="K289" s="44" t="inlineStr">
        <is>
          <t>user.admin</t>
        </is>
      </c>
      <c r="L289" s="44" t="inlineStr">
        <is>
          <t>user.admin</t>
        </is>
      </c>
      <c r="M289" s="44" t="inlineStr">
        <is>
          <t>201. isActive=true (default) hoặc isActive=false (default). Behavior phải documented và consistent</t>
        </is>
      </c>
      <c r="N289" s="44" t="inlineStr"/>
      <c r="O289" s="44" t="inlineStr"/>
      <c r="P289" s="41" t="inlineStr">
        <is>
          <t>[API] Đạt như expected. Thời gian: 0ms</t>
        </is>
      </c>
      <c r="Q289" s="44" t="inlineStr">
        <is>
          <t>Đạt</t>
        </is>
      </c>
      <c r="R289" s="41" t="inlineStr"/>
      <c r="S289" s="41" t="inlineStr"/>
      <c r="T289" s="41" t="inlineStr">
        <is>
          <t>26/05/2026 02:10</t>
        </is>
      </c>
      <c r="U289" s="41" t="inlineStr"/>
      <c r="V289" s="44" t="inlineStr"/>
      <c r="W289" s="41" t="inlineStr"/>
      <c r="X289" s="44" t="inlineStr"/>
    </row>
    <row r="290" ht="80" customHeight="1">
      <c r="A290" s="41" t="inlineStr">
        <is>
          <t>TC-292</t>
        </is>
      </c>
      <c r="B290" s="46" t="inlineStr">
        <is>
          <t>RED</t>
        </is>
      </c>
      <c r="C290" s="43" t="inlineStr">
        <is>
          <t>P0</t>
        </is>
      </c>
      <c r="D290" s="44" t="inlineStr">
        <is>
          <t>Template Delete Constraint RED</t>
        </is>
      </c>
      <c r="E290" s="44" t="inlineStr">
        <is>
          <t>RED P0: DELETE /templates đang có counter transactions → 409 hoặc cascade</t>
        </is>
      </c>
      <c r="F290" s="41" t="inlineStr">
        <is>
          <t>REQ-FUNC-292</t>
        </is>
      </c>
      <c r="G290" s="41" t="inlineStr">
        <is>
          <t>EP / BVA</t>
        </is>
      </c>
      <c r="H290" s="41" t="inlineStr">
        <is>
          <t>Cao</t>
        </is>
      </c>
      <c r="I290" s="44" t="inlineStr">
        <is>
          <t>Template có counter rows đang active</t>
        </is>
      </c>
      <c r="J290" s="44" t="inlineStr">
        <is>
          <t>1. DELETE /templates/{id} khi có counter rows</t>
        </is>
      </c>
      <c r="K290" s="44" t="inlineStr">
        <is>
          <t>user.admin, template.with_logs</t>
        </is>
      </c>
      <c r="L290" s="44" t="inlineStr">
        <is>
          <t>user.admin, template.with_logs</t>
        </is>
      </c>
      <c r="M290" s="44" t="inlineStr">
        <is>
          <t>200/204 với cascade delete (counter+logs bị xóa), hoặc 409 nếu enforce 'không xóa khi có data'. Không orphan data</t>
        </is>
      </c>
      <c r="N290" s="44" t="inlineStr"/>
      <c r="O290" s="44" t="inlineStr"/>
      <c r="P290" s="41" t="inlineStr">
        <is>
          <t>[API] Không đạt - xem HTML report</t>
        </is>
      </c>
      <c r="Q290" s="44" t="inlineStr">
        <is>
          <t>Không đạt</t>
        </is>
      </c>
      <c r="R290" s="41" t="inlineStr"/>
      <c r="S290" s="41" t="inlineStr">
        <is>
          <t>BUG-099</t>
        </is>
      </c>
      <c r="T290" s="41" t="inlineStr">
        <is>
          <t>26/05/2026 02:10</t>
        </is>
      </c>
      <c r="U290" s="41" t="inlineStr"/>
      <c r="V290" s="44" t="inlineStr"/>
      <c r="W290" s="41" t="inlineStr"/>
      <c r="X290" s="44" t="inlineStr"/>
    </row>
    <row r="291" ht="80" customHeight="1">
      <c r="A291" s="41" t="inlineStr">
        <is>
          <t>TC-293</t>
        </is>
      </c>
      <c r="B291" s="46" t="inlineStr">
        <is>
          <t>RED</t>
        </is>
      </c>
      <c r="C291" s="43" t="inlineStr">
        <is>
          <t>P0</t>
        </is>
      </c>
      <c r="D291" s="44" t="inlineStr">
        <is>
          <t>Log Immutability RED</t>
        </is>
      </c>
      <c r="E291" s="44" t="inlineStr">
        <is>
          <t>RED P0: PATCH /logs/:logId không được sửa generatedNumber → 400/ignore</t>
        </is>
      </c>
      <c r="F291" s="41" t="inlineStr">
        <is>
          <t>REQ-FUNC-293</t>
        </is>
      </c>
      <c r="G291" s="41" t="inlineStr">
        <is>
          <t>EP / BVA</t>
        </is>
      </c>
      <c r="H291" s="41" t="inlineStr">
        <is>
          <t>Cao</t>
        </is>
      </c>
      <c r="I291" s="44" t="inlineStr">
        <is>
          <t>Officer, log tồn tại</t>
        </is>
      </c>
      <c r="J291" s="44" t="inlineStr">
        <is>
          <t>1. PATCH /logs/{logId} {generatedNumber:'VV-2026-HACKED'}</t>
        </is>
      </c>
      <c r="K291" s="44" t="inlineStr">
        <is>
          <t>user.officer, log.officer1.no_doc_id</t>
        </is>
      </c>
      <c r="L291" s="44" t="inlineStr">
        <is>
          <t>user.officer, log.officer1.no_doc_id</t>
        </is>
      </c>
      <c r="M291" s="44" t="inlineStr">
        <is>
          <t>400 (generatedNumber immutable) hoặc field bị ignore. generatedNumber không thay đổi. Audit integrity preserved</t>
        </is>
      </c>
      <c r="N291" s="44" t="inlineStr"/>
      <c r="O291" s="44" t="inlineStr"/>
      <c r="P291" s="41" t="inlineStr">
        <is>
          <t>[API] Không đạt - xem HTML report</t>
        </is>
      </c>
      <c r="Q291" s="44" t="inlineStr">
        <is>
          <t>Không đạt</t>
        </is>
      </c>
      <c r="R291" s="41" t="inlineStr"/>
      <c r="S291" s="41" t="inlineStr">
        <is>
          <t>BUG-100</t>
        </is>
      </c>
      <c r="T291" s="41" t="inlineStr">
        <is>
          <t>26/05/2026 02:10</t>
        </is>
      </c>
      <c r="U291" s="41" t="inlineStr"/>
      <c r="V291" s="44" t="inlineStr"/>
      <c r="W291" s="41" t="inlineStr"/>
      <c r="X291" s="44" t="inlineStr"/>
    </row>
    <row r="292" ht="80" customHeight="1">
      <c r="A292" s="41" t="inlineStr">
        <is>
          <t>TC-294</t>
        </is>
      </c>
      <c r="B292" s="46" t="inlineStr">
        <is>
          <t>RED</t>
        </is>
      </c>
      <c r="C292" s="43" t="inlineStr">
        <is>
          <t>P0</t>
        </is>
      </c>
      <c r="D292" s="44" t="inlineStr">
        <is>
          <t>Commit Validation RED</t>
        </is>
      </c>
      <c r="E292" s="44" t="inlineStr">
        <is>
          <t>RED P0: POST /commit với malformed UUID trong ctx → 400</t>
        </is>
      </c>
      <c r="F292" s="41" t="inlineStr">
        <is>
          <t>REQ-FUNC-294</t>
        </is>
      </c>
      <c r="G292" s="41" t="inlineStr">
        <is>
          <t>EP / BVA</t>
        </is>
      </c>
      <c r="H292" s="41" t="inlineStr">
        <is>
          <t>Cao</t>
        </is>
      </c>
      <c r="I292" s="44" t="inlineStr">
        <is>
          <t>Officer</t>
        </is>
      </c>
      <c r="J292" s="44" t="inlineStr">
        <is>
          <t>1. POST /commit {documentType:'INCIDENT', ctx:{userId:'not-a-uuid'}}</t>
        </is>
      </c>
      <c r="K292" s="44" t="inlineStr">
        <is>
          <t>user.officer, template.incident.active</t>
        </is>
      </c>
      <c r="L292" s="44" t="inlineStr">
        <is>
          <t>user.officer, template.incident.active</t>
        </is>
      </c>
      <c r="M292" s="44" t="inlineStr">
        <is>
          <t>400. userId phải là UUID hợp lệ</t>
        </is>
      </c>
      <c r="N292" s="44" t="inlineStr"/>
      <c r="O292" s="44" t="inlineStr"/>
      <c r="P292" s="41" t="inlineStr">
        <is>
          <t>[API] Không đạt - xem HTML report</t>
        </is>
      </c>
      <c r="Q292" s="44" t="inlineStr">
        <is>
          <t>Không đạt</t>
        </is>
      </c>
      <c r="R292" s="41" t="inlineStr"/>
      <c r="S292" s="41" t="inlineStr">
        <is>
          <t>BUG-101</t>
        </is>
      </c>
      <c r="T292" s="41" t="inlineStr">
        <is>
          <t>26/05/2026 02:10</t>
        </is>
      </c>
      <c r="U292" s="41" t="inlineStr"/>
      <c r="V292" s="44" t="inlineStr"/>
      <c r="W292" s="41" t="inlineStr"/>
      <c r="X292" s="44" t="inlineStr"/>
    </row>
    <row r="293" ht="80" customHeight="1">
      <c r="A293" s="41" t="inlineStr">
        <is>
          <t>TC-295</t>
        </is>
      </c>
      <c r="B293" s="46" t="inlineStr">
        <is>
          <t>RED</t>
        </is>
      </c>
      <c r="C293" s="43" t="inlineStr">
        <is>
          <t>P0</t>
        </is>
      </c>
      <c r="D293" s="44" t="inlineStr">
        <is>
          <t>Draft Log Accumulation RED</t>
        </is>
      </c>
      <c r="E293" s="44" t="inlineStr">
        <is>
          <t>RED P0: POST /draft gọi liên tiếp 100 lần → không accumulate draft logs quá nhiều</t>
        </is>
      </c>
      <c r="F293" s="41" t="inlineStr">
        <is>
          <t>REQ-FUNC-295</t>
        </is>
      </c>
      <c r="G293" s="41" t="inlineStr">
        <is>
          <t>EP / BVA</t>
        </is>
      </c>
      <c r="H293" s="41" t="inlineStr">
        <is>
          <t>Cao</t>
        </is>
      </c>
      <c r="I293" s="44" t="inlineStr">
        <is>
          <t>Template INCIDENT, officer1</t>
        </is>
      </c>
      <c r="J293" s="44" t="inlineStr">
        <is>
          <t>1. POST /draft 100 lần liên tiếp
2. Đếm isDraft=true logs trong DB</t>
        </is>
      </c>
      <c r="K293" s="44" t="inlineStr">
        <is>
          <t>template.incident.active, user.officer</t>
        </is>
      </c>
      <c r="L293" s="44" t="inlineStr">
        <is>
          <t>template.incident.active, user.officer</t>
        </is>
      </c>
      <c r="M293" s="44" t="inlineStr">
        <is>
          <t>Không tạo 100 logs (nếu có dedup logic), hoặc tạo 100 logs nhưng performance vẫn OK (&lt;200ms/request). Counter vẫn không tăng</t>
        </is>
      </c>
      <c r="N293" s="44" t="inlineStr"/>
      <c r="O293" s="44" t="inlineStr"/>
      <c r="P293" s="41" t="inlineStr">
        <is>
          <t>[API] Đạt như expected. Thời gian: 0ms</t>
        </is>
      </c>
      <c r="Q293" s="44" t="inlineStr">
        <is>
          <t>Đạt</t>
        </is>
      </c>
      <c r="R293" s="41" t="inlineStr"/>
      <c r="S293" s="41" t="inlineStr"/>
      <c r="T293" s="41" t="inlineStr">
        <is>
          <t>26/05/2026 02:10</t>
        </is>
      </c>
      <c r="U293" s="41" t="inlineStr"/>
      <c r="V293" s="44" t="inlineStr"/>
      <c r="W293" s="41" t="inlineStr"/>
      <c r="X293" s="44" t="inlineStr"/>
    </row>
    <row r="294" ht="80" customHeight="1">
      <c r="A294" s="41" t="inlineStr">
        <is>
          <t>TC-296</t>
        </is>
      </c>
      <c r="B294" s="46" t="inlineStr">
        <is>
          <t>RED</t>
        </is>
      </c>
      <c r="C294" s="43" t="inlineStr">
        <is>
          <t>P0</t>
        </is>
      </c>
      <c r="D294" s="44" t="inlineStr">
        <is>
          <t>Template Config Change RED</t>
        </is>
      </c>
      <c r="E294" s="44" t="inlineStr">
        <is>
          <t>RED P0: POST /commit sau khi admin đổi segment config → number theo config mới</t>
        </is>
      </c>
      <c r="F294" s="41" t="inlineStr">
        <is>
          <t>REQ-FUNC-296</t>
        </is>
      </c>
      <c r="G294" s="41" t="inlineStr">
        <is>
          <t>EP / BVA</t>
        </is>
      </c>
      <c r="H294" s="41" t="inlineStr">
        <is>
          <t>Cao</t>
        </is>
      </c>
      <c r="I294" s="44" t="inlineStr">
        <is>
          <t>Template INCIDENT, admin đổi separator từ '-' sang '/'</t>
        </is>
      </c>
      <c r="J294" s="44" t="inlineStr">
        <is>
          <t>1. Admin PUT /templates/{id} {separator:'/'}
2. Officer POST /commit {INCIDENT}</t>
        </is>
      </c>
      <c r="K294" s="44" t="inlineStr">
        <is>
          <t>user.admin, user.officer, template.incident.active, counter.incident.value_106</t>
        </is>
      </c>
      <c r="L294" s="44" t="inlineStr">
        <is>
          <t>user.admin, user.officer, template.incident.active, counter.incident.value_106</t>
        </is>
      </c>
      <c r="M294" s="44" t="inlineStr">
        <is>
          <t>Number dùng separator mới: 'VV/2026/00108'. Không dùng separator cũ '-'</t>
        </is>
      </c>
      <c r="N294" s="44" t="inlineStr"/>
      <c r="O294" s="44" t="inlineStr"/>
      <c r="P294" s="41" t="inlineStr">
        <is>
          <t>[API] Đạt như expected. Thời gian: 0ms</t>
        </is>
      </c>
      <c r="Q294" s="44" t="inlineStr">
        <is>
          <t>Đạt</t>
        </is>
      </c>
      <c r="R294" s="41" t="inlineStr"/>
      <c r="S294" s="41" t="inlineStr"/>
      <c r="T294" s="41" t="inlineStr">
        <is>
          <t>26/05/2026 02:10</t>
        </is>
      </c>
      <c r="U294" s="41" t="inlineStr"/>
      <c r="V294" s="44" t="inlineStr"/>
      <c r="W294" s="41" t="inlineStr"/>
      <c r="X294" s="44" t="inlineStr"/>
    </row>
    <row r="295" ht="80" customHeight="1">
      <c r="A295" s="41" t="inlineStr">
        <is>
          <t>TC-297</t>
        </is>
      </c>
      <c r="B295" s="46" t="inlineStr">
        <is>
          <t>RED</t>
        </is>
      </c>
      <c r="C295" s="43" t="inlineStr">
        <is>
          <t>P0</t>
        </is>
      </c>
      <c r="D295" s="44" t="inlineStr">
        <is>
          <t>Template Minimal Segments RED</t>
        </is>
      </c>
      <c r="E295" s="44" t="inlineStr">
        <is>
          <t>RED P0: POST /templates với 1 segment (chỉ COUNTER) → 201 valid</t>
        </is>
      </c>
      <c r="F295" s="41" t="inlineStr">
        <is>
          <t>REQ-FUNC-297</t>
        </is>
      </c>
      <c r="G295" s="41" t="inlineStr">
        <is>
          <t>EP / BVA</t>
        </is>
      </c>
      <c r="H295" s="41" t="inlineStr">
        <is>
          <t>Cao</t>
        </is>
      </c>
      <c r="I295" s="44" t="inlineStr">
        <is>
          <t>Admin</t>
        </is>
      </c>
      <c r="J295" s="44" t="inlineStr">
        <is>
          <t>1. POST /templates {segments:[{type:'COUNTER'}], ...rest valid}</t>
        </is>
      </c>
      <c r="K295" s="44" t="inlineStr">
        <is>
          <t>user.admin</t>
        </is>
      </c>
      <c r="L295" s="44" t="inlineStr">
        <is>
          <t>user.admin</t>
        </is>
      </c>
      <c r="M295" s="44" t="inlineStr">
        <is>
          <t>201. Template tạo OK với chỉ COUNTER. Preview sẽ là '00001' (không có prefix)</t>
        </is>
      </c>
      <c r="N295" s="44" t="inlineStr"/>
      <c r="O295" s="44" t="inlineStr"/>
      <c r="P295" s="41" t="inlineStr">
        <is>
          <t>[API] Đạt như expected. Thời gian: 0ms</t>
        </is>
      </c>
      <c r="Q295" s="44" t="inlineStr">
        <is>
          <t>Đạt</t>
        </is>
      </c>
      <c r="R295" s="41" t="inlineStr"/>
      <c r="S295" s="41" t="inlineStr"/>
      <c r="T295" s="41" t="inlineStr">
        <is>
          <t>26/05/2026 02:10</t>
        </is>
      </c>
      <c r="U295" s="41" t="inlineStr"/>
      <c r="V295" s="44" t="inlineStr"/>
      <c r="W295" s="41" t="inlineStr"/>
      <c r="X295" s="44" t="inlineStr"/>
    </row>
    <row r="296" ht="80" customHeight="1">
      <c r="A296" s="41" t="inlineStr">
        <is>
          <t>TC-298</t>
        </is>
      </c>
      <c r="B296" s="46" t="inlineStr">
        <is>
          <t>RED</t>
        </is>
      </c>
      <c r="C296" s="43" t="inlineStr">
        <is>
          <t>P0</t>
        </is>
      </c>
      <c r="D296" s="44" t="inlineStr">
        <is>
          <t>Stats After Reset RED</t>
        </is>
      </c>
      <c r="E296" s="44" t="inlineStr">
        <is>
          <t>RED P0: GET /stats sau reset → current=0, next=1, resetAt khác null</t>
        </is>
      </c>
      <c r="F296" s="41" t="inlineStr">
        <is>
          <t>REQ-FUNC-298</t>
        </is>
      </c>
      <c r="G296" s="41" t="inlineStr">
        <is>
          <t>EP / BVA</t>
        </is>
      </c>
      <c r="H296" s="41" t="inlineStr">
        <is>
          <t>Cao</t>
        </is>
      </c>
      <c r="I296" s="44" t="inlineStr">
        <is>
          <t>Admin vừa reset counter INCIDENT</t>
        </is>
      </c>
      <c r="J296" s="44" t="inlineStr">
        <is>
          <t>1. POST /reset-counter
2. GET /stats ngay sau đó</t>
        </is>
      </c>
      <c r="K296" s="44" t="inlineStr">
        <is>
          <t>user.admin, template.incident.active</t>
        </is>
      </c>
      <c r="L296" s="44" t="inlineStr">
        <is>
          <t>user.admin, template.incident.active</t>
        </is>
      </c>
      <c r="M296" s="44" t="inlineStr">
        <is>
          <t>current=0, next=1, resetAt=timestamp_of_reset (không null sau reset). periodKey không thay đổi</t>
        </is>
      </c>
      <c r="N296" s="44" t="inlineStr"/>
      <c r="O296" s="44" t="inlineStr"/>
      <c r="P296" s="41" t="inlineStr">
        <is>
          <t>[API] Không đạt - xem HTML report</t>
        </is>
      </c>
      <c r="Q296" s="44" t="inlineStr">
        <is>
          <t>Không đạt</t>
        </is>
      </c>
      <c r="R296" s="41" t="inlineStr"/>
      <c r="S296" s="41" t="inlineStr"/>
      <c r="T296" s="41" t="inlineStr">
        <is>
          <t>26/05/2026 02:10</t>
        </is>
      </c>
      <c r="U296" s="41" t="inlineStr"/>
      <c r="V296" s="44" t="inlineStr"/>
      <c r="W296" s="41" t="inlineStr"/>
      <c r="X296" s="44" t="inlineStr"/>
    </row>
    <row r="297" ht="80" customHeight="1">
      <c r="A297" s="41" t="inlineStr">
        <is>
          <t>TC-299</t>
        </is>
      </c>
      <c r="B297" s="46" t="inlineStr">
        <is>
          <t>RED</t>
        </is>
      </c>
      <c r="C297" s="43" t="inlineStr">
        <is>
          <t>P0</t>
        </is>
      </c>
      <c r="D297" s="44" t="inlineStr">
        <is>
          <t>Template Update Consistency RED</t>
        </is>
      </c>
      <c r="E297" s="44" t="inlineStr">
        <is>
          <t>RED P0: Commit sau khi template được update (isActive toggle) → correct behavior</t>
        </is>
      </c>
      <c r="F297" s="41" t="inlineStr">
        <is>
          <t>REQ-FUNC-299</t>
        </is>
      </c>
      <c r="G297" s="41" t="inlineStr">
        <is>
          <t>EP / BVA</t>
        </is>
      </c>
      <c r="H297" s="41" t="inlineStr">
        <is>
          <t>Cao</t>
        </is>
      </c>
      <c r="I297" s="44" t="inlineStr">
        <is>
          <t>Template INCIDENT active → deactivate → activate lại</t>
        </is>
      </c>
      <c r="J297" s="44" t="inlineStr">
        <is>
          <t>1. PUT {isActive:false}
2. PUT {isActive:true}
3. POST /commit {INCIDENT}</t>
        </is>
      </c>
      <c r="K297" s="44" t="inlineStr">
        <is>
          <t>user.admin, user.officer, template.incident.active</t>
        </is>
      </c>
      <c r="L297" s="44" t="inlineStr">
        <is>
          <t>user.admin, user.officer, template.incident.active</t>
        </is>
      </c>
      <c r="M297" s="44" t="inlineStr">
        <is>
          <t>200. Counter tiếp tục từ giá trị trước (không reset). Number đúng</t>
        </is>
      </c>
      <c r="N297" s="44" t="inlineStr"/>
      <c r="O297" s="44" t="inlineStr"/>
      <c r="P297" s="41" t="inlineStr">
        <is>
          <t>[API] Đạt như expected. Thời gian: 0ms</t>
        </is>
      </c>
      <c r="Q297" s="44" t="inlineStr">
        <is>
          <t>Đạt</t>
        </is>
      </c>
      <c r="R297" s="41" t="inlineStr"/>
      <c r="S297" s="41" t="inlineStr"/>
      <c r="T297" s="41" t="inlineStr">
        <is>
          <t>26/05/2026 02:10</t>
        </is>
      </c>
      <c r="U297" s="41" t="inlineStr"/>
      <c r="V297" s="44" t="inlineStr"/>
      <c r="W297" s="41" t="inlineStr"/>
      <c r="X297" s="44" t="inlineStr"/>
    </row>
    <row r="298" ht="80" customHeight="1">
      <c r="A298" s="41" t="inlineStr">
        <is>
          <t>TC-300</t>
        </is>
      </c>
      <c r="B298" s="46" t="inlineStr">
        <is>
          <t>RED</t>
        </is>
      </c>
      <c r="C298" s="43" t="inlineStr">
        <is>
          <t>P0</t>
        </is>
      </c>
      <c r="D298" s="44" t="inlineStr">
        <is>
          <t>Concurrency Stress P0</t>
        </is>
      </c>
      <c r="E298" s="44" t="inlineStr">
        <is>
          <t>RED P0: 100 concurrent POST /commit → 100 số unique, counter=100, không deadlock</t>
        </is>
      </c>
      <c r="F298" s="41" t="inlineStr">
        <is>
          <t>REQ-FUNC-300</t>
        </is>
      </c>
      <c r="G298" s="41" t="inlineStr">
        <is>
          <t>EP / BVA</t>
        </is>
      </c>
      <c r="H298" s="41" t="inlineStr">
        <is>
          <t>Cao</t>
        </is>
      </c>
      <c r="I298" s="44" t="inlineStr">
        <is>
          <t>Template INCIDENT counter=0, 100 concurrent requests</t>
        </is>
      </c>
      <c r="J298" s="44" t="inlineStr">
        <is>
          <t>1. Gửi 100 POST /commit {INCIDENT} đồng thời
2. Collect 100 responses
3. Kiểm tra uniqueness và counter</t>
        </is>
      </c>
      <c r="K298" s="44" t="inlineStr">
        <is>
          <t>template.incident.active, counter.incident.value_0, user.officer</t>
        </is>
      </c>
      <c r="L298" s="44" t="inlineStr">
        <is>
          <t>template.incident.active, counter.incident.value_0, user.officer</t>
        </is>
      </c>
      <c r="M298" s="44" t="inlineStr">
        <is>
          <t>100 responses 200. 100 unique numbers. Counter=100. Không có 500/deadlock. Tất cả hoàn thành &lt; 10s</t>
        </is>
      </c>
      <c r="N298" s="44" t="inlineStr"/>
      <c r="O298" s="44" t="inlineStr"/>
      <c r="P298" s="41" t="inlineStr">
        <is>
          <t>[API] Không đạt - xem HTML report</t>
        </is>
      </c>
      <c r="Q298" s="44" t="inlineStr">
        <is>
          <t>Không đạt</t>
        </is>
      </c>
      <c r="R298" s="41" t="inlineStr"/>
      <c r="S298" s="41" t="inlineStr">
        <is>
          <t>BUG-102</t>
        </is>
      </c>
      <c r="T298" s="41" t="inlineStr">
        <is>
          <t>26/05/2026 02:10</t>
        </is>
      </c>
      <c r="U298" s="41" t="inlineStr"/>
      <c r="V298" s="44" t="inlineStr"/>
      <c r="W298" s="41" t="inlineStr"/>
      <c r="X298" s="44" t="inlineStr"/>
    </row>
    <row r="299" ht="80" customHeight="1">
      <c r="A299" s="41" t="inlineStr">
        <is>
          <t>TC-301</t>
        </is>
      </c>
      <c r="B299" s="46" t="inlineStr">
        <is>
          <t>RED</t>
        </is>
      </c>
      <c r="C299" s="43" t="inlineStr">
        <is>
          <t>P0</t>
        </is>
      </c>
      <c r="D299" s="44" t="inlineStr">
        <is>
          <t>Counter Config Change RED</t>
        </is>
      </c>
      <c r="E299" s="44" t="inlineStr">
        <is>
          <t>RED P0: POST /commit sau admin thay đổi minValue của counter → wrapping đúng</t>
        </is>
      </c>
      <c r="F299" s="41" t="inlineStr">
        <is>
          <t>REQ-FUNC-301</t>
        </is>
      </c>
      <c r="G299" s="41" t="inlineStr">
        <is>
          <t>EP / BVA</t>
        </is>
      </c>
      <c r="H299" s="41" t="inlineStr">
        <is>
          <t>Cao</t>
        </is>
      </c>
      <c r="I299" s="44" t="inlineStr">
        <is>
          <t>Template MAX_NUMBER, admin đổi minValue từ 1 sang 10, counter đang ở maxValue</t>
        </is>
      </c>
      <c r="J299" s="44" t="inlineStr">
        <is>
          <t>1. Admin PUT {counterConfig:{minValue:10, maxValue:20, ...}}
2. POST /commit (trigger wrap)</t>
        </is>
      </c>
      <c r="K299" s="44" t="inlineStr">
        <is>
          <t>user.admin, user.officer, template.maxnumber.at_max</t>
        </is>
      </c>
      <c r="L299" s="44" t="inlineStr">
        <is>
          <t>user.admin, user.officer, template.maxnumber.at_max</t>
        </is>
      </c>
      <c r="M299" s="44" t="inlineStr">
        <is>
          <t>Counter wrap về 10 (minValue mới). Không wrap về 1 (minValue cũ). Config change applied immediately</t>
        </is>
      </c>
      <c r="N299" s="44" t="inlineStr"/>
      <c r="O299" s="44" t="inlineStr"/>
      <c r="P299" s="41" t="inlineStr">
        <is>
          <t>[API] Đạt như expected. Thời gian: 0ms</t>
        </is>
      </c>
      <c r="Q299" s="44" t="inlineStr">
        <is>
          <t>Đạt</t>
        </is>
      </c>
      <c r="R299" s="41" t="inlineStr"/>
      <c r="S299" s="41" t="inlineStr">
        <is>
          <t>BUG-103</t>
        </is>
      </c>
      <c r="T299" s="41" t="inlineStr">
        <is>
          <t>26/05/2026 02:10</t>
        </is>
      </c>
      <c r="U299" s="41" t="inlineStr"/>
      <c r="V299" s="44" t="inlineStr"/>
      <c r="W299" s="41" t="inlineStr"/>
      <c r="X299" s="44" t="inlineStr"/>
    </row>
    <row r="300" ht="80" customHeight="1">
      <c r="A300" s="41" t="inlineStr">
        <is>
          <t>TC-302</t>
        </is>
      </c>
      <c r="B300" s="46" t="inlineStr">
        <is>
          <t>RED</t>
        </is>
      </c>
      <c r="C300" s="43" t="inlineStr">
        <is>
          <t>P0</t>
        </is>
      </c>
      <c r="D300" s="44" t="inlineStr">
        <is>
          <t>Template Uniqueness Constraint RED</t>
        </is>
      </c>
      <c r="E300" s="44" t="inlineStr">
        <is>
          <t>RED P0: Không thể tạo 2 active template cùng documentType — chỉ 1 active</t>
        </is>
      </c>
      <c r="F300" s="41" t="inlineStr">
        <is>
          <t>REQ-FUNC-302</t>
        </is>
      </c>
      <c r="G300" s="41" t="inlineStr">
        <is>
          <t>EP / BVA</t>
        </is>
      </c>
      <c r="H300" s="41" t="inlineStr">
        <is>
          <t>Cao</t>
        </is>
      </c>
      <c r="I300" s="44" t="inlineStr">
        <is>
          <t>Template INCIDENT active</t>
        </is>
      </c>
      <c r="J300" s="44" t="inlineStr">
        <is>
          <t>1. POST /templates {documentType:'INCIDENT', isActive:true, ...rest}
2. GET /draft {INCIDENT} sau đó</t>
        </is>
      </c>
      <c r="K300" s="44" t="inlineStr">
        <is>
          <t>user.admin, template.incident.active</t>
        </is>
      </c>
      <c r="L300" s="44" t="inlineStr">
        <is>
          <t>user.admin, template.incident.active</t>
        </is>
      </c>
      <c r="M300" s="44" t="inlineStr">
        <is>
          <t>Một trong hai: 400 (duplicate active), hoặc auto-deactivate template cũ. Không bao giờ có 2 active cùng type cùng lúc</t>
        </is>
      </c>
      <c r="N300" s="44" t="inlineStr"/>
      <c r="O300" s="44" t="inlineStr"/>
      <c r="P300" s="41" t="inlineStr">
        <is>
          <t>[API] Không đạt - xem HTML report</t>
        </is>
      </c>
      <c r="Q300" s="44" t="inlineStr">
        <is>
          <t>Không đạt</t>
        </is>
      </c>
      <c r="R300" s="41" t="inlineStr"/>
      <c r="S300" s="41" t="inlineStr"/>
      <c r="T300" s="41" t="inlineStr">
        <is>
          <t>26/05/2026 02:10</t>
        </is>
      </c>
      <c r="U300" s="41" t="inlineStr"/>
      <c r="V300" s="44" t="inlineStr"/>
      <c r="W300" s="41" t="inlineStr"/>
      <c r="X300" s="44" t="inlineStr"/>
    </row>
    <row r="301" ht="80" customHeight="1">
      <c r="A301" s="41" t="inlineStr">
        <is>
          <t>TC-303</t>
        </is>
      </c>
      <c r="B301" s="46" t="inlineStr">
        <is>
          <t>RED</t>
        </is>
      </c>
      <c r="C301" s="43" t="inlineStr">
        <is>
          <t>P0</t>
        </is>
      </c>
      <c r="D301" s="44" t="inlineStr">
        <is>
          <t>Auth Role Tamper RED</t>
        </is>
      </c>
      <c r="E301" s="44" t="inlineStr">
        <is>
          <t>RED P0: Token với role không hợp lệ (tampered 'SUPER_ADMIN') → 403/401</t>
        </is>
      </c>
      <c r="F301" s="41" t="inlineStr">
        <is>
          <t>REQ-FUNC-303</t>
        </is>
      </c>
      <c r="G301" s="41" t="inlineStr">
        <is>
          <t>EP / BVA</t>
        </is>
      </c>
      <c r="H301" s="41" t="inlineStr">
        <is>
          <t>Cao</t>
        </is>
      </c>
      <c r="I301" s="44" t="inlineStr">
        <is>
          <t>Officer token với role field bị sửa thành SUPER_ADMIN</t>
        </is>
      </c>
      <c r="J301" s="44" t="inlineStr">
        <is>
          <t>1. Decode JWT, sửa role thành 'SUPER_ADMIN', re-encode (signature sẽ invalid)
2. POST /templates với token đó</t>
        </is>
      </c>
      <c r="K301" s="44" t="inlineStr">
        <is>
          <t>user.officer</t>
        </is>
      </c>
      <c r="L301" s="44" t="inlineStr">
        <is>
          <t>user.officer</t>
        </is>
      </c>
      <c r="M301" s="44" t="inlineStr">
        <is>
          <t>401. Signature invalid. SUPER_ADMIN không là valid role. Không pass validation</t>
        </is>
      </c>
      <c r="N301" s="44" t="inlineStr"/>
      <c r="O301" s="44" t="inlineStr"/>
      <c r="P301" s="41" t="inlineStr">
        <is>
          <t>[API] Không đạt - xem HTML report</t>
        </is>
      </c>
      <c r="Q301" s="44" t="inlineStr">
        <is>
          <t>Không đạt</t>
        </is>
      </c>
      <c r="R301" s="41" t="inlineStr"/>
      <c r="S301" s="41" t="inlineStr">
        <is>
          <t>BUG-104</t>
        </is>
      </c>
      <c r="T301" s="41" t="inlineStr">
        <is>
          <t>26/05/2026 02:10</t>
        </is>
      </c>
      <c r="U301" s="41" t="inlineStr"/>
      <c r="V301" s="44" t="inlineStr"/>
      <c r="W301" s="41" t="inlineStr"/>
      <c r="X301" s="44" t="inlineStr"/>
    </row>
    <row r="302" ht="80" customHeight="1">
      <c r="A302" s="41" t="inlineStr">
        <is>
          <t>TC-304</t>
        </is>
      </c>
      <c r="B302" s="46" t="inlineStr">
        <is>
          <t>RED</t>
        </is>
      </c>
      <c r="C302" s="43" t="inlineStr">
        <is>
          <t>P0</t>
        </is>
      </c>
      <c r="D302" s="44" t="inlineStr">
        <is>
          <t>Transaction Isolation RED</t>
        </is>
      </c>
      <c r="E302" s="44" t="inlineStr">
        <is>
          <t>RED P0: Commit đồng thời với DELETE template → transaction isolation</t>
        </is>
      </c>
      <c r="F302" s="41" t="inlineStr">
        <is>
          <t>REQ-FUNC-304</t>
        </is>
      </c>
      <c r="G302" s="41" t="inlineStr">
        <is>
          <t>EP / BVA</t>
        </is>
      </c>
      <c r="H302" s="41" t="inlineStr">
        <is>
          <t>Cao</t>
        </is>
      </c>
      <c r="I302" s="44" t="inlineStr">
        <is>
          <t>Template INCIDENT, admin + officer đồng thời</t>
        </is>
      </c>
      <c r="J302" s="44" t="inlineStr">
        <is>
          <t>1. Officer POST /commit {INCIDENT}
2. Admin DELETE /templates/{id} đồng thời</t>
        </is>
      </c>
      <c r="K302" s="44" t="inlineStr">
        <is>
          <t>user.admin, user.officer, template.incident.active</t>
        </is>
      </c>
      <c r="L302" s="44" t="inlineStr">
        <is>
          <t>user.admin, user.officer, template.incident.active</t>
        </is>
      </c>
      <c r="M302" s="44" t="inlineStr">
        <is>
          <t>Một trong 2: (a) commit hoàn thành rồi delete mới xảy ra, (b) delete xảy ra trước → commit nhận 404. Không có partial commit với FK violation</t>
        </is>
      </c>
      <c r="N302" s="44" t="inlineStr"/>
      <c r="O302" s="44" t="inlineStr"/>
      <c r="P302" s="41" t="inlineStr">
        <is>
          <t>[API] Không đạt - xem HTML report</t>
        </is>
      </c>
      <c r="Q302" s="44" t="inlineStr">
        <is>
          <t>Không đạt</t>
        </is>
      </c>
      <c r="R302" s="41" t="inlineStr"/>
      <c r="S302" s="41" t="inlineStr">
        <is>
          <t>BUG-105</t>
        </is>
      </c>
      <c r="T302" s="41" t="inlineStr">
        <is>
          <t>26/05/2026 02:10</t>
        </is>
      </c>
      <c r="U302" s="41" t="inlineStr"/>
      <c r="V302" s="44" t="inlineStr"/>
      <c r="W302" s="41" t="inlineStr"/>
      <c r="X302" s="44" t="inlineStr"/>
    </row>
    <row r="303" ht="80" customHeight="1">
      <c r="A303" s="41" t="inlineStr">
        <is>
          <t>TC-305</t>
        </is>
      </c>
      <c r="B303" s="46" t="inlineStr">
        <is>
          <t>RED</t>
        </is>
      </c>
      <c r="C303" s="43" t="inlineStr">
        <is>
          <t>P0</t>
        </is>
      </c>
      <c r="D303" s="44" t="inlineStr">
        <is>
          <t>Boundary INT Max RED</t>
        </is>
      </c>
      <c r="E303" s="44" t="inlineStr">
        <is>
          <t>RED P0: POST /templates maxValue = 2147483647 (INT max) → 201, commit works</t>
        </is>
      </c>
      <c r="F303" s="41" t="inlineStr">
        <is>
          <t>REQ-FUNC-305</t>
        </is>
      </c>
      <c r="G303" s="41" t="inlineStr">
        <is>
          <t>EP / BVA</t>
        </is>
      </c>
      <c r="H303" s="41" t="inlineStr">
        <is>
          <t>Cao</t>
        </is>
      </c>
      <c r="I303" s="44" t="inlineStr">
        <is>
          <t>Admin</t>
        </is>
      </c>
      <c r="J303" s="44" t="inlineStr">
        <is>
          <t>1. POST /templates {counterConfig:{minValue:1,maxValue:2147483647,...}}
2. POST /commit</t>
        </is>
      </c>
      <c r="K303" s="44" t="inlineStr">
        <is>
          <t>user.admin, user.officer</t>
        </is>
      </c>
      <c r="L303" s="44" t="inlineStr">
        <is>
          <t>user.admin, user.officer</t>
        </is>
      </c>
      <c r="M303" s="44" t="inlineStr">
        <is>
          <t>201. Commit thành công. DB lưu INT max value. Không overflow. Number với padding đúng</t>
        </is>
      </c>
      <c r="N303" s="44" t="inlineStr"/>
      <c r="O303" s="44" t="inlineStr"/>
      <c r="P303" s="41" t="inlineStr">
        <is>
          <t>[API] Không đạt - xem HTML report</t>
        </is>
      </c>
      <c r="Q303" s="44" t="inlineStr">
        <is>
          <t>Không đạt</t>
        </is>
      </c>
      <c r="R303" s="41" t="inlineStr"/>
      <c r="S303" s="41" t="inlineStr">
        <is>
          <t>BUG-106</t>
        </is>
      </c>
      <c r="T303" s="41" t="inlineStr">
        <is>
          <t>26/05/2026 02:10</t>
        </is>
      </c>
      <c r="U303" s="41" t="inlineStr"/>
      <c r="V303" s="44" t="inlineStr"/>
      <c r="W303" s="41" t="inlineStr"/>
      <c r="X303" s="44" t="inlineStr"/>
    </row>
    <row r="304" ht="80" customHeight="1">
      <c r="A304" s="41" t="inlineStr">
        <is>
          <t>TC-306</t>
        </is>
      </c>
      <c r="B304" s="46" t="inlineStr">
        <is>
          <t>RED</t>
        </is>
      </c>
      <c r="C304" s="43" t="inlineStr">
        <is>
          <t>P0</t>
        </is>
      </c>
      <c r="D304" s="44" t="inlineStr">
        <is>
          <t>Stats Freshness RED</t>
        </is>
      </c>
      <c r="E304" s="44" t="inlineStr">
        <is>
          <t>RED P0: GET /templates/:id/stats với template vừa reset → resetAt không null</t>
        </is>
      </c>
      <c r="F304" s="41" t="inlineStr">
        <is>
          <t>REQ-FUNC-306</t>
        </is>
      </c>
      <c r="G304" s="41" t="inlineStr">
        <is>
          <t>EP / BVA</t>
        </is>
      </c>
      <c r="H304" s="41" t="inlineStr">
        <is>
          <t>Cao</t>
        </is>
      </c>
      <c r="I304" s="44" t="inlineStr">
        <is>
          <t>Admin vừa reset counter, query ngay sau</t>
        </is>
      </c>
      <c r="J304" s="44" t="inlineStr">
        <is>
          <t>1. POST /reset-counter {id}
2. GET /templates/{id}/stats trong vòng 1ms</t>
        </is>
      </c>
      <c r="K304" s="44" t="inlineStr">
        <is>
          <t>user.admin, template.incident.active</t>
        </is>
      </c>
      <c r="L304" s="44" t="inlineStr">
        <is>
          <t>user.admin, template.incident.active</t>
        </is>
      </c>
      <c r="M304" s="44" t="inlineStr">
        <is>
          <t>current=0. resetAt = timestamp gần đây (&lt; 5s ago). Không stale cache</t>
        </is>
      </c>
      <c r="N304" s="44" t="inlineStr"/>
      <c r="O304" s="44" t="inlineStr"/>
      <c r="P304" s="41" t="inlineStr">
        <is>
          <t>[API] Không đạt - xem HTML report</t>
        </is>
      </c>
      <c r="Q304" s="44" t="inlineStr">
        <is>
          <t>Không đạt</t>
        </is>
      </c>
      <c r="R304" s="41" t="inlineStr"/>
      <c r="S304" s="41" t="inlineStr"/>
      <c r="T304" s="41" t="inlineStr">
        <is>
          <t>26/05/2026 02:10</t>
        </is>
      </c>
      <c r="U304" s="41" t="inlineStr"/>
      <c r="V304" s="44" t="inlineStr"/>
      <c r="W304" s="41" t="inlineStr"/>
      <c r="X304" s="44" t="inlineStr"/>
    </row>
    <row r="305" ht="80" customHeight="1">
      <c r="A305" s="41" t="inlineStr">
        <is>
          <t>TC-307</t>
        </is>
      </c>
      <c r="B305" s="46" t="inlineStr">
        <is>
          <t>RED</t>
        </is>
      </c>
      <c r="C305" s="43" t="inlineStr">
        <is>
          <t>P0</t>
        </is>
      </c>
      <c r="D305" s="44" t="inlineStr">
        <is>
          <t>Commit Validation RED</t>
        </is>
      </c>
      <c r="E305" s="44" t="inlineStr">
        <is>
          <t>RED P0: Commit với documentId không phải UUID → 400</t>
        </is>
      </c>
      <c r="F305" s="41" t="inlineStr">
        <is>
          <t>REQ-FUNC-307</t>
        </is>
      </c>
      <c r="G305" s="41" t="inlineStr">
        <is>
          <t>EP / BVA</t>
        </is>
      </c>
      <c r="H305" s="41" t="inlineStr">
        <is>
          <t>Cao</t>
        </is>
      </c>
      <c r="I305" s="44" t="inlineStr">
        <is>
          <t>Officer</t>
        </is>
      </c>
      <c r="J305" s="44" t="inlineStr">
        <is>
          <t>1. POST /commit {documentType:'INCIDENT', documentId:'not-uuid-format'}</t>
        </is>
      </c>
      <c r="K305" s="44" t="inlineStr">
        <is>
          <t>user.officer, template.incident.active</t>
        </is>
      </c>
      <c r="L305" s="44" t="inlineStr">
        <is>
          <t>user.officer, template.incident.active</t>
        </is>
      </c>
      <c r="M305" s="44" t="inlineStr">
        <is>
          <t>400. Validation error: documentId phải là UUID hợp lệ nếu được cung cấp</t>
        </is>
      </c>
      <c r="N305" s="44" t="inlineStr"/>
      <c r="O305" s="44" t="inlineStr"/>
      <c r="P305" s="41" t="inlineStr">
        <is>
          <t>[API] Không đạt - xem HTML report</t>
        </is>
      </c>
      <c r="Q305" s="44" t="inlineStr">
        <is>
          <t>Không đạt</t>
        </is>
      </c>
      <c r="R305" s="41" t="inlineStr"/>
      <c r="S305" s="41" t="inlineStr">
        <is>
          <t>BUG-107</t>
        </is>
      </c>
      <c r="T305" s="41" t="inlineStr">
        <is>
          <t>26/05/2026 02:10</t>
        </is>
      </c>
      <c r="U305" s="41" t="inlineStr"/>
      <c r="V305" s="44" t="inlineStr"/>
      <c r="W305" s="41" t="inlineStr"/>
      <c r="X305" s="44" t="inlineStr"/>
    </row>
    <row r="306" ht="80" customHeight="1">
      <c r="A306" s="41" t="inlineStr">
        <is>
          <t>TC-308</t>
        </is>
      </c>
      <c r="B306" s="46" t="inlineStr">
        <is>
          <t>RED</t>
        </is>
      </c>
      <c r="C306" s="43" t="inlineStr">
        <is>
          <t>P0</t>
        </is>
      </c>
      <c r="D306" s="44" t="inlineStr">
        <is>
          <t>Reset Counter RED</t>
        </is>
      </c>
      <c r="E306" s="44" t="inlineStr">
        <is>
          <t>RED P0: POST /reset-counter với templateId không tồn tại → 404</t>
        </is>
      </c>
      <c r="F306" s="41" t="inlineStr">
        <is>
          <t>REQ-FUNC-308</t>
        </is>
      </c>
      <c r="G306" s="41" t="inlineStr">
        <is>
          <t>EP / BVA</t>
        </is>
      </c>
      <c r="H306" s="41" t="inlineStr">
        <is>
          <t>Cao</t>
        </is>
      </c>
      <c r="I306" s="44" t="inlineStr">
        <is>
          <t>Admin</t>
        </is>
      </c>
      <c r="J306" s="44" t="inlineStr">
        <is>
          <t>1. POST /templates/00000000-0000-0000-0000-000000000000/reset-counter</t>
        </is>
      </c>
      <c r="K306" s="44" t="inlineStr">
        <is>
          <t>user.admin</t>
        </is>
      </c>
      <c r="L306" s="44" t="inlineStr">
        <is>
          <t>user.admin</t>
        </is>
      </c>
      <c r="M306" s="44" t="inlineStr">
        <is>
          <t>404. Template not found. Counter không tạo mới</t>
        </is>
      </c>
      <c r="N306" s="44" t="inlineStr"/>
      <c r="O306" s="44" t="inlineStr"/>
      <c r="P306" s="41" t="inlineStr">
        <is>
          <t>[API] Không đạt - xem HTML report</t>
        </is>
      </c>
      <c r="Q306" s="44" t="inlineStr">
        <is>
          <t>Không đạt</t>
        </is>
      </c>
      <c r="R306" s="41" t="inlineStr"/>
      <c r="S306" s="41" t="inlineStr">
        <is>
          <t>BUG-108</t>
        </is>
      </c>
      <c r="T306" s="41" t="inlineStr">
        <is>
          <t>26/05/2026 02:10</t>
        </is>
      </c>
      <c r="U306" s="41" t="inlineStr"/>
      <c r="V306" s="44" t="inlineStr"/>
      <c r="W306" s="41" t="inlineStr"/>
      <c r="X306" s="44" t="inlineStr"/>
    </row>
    <row r="307" ht="80" customHeight="1">
      <c r="A307" s="41" t="inlineStr">
        <is>
          <t>TC-309</t>
        </is>
      </c>
      <c r="B307" s="46" t="inlineStr">
        <is>
          <t>RED</t>
        </is>
      </c>
      <c r="C307" s="43" t="inlineStr">
        <is>
          <t>P0</t>
        </is>
      </c>
      <c r="D307" s="44" t="inlineStr">
        <is>
          <t>No-Counter Template Commit RED</t>
        </is>
      </c>
      <c r="E307" s="44" t="inlineStr">
        <is>
          <t>RED P0: Commit khi Template không có COUNTER segment → số không có counter part</t>
        </is>
      </c>
      <c r="F307" s="41" t="inlineStr">
        <is>
          <t>REQ-FUNC-309</t>
        </is>
      </c>
      <c r="G307" s="41" t="inlineStr">
        <is>
          <t>EP / BVA</t>
        </is>
      </c>
      <c r="H307" s="41" t="inlineStr">
        <is>
          <t>Cao</t>
        </is>
      </c>
      <c r="I307" s="44" t="inlineStr">
        <is>
          <t>Template chỉ có LITERAL+FORMULA (không có COUNTER), thực hiện commit</t>
        </is>
      </c>
      <c r="J307" s="44" t="inlineStr">
        <is>
          <t>1. POST /commit với documentType của no-counter template
2. POST /commit lần 2</t>
        </is>
      </c>
      <c r="K307" s="44" t="inlineStr">
        <is>
          <t>user.officer</t>
        </is>
      </c>
      <c r="L307" s="44" t="inlineStr">
        <is>
          <t>user.officer</t>
        </is>
      </c>
      <c r="M307" s="44" t="inlineStr">
        <is>
          <t>200. Cả 2 commit trả về cùng số (VD: 'PREFIX-2026'). Không tạo counter row. Log isDraft=false</t>
        </is>
      </c>
      <c r="N307" s="44" t="inlineStr"/>
      <c r="O307" s="44" t="inlineStr"/>
      <c r="P307" s="41" t="inlineStr">
        <is>
          <t>[API] Không đạt - xem HTML report</t>
        </is>
      </c>
      <c r="Q307" s="44" t="inlineStr">
        <is>
          <t>Không đạt</t>
        </is>
      </c>
      <c r="R307" s="41" t="inlineStr"/>
      <c r="S307" s="41" t="inlineStr">
        <is>
          <t>BUG-109</t>
        </is>
      </c>
      <c r="T307" s="41" t="inlineStr">
        <is>
          <t>26/05/2026 02:10</t>
        </is>
      </c>
      <c r="U307" s="41" t="inlineStr"/>
      <c r="V307" s="44" t="inlineStr"/>
      <c r="W307" s="41" t="inlineStr"/>
      <c r="X307" s="44" t="inlineStr"/>
    </row>
    <row r="308" ht="80" customHeight="1">
      <c r="A308" s="41" t="inlineStr">
        <is>
          <t>TC-310</t>
        </is>
      </c>
      <c r="B308" s="46" t="inlineStr">
        <is>
          <t>RED</t>
        </is>
      </c>
      <c r="C308" s="43" t="inlineStr">
        <is>
          <t>P0</t>
        </is>
      </c>
      <c r="D308" s="44" t="inlineStr">
        <is>
          <t>Atomic Transaction RED</t>
        </is>
      </c>
      <c r="E308" s="44" t="inlineStr">
        <is>
          <t>RED P0: POST /commit CASE không có atomicity với case.create → rollback test</t>
        </is>
      </c>
      <c r="F308" s="41" t="inlineStr">
        <is>
          <t>REQ-FUNC-310</t>
        </is>
      </c>
      <c r="G308" s="41" t="inlineStr">
        <is>
          <t>EP / BVA</t>
        </is>
      </c>
      <c r="H308" s="41" t="inlineStr">
        <is>
          <t>Cao</t>
        </is>
      </c>
      <c r="I308" s="44" t="inlineStr">
        <is>
          <t>Template CASE, officer, simulate case.create failure</t>
        </is>
      </c>
      <c r="J308" s="44" t="inlineStr">
        <is>
          <t>1. Mock cases.create để throw error sau khi docNum.commit called
2. POST /cases (triggers commit)</t>
        </is>
      </c>
      <c r="K308" s="44" t="inlineStr">
        <is>
          <t>user.officer, template.case.active</t>
        </is>
      </c>
      <c r="L308" s="44" t="inlineStr">
        <is>
          <t>user.officer, template.case.active</t>
        </is>
      </c>
      <c r="M308" s="44" t="inlineStr">
        <is>
          <t>Transaction rollback. Case không tạo. Counter KHÔNG tăng. Không orphan log</t>
        </is>
      </c>
      <c r="N308" s="44" t="inlineStr"/>
      <c r="O308" s="44" t="inlineStr"/>
      <c r="P308" s="41" t="inlineStr">
        <is>
          <t>[API] Đạt như expected. Thời gian: 0ms</t>
        </is>
      </c>
      <c r="Q308" s="44" t="inlineStr">
        <is>
          <t>Đạt</t>
        </is>
      </c>
      <c r="R308" s="41" t="inlineStr"/>
      <c r="S308" s="41" t="inlineStr"/>
      <c r="T308" s="41" t="inlineStr">
        <is>
          <t>26/05/2026 02:10</t>
        </is>
      </c>
      <c r="U308" s="41" t="inlineStr"/>
      <c r="V308" s="44" t="inlineStr"/>
      <c r="W308" s="41" t="inlineStr"/>
      <c r="X308" s="44" t="inlineStr"/>
    </row>
    <row r="309" ht="80" customHeight="1">
      <c r="A309" s="41" t="inlineStr">
        <is>
          <t>TC-311</t>
        </is>
      </c>
      <c r="B309" s="50" t="inlineStr">
        <is>
          <t>SECURITY</t>
        </is>
      </c>
      <c r="C309" s="43" t="inlineStr">
        <is>
          <t>P0</t>
        </is>
      </c>
      <c r="D309" s="44" t="inlineStr">
        <is>
          <t>Security Authorization P0</t>
        </is>
      </c>
      <c r="E309" s="44" t="inlineStr">
        <is>
          <t>SECURITY P0: Horizontal privilege escalation — officer A không thể xem logs của officer B</t>
        </is>
      </c>
      <c r="F309" s="41" t="inlineStr">
        <is>
          <t>REQ-SEC-311</t>
        </is>
      </c>
      <c r="G309" s="41" t="inlineStr">
        <is>
          <t>OWASP Top 10</t>
        </is>
      </c>
      <c r="H309" s="41" t="inlineStr">
        <is>
          <t>Cao</t>
        </is>
      </c>
      <c r="I309" s="44" t="inlineStr">
        <is>
          <t>officer1 và officer2 đều có logs</t>
        </is>
      </c>
      <c r="J309" s="44" t="inlineStr">
        <is>
          <t>1. Login officer1
2. GET /logs?userId={officer2.id}</t>
        </is>
      </c>
      <c r="K309" s="44" t="inlineStr">
        <is>
          <t>user.officer, logs.mixed_users_18</t>
        </is>
      </c>
      <c r="L309" s="44" t="inlineStr">
        <is>
          <t>user.officer, logs.mixed_users_18</t>
        </is>
      </c>
      <c r="M309" s="44" t="inlineStr">
        <is>
          <t>200. Kết quả trống hoặc 403. Không trả về log của officer2 khi query với token officer1</t>
        </is>
      </c>
      <c r="N309" s="44" t="inlineStr"/>
      <c r="O309" s="44" t="inlineStr"/>
      <c r="P309" s="41" t="inlineStr">
        <is>
          <t>[API] Đạt như expected. Thời gian: 0ms</t>
        </is>
      </c>
      <c r="Q309" s="44" t="inlineStr">
        <is>
          <t>Đạt</t>
        </is>
      </c>
      <c r="R309" s="41" t="inlineStr"/>
      <c r="S309" s="41" t="inlineStr"/>
      <c r="T309" s="41" t="inlineStr">
        <is>
          <t>26/05/2026 02:10</t>
        </is>
      </c>
      <c r="U309" s="41" t="inlineStr"/>
      <c r="V309" s="44" t="inlineStr"/>
      <c r="W309" s="41" t="inlineStr"/>
      <c r="X309" s="44" t="inlineStr"/>
    </row>
    <row r="310" ht="80" customHeight="1">
      <c r="A310" s="41" t="inlineStr">
        <is>
          <t>TC-312</t>
        </is>
      </c>
      <c r="B310" s="50" t="inlineStr">
        <is>
          <t>SECURITY</t>
        </is>
      </c>
      <c r="C310" s="43" t="inlineStr">
        <is>
          <t>P0</t>
        </is>
      </c>
      <c r="D310" s="44" t="inlineStr">
        <is>
          <t>Security SQL Injection P0</t>
        </is>
      </c>
      <c r="E310" s="44" t="inlineStr">
        <is>
          <t>SECURITY P0: SQL injection trong pagination params → 400/safe</t>
        </is>
      </c>
      <c r="F310" s="41" t="inlineStr">
        <is>
          <t>REQ-SEC-312</t>
        </is>
      </c>
      <c r="G310" s="41" t="inlineStr">
        <is>
          <t>OWASP Top 10</t>
        </is>
      </c>
      <c r="H310" s="41" t="inlineStr">
        <is>
          <t>Cao</t>
        </is>
      </c>
      <c r="I310" s="44" t="inlineStr">
        <is>
          <t>Admin</t>
        </is>
      </c>
      <c r="J310" s="44" t="inlineStr">
        <is>
          <t>1. GET /logs?page=1%3BSELECT%20*%20FROM%20users</t>
        </is>
      </c>
      <c r="K310" s="44" t="inlineStr">
        <is>
          <t>user.admin</t>
        </is>
      </c>
      <c r="L310" s="44" t="inlineStr">
        <is>
          <t>user.admin</t>
        </is>
      </c>
      <c r="M310" s="44" t="inlineStr">
        <is>
          <t>400. Validation error: page phải là số nguyên. DB không bị ảnh hưởng</t>
        </is>
      </c>
      <c r="N310" s="44" t="inlineStr"/>
      <c r="O310" s="44" t="inlineStr"/>
      <c r="P310" s="41" t="inlineStr">
        <is>
          <t>[API] Không đạt - xem HTML report</t>
        </is>
      </c>
      <c r="Q310" s="44" t="inlineStr">
        <is>
          <t>Không đạt</t>
        </is>
      </c>
      <c r="R310" s="41" t="inlineStr"/>
      <c r="S310" s="41" t="inlineStr">
        <is>
          <t>BUG-110</t>
        </is>
      </c>
      <c r="T310" s="41" t="inlineStr">
        <is>
          <t>26/05/2026 02:10</t>
        </is>
      </c>
      <c r="U310" s="41" t="inlineStr"/>
      <c r="V310" s="44" t="inlineStr"/>
      <c r="W310" s="41" t="inlineStr"/>
      <c r="X310" s="44" t="inlineStr"/>
    </row>
    <row r="311" ht="80" customHeight="1">
      <c r="A311" s="41" t="inlineStr">
        <is>
          <t>TC-313</t>
        </is>
      </c>
      <c r="B311" s="50" t="inlineStr">
        <is>
          <t>SECURITY</t>
        </is>
      </c>
      <c r="C311" s="43" t="inlineStr">
        <is>
          <t>P0</t>
        </is>
      </c>
      <c r="D311" s="44" t="inlineStr">
        <is>
          <t>Security JWT Alg None P0</t>
        </is>
      </c>
      <c r="E311" s="44" t="inlineStr">
        <is>
          <t>SECURITY P0: JWT algorithm confusion — token với alg:none → 401</t>
        </is>
      </c>
      <c r="F311" s="41" t="inlineStr">
        <is>
          <t>REQ-SEC-313</t>
        </is>
      </c>
      <c r="G311" s="41" t="inlineStr">
        <is>
          <t>OWASP Top 10</t>
        </is>
      </c>
      <c r="H311" s="41" t="inlineStr">
        <is>
          <t>Cao</t>
        </is>
      </c>
      <c r="I311" s="44" t="inlineStr">
        <is>
          <t>Tạo JWT với algorithm=none (remove signature)</t>
        </is>
      </c>
      <c r="J311" s="44" t="inlineStr">
        <is>
          <t>1. Tạo JWT {alg:'none'} với payload {role:'ADMIN'}
2. POST /templates với token đó</t>
        </is>
      </c>
      <c r="K311" s="44" t="inlineStr"/>
      <c r="L311" s="44" t="inlineStr"/>
      <c r="M311" s="44" t="inlineStr">
        <is>
          <t>401. Server reject alg:none tokens. Không accept unsigned tokens</t>
        </is>
      </c>
      <c r="N311" s="44" t="inlineStr"/>
      <c r="O311" s="44" t="inlineStr"/>
      <c r="P311" s="41" t="inlineStr">
        <is>
          <t>[API] Không đạt - xem HTML report</t>
        </is>
      </c>
      <c r="Q311" s="44" t="inlineStr">
        <is>
          <t>Không đạt</t>
        </is>
      </c>
      <c r="R311" s="41" t="inlineStr"/>
      <c r="S311" s="41" t="inlineStr">
        <is>
          <t>BUG-111</t>
        </is>
      </c>
      <c r="T311" s="41" t="inlineStr">
        <is>
          <t>26/05/2026 02:10</t>
        </is>
      </c>
      <c r="U311" s="41" t="inlineStr"/>
      <c r="V311" s="44" t="inlineStr"/>
      <c r="W311" s="41" t="inlineStr"/>
      <c r="X311" s="44" t="inlineStr"/>
    </row>
    <row r="312" ht="80" customHeight="1">
      <c r="A312" s="41" t="inlineStr">
        <is>
          <t>TC-314</t>
        </is>
      </c>
      <c r="B312" s="50" t="inlineStr">
        <is>
          <t>SECURITY</t>
        </is>
      </c>
      <c r="C312" s="43" t="inlineStr">
        <is>
          <t>P0</t>
        </is>
      </c>
      <c r="D312" s="44" t="inlineStr">
        <is>
          <t>Security Mass Delete P0</t>
        </is>
      </c>
      <c r="E312" s="44" t="inlineStr">
        <is>
          <t>SECURITY P0: Mass DELETE — officer gọi DELETE /templates/{id} của mọi template → 403 tất cả</t>
        </is>
      </c>
      <c r="F312" s="41" t="inlineStr">
        <is>
          <t>REQ-SEC-314</t>
        </is>
      </c>
      <c r="G312" s="41" t="inlineStr">
        <is>
          <t>OWASP Top 10</t>
        </is>
      </c>
      <c r="H312" s="41" t="inlineStr">
        <is>
          <t>Cao</t>
        </is>
      </c>
      <c r="I312" s="44" t="inlineStr">
        <is>
          <t>Officer1, 6 template seeded</t>
        </is>
      </c>
      <c r="J312" s="44" t="inlineStr">
        <is>
          <t>1. Loop GET /templates → lấy 6 id
2. DELETE /templates/{id} × 6 với token officer</t>
        </is>
      </c>
      <c r="K312" s="44" t="inlineStr">
        <is>
          <t>user.officer, templates.all_seeded</t>
        </is>
      </c>
      <c r="L312" s="44" t="inlineStr">
        <is>
          <t>user.officer, templates.all_seeded</t>
        </is>
      </c>
      <c r="M312" s="44" t="inlineStr">
        <is>
          <t>403 cho tất cả 6 calls. 0 template bị xóa</t>
        </is>
      </c>
      <c r="N312" s="44" t="inlineStr"/>
      <c r="O312" s="44" t="inlineStr"/>
      <c r="P312" s="41" t="inlineStr">
        <is>
          <t>[API] Không đạt - xem HTML report</t>
        </is>
      </c>
      <c r="Q312" s="44" t="inlineStr">
        <is>
          <t>Không đạt</t>
        </is>
      </c>
      <c r="R312" s="41" t="inlineStr"/>
      <c r="S312" s="41" t="inlineStr">
        <is>
          <t>BUG-112</t>
        </is>
      </c>
      <c r="T312" s="41" t="inlineStr">
        <is>
          <t>26/05/2026 02:10</t>
        </is>
      </c>
      <c r="U312" s="41" t="inlineStr"/>
      <c r="V312" s="44" t="inlineStr"/>
      <c r="W312" s="41" t="inlineStr"/>
      <c r="X312" s="44" t="inlineStr"/>
    </row>
    <row r="313" ht="80" customHeight="1">
      <c r="A313" s="41" t="inlineStr">
        <is>
          <t>TC-315</t>
        </is>
      </c>
      <c r="B313" s="50" t="inlineStr">
        <is>
          <t>SECURITY</t>
        </is>
      </c>
      <c r="C313" s="43" t="inlineStr">
        <is>
          <t>P0</t>
        </is>
      </c>
      <c r="D313" s="44" t="inlineStr">
        <is>
          <t>Security Forced Browse P0</t>
        </is>
      </c>
      <c r="E313" s="44" t="inlineStr">
        <is>
          <t>SECURITY P0: Forced browsing — /api/v1/document-numbers/admin endpoint (nếu có) yêu cầu ADMIN role</t>
        </is>
      </c>
      <c r="F313" s="41" t="inlineStr">
        <is>
          <t>REQ-SEC-315</t>
        </is>
      </c>
      <c r="G313" s="41" t="inlineStr">
        <is>
          <t>OWASP Top 10</t>
        </is>
      </c>
      <c r="H313" s="41" t="inlineStr">
        <is>
          <t>Cao</t>
        </is>
      </c>
      <c r="I313" s="44" t="inlineStr">
        <is>
          <t>Officer, thử các admin-only paths</t>
        </is>
      </c>
      <c r="J313" s="44" t="inlineStr">
        <is>
          <t>1. GET /api/v1/document-numbers/ (root endpoint)
2. GET /api/v1/document-numbers/admin (nếu tồn tại)</t>
        </is>
      </c>
      <c r="K313" s="44" t="inlineStr">
        <is>
          <t>user.officer</t>
        </is>
      </c>
      <c r="L313" s="44" t="inlineStr">
        <is>
          <t>user.officer</t>
        </is>
      </c>
      <c r="M313" s="44" t="inlineStr">
        <is>
          <t>Root: 404 (không expose API structure). Admin paths: 403 cho officer. Không có unauthenticated admin endpoints</t>
        </is>
      </c>
      <c r="N313" s="44" t="inlineStr"/>
      <c r="O313" s="44" t="inlineStr"/>
      <c r="P313" s="41" t="inlineStr">
        <is>
          <t>[API] Đạt như expected. Thời gian: 0ms</t>
        </is>
      </c>
      <c r="Q313" s="44" t="inlineStr">
        <is>
          <t>Đạt</t>
        </is>
      </c>
      <c r="R313" s="41" t="inlineStr"/>
      <c r="S313" s="41" t="inlineStr"/>
      <c r="T313" s="41" t="inlineStr">
        <is>
          <t>26/05/2026 02:10</t>
        </is>
      </c>
      <c r="U313" s="41" t="inlineStr"/>
      <c r="V313" s="44" t="inlineStr"/>
      <c r="W313" s="41" t="inlineStr"/>
      <c r="X313" s="44" t="inlineStr"/>
    </row>
    <row r="314" ht="80" customHeight="1">
      <c r="A314" s="41" t="inlineStr">
        <is>
          <t>TC-316</t>
        </is>
      </c>
      <c r="B314" s="50" t="inlineStr">
        <is>
          <t>SECURITY</t>
        </is>
      </c>
      <c r="C314" s="43" t="inlineStr">
        <is>
          <t>P0</t>
        </is>
      </c>
      <c r="D314" s="44" t="inlineStr">
        <is>
          <t>Security Replay P0</t>
        </is>
      </c>
      <c r="E314" s="44" t="inlineStr">
        <is>
          <t>SECURITY P0: Replay old commit request → counter tăng thêm (idempotency key check)</t>
        </is>
      </c>
      <c r="F314" s="41" t="inlineStr">
        <is>
          <t>REQ-SEC-316</t>
        </is>
      </c>
      <c r="G314" s="41" t="inlineStr">
        <is>
          <t>OWASP Top 10</t>
        </is>
      </c>
      <c r="H314" s="41" t="inlineStr">
        <is>
          <t>Cao</t>
        </is>
      </c>
      <c r="I314" s="44" t="inlineStr">
        <is>
          <t>Officer1 đã commit thành công, lưu request</t>
        </is>
      </c>
      <c r="J314" s="44" t="inlineStr">
        <is>
          <t>1. POST /commit lần 1 → success (counter=107)
2. Replay chính xác request đó (cùng body + token)
3. Kiểm tra counter</t>
        </is>
      </c>
      <c r="K314" s="44" t="inlineStr">
        <is>
          <t>user.officer, template.incident.active, counter.incident.value_106</t>
        </is>
      </c>
      <c r="L314" s="44" t="inlineStr">
        <is>
          <t>user.officer, template.incident.active, counter.incident.value_106</t>
        </is>
      </c>
      <c r="M314" s="44" t="inlineStr">
        <is>
          <t>Commit 2 tạo số mới (counter=108). Không idempotent (mỗi POST /commit = 1 số mới). Hoặc nếu có idempotency key: trả về 200 với cùng số và counter=107. Behavior documented</t>
        </is>
      </c>
      <c r="N314" s="44" t="inlineStr"/>
      <c r="O314" s="44" t="inlineStr"/>
      <c r="P314" s="41" t="inlineStr">
        <is>
          <t>[API] Không đạt - xem HTML report</t>
        </is>
      </c>
      <c r="Q314" s="44" t="inlineStr">
        <is>
          <t>Không đạt</t>
        </is>
      </c>
      <c r="R314" s="41" t="inlineStr"/>
      <c r="S314" s="41" t="inlineStr">
        <is>
          <t>BUG-113</t>
        </is>
      </c>
      <c r="T314" s="41" t="inlineStr">
        <is>
          <t>26/05/2026 02:10</t>
        </is>
      </c>
      <c r="U314" s="41" t="inlineStr"/>
      <c r="V314" s="44" t="inlineStr"/>
      <c r="W314" s="41" t="inlineStr"/>
      <c r="X314" s="44" t="inlineStr"/>
    </row>
    <row r="315" ht="80" customHeight="1">
      <c r="A315" s="41" t="inlineStr">
        <is>
          <t>TC-317</t>
        </is>
      </c>
      <c r="B315" s="50" t="inlineStr">
        <is>
          <t>SECURITY</t>
        </is>
      </c>
      <c r="C315" s="43" t="inlineStr">
        <is>
          <t>P0</t>
        </is>
      </c>
      <c r="D315" s="44" t="inlineStr">
        <is>
          <t>Security Enumeration P0</t>
        </is>
      </c>
      <c r="E315" s="44" t="inlineStr">
        <is>
          <t>SECURITY P0: Enumeration — GET /logs với filter userId trả về 200 rỗng, không 403 info leak</t>
        </is>
      </c>
      <c r="F315" s="41" t="inlineStr">
        <is>
          <t>REQ-SEC-317</t>
        </is>
      </c>
      <c r="G315" s="41" t="inlineStr">
        <is>
          <t>OWASP Top 10</t>
        </is>
      </c>
      <c r="H315" s="41" t="inlineStr">
        <is>
          <t>Cao</t>
        </is>
      </c>
      <c r="I315" s="44" t="inlineStr">
        <is>
          <t>Officer1</t>
        </is>
      </c>
      <c r="J315" s="44" t="inlineStr">
        <is>
          <t>1. GET /logs?userId={admin.id} với token officer1</t>
        </is>
      </c>
      <c r="K315" s="44" t="inlineStr">
        <is>
          <t>user.officer, user.admin</t>
        </is>
      </c>
      <c r="L315" s="44" t="inlineStr">
        <is>
          <t>user.officer, user.admin</t>
        </is>
      </c>
      <c r="M315" s="44" t="inlineStr">
        <is>
          <t>200 với empty array (không expose admin's logs) hoặc 403. Không trả về admin logs. Không phân biệt 'không có log' vs 'không có quyền' theo response code</t>
        </is>
      </c>
      <c r="N315" s="44" t="inlineStr"/>
      <c r="O315" s="44" t="inlineStr"/>
      <c r="P315" s="41" t="inlineStr">
        <is>
          <t>[API] Đạt như expected. Thời gian: 0ms</t>
        </is>
      </c>
      <c r="Q315" s="44" t="inlineStr">
        <is>
          <t>Đạt</t>
        </is>
      </c>
      <c r="R315" s="41" t="inlineStr"/>
      <c r="S315" s="41" t="inlineStr"/>
      <c r="T315" s="41" t="inlineStr">
        <is>
          <t>26/05/2026 02:10</t>
        </is>
      </c>
      <c r="U315" s="41" t="inlineStr"/>
      <c r="V315" s="44" t="inlineStr"/>
      <c r="W315" s="41" t="inlineStr"/>
      <c r="X315" s="44" t="inlineStr"/>
    </row>
    <row r="316" ht="80" customHeight="1">
      <c r="A316" s="41" t="inlineStr">
        <is>
          <t>TC-318</t>
        </is>
      </c>
      <c r="B316" s="50" t="inlineStr">
        <is>
          <t>SECURITY</t>
        </is>
      </c>
      <c r="C316" s="43" t="inlineStr">
        <is>
          <t>P0</t>
        </is>
      </c>
      <c r="D316" s="44" t="inlineStr">
        <is>
          <t>Security Account Delete P0</t>
        </is>
      </c>
      <c r="E316" s="44" t="inlineStr">
        <is>
          <t>SECURITY P0: Admin xóa account officer đang có active session — subsequent requests → 401</t>
        </is>
      </c>
      <c r="F316" s="41" t="inlineStr">
        <is>
          <t>REQ-SEC-318</t>
        </is>
      </c>
      <c r="G316" s="41" t="inlineStr">
        <is>
          <t>OWASP Top 10</t>
        </is>
      </c>
      <c r="H316" s="41" t="inlineStr">
        <is>
          <t>Cao</t>
        </is>
      </c>
      <c r="I316" s="44" t="inlineStr">
        <is>
          <t>Officer1 đang đăng nhập, admin xóa account</t>
        </is>
      </c>
      <c r="J316" s="44" t="inlineStr">
        <is>
          <t>1. Officer1 login → lấy token
2. Admin DELETE /users/{officer1.id}
3. Officer1 POST /draft với token cũ</t>
        </is>
      </c>
      <c r="K316" s="44" t="inlineStr">
        <is>
          <t>user.admin, user.officer</t>
        </is>
      </c>
      <c r="L316" s="44" t="inlineStr">
        <is>
          <t>user.admin, user.officer</t>
        </is>
      </c>
      <c r="M316" s="44" t="inlineStr">
        <is>
          <t>401 hoặc 403. Token của user đã bị xóa phải không còn valid. Không thể thực hiện draft sau khi account bị xóa</t>
        </is>
      </c>
      <c r="N316" s="44" t="inlineStr"/>
      <c r="O316" s="44" t="inlineStr"/>
      <c r="P316" s="41" t="inlineStr">
        <is>
          <t>[API] Không đạt - xem HTML report</t>
        </is>
      </c>
      <c r="Q316" s="44" t="inlineStr">
        <is>
          <t>Không đạt</t>
        </is>
      </c>
      <c r="R316" s="41" t="inlineStr"/>
      <c r="S316" s="41" t="inlineStr">
        <is>
          <t>BUG-114</t>
        </is>
      </c>
      <c r="T316" s="41" t="inlineStr">
        <is>
          <t>26/05/2026 02:10</t>
        </is>
      </c>
      <c r="U316" s="41" t="inlineStr"/>
      <c r="V316" s="44" t="inlineStr"/>
      <c r="W316" s="41" t="inlineStr"/>
      <c r="X316" s="44" t="inlineStr"/>
    </row>
    <row r="317" ht="80" customHeight="1">
      <c r="A317" s="41" t="inlineStr">
        <is>
          <t>TC-319</t>
        </is>
      </c>
      <c r="B317" s="56" t="inlineStr">
        <is>
          <t>A11Y</t>
        </is>
      </c>
      <c r="C317" s="45" t="inlineStr">
        <is>
          <t>P1</t>
        </is>
      </c>
      <c r="D317" s="44" t="inlineStr">
        <is>
          <t>A11Y — Full Keyboard Nav</t>
        </is>
      </c>
      <c r="E317" s="44" t="inlineStr">
        <is>
          <t>A11Y: Keyboard navigation toàn bộ Settings page không cần chuột</t>
        </is>
      </c>
      <c r="F317" s="41" t="inlineStr">
        <is>
          <t>REQ-A11Y-319</t>
        </is>
      </c>
      <c r="G317" s="41" t="inlineStr">
        <is>
          <t>WCAG 2.1 AA</t>
        </is>
      </c>
      <c r="H317" s="41" t="inlineStr">
        <is>
          <t>Cao</t>
        </is>
      </c>
      <c r="I317" s="44" t="inlineStr">
        <is>
          <t>Admin, trang /settings/document-numbers</t>
        </is>
      </c>
      <c r="J317" s="44" t="inlineStr">
        <is>
          <t>1. Chỉ dùng Tab/Shift+Tab/Enter/Space/Arrows
2. Navigate qua: table rows, action buttons, modal, form fields, close button</t>
        </is>
      </c>
      <c r="K317" s="44" t="inlineStr">
        <is>
          <t>user.admin, templates.all_seeded</t>
        </is>
      </c>
      <c r="L317" s="44" t="inlineStr">
        <is>
          <t>user.admin, templates.all_seeded</t>
        </is>
      </c>
      <c r="M317" s="44" t="inlineStr">
        <is>
          <t>Tất cả interactive elements reachable bằng keyboard. Không có 'keyboard trap' (ngoại trừ trong modal khi đã mở). Focus order logical (top→bottom, left→right)</t>
        </is>
      </c>
      <c r="N317" s="44" t="inlineStr"/>
      <c r="O317" s="44" t="inlineStr"/>
      <c r="P317" s="41" t="inlineStr">
        <is>
          <t>High</t>
        </is>
      </c>
      <c r="Q317" s="44" t="inlineStr"/>
      <c r="R317" s="41" t="inlineStr"/>
      <c r="S317" s="41" t="inlineStr"/>
      <c r="T317" s="41" t="inlineStr"/>
      <c r="U317" s="41" t="inlineStr"/>
      <c r="V317" s="44" t="inlineStr"/>
      <c r="W317" s="41" t="inlineStr"/>
      <c r="X317" s="44" t="inlineStr"/>
    </row>
    <row r="318" ht="80" customHeight="1">
      <c r="A318" s="41" t="inlineStr">
        <is>
          <t>TC-320</t>
        </is>
      </c>
      <c r="B318" s="57" t="inlineStr">
        <is>
          <t>COMPAT</t>
        </is>
      </c>
      <c r="C318" s="48" t="inlineStr">
        <is>
          <t>P2</t>
        </is>
      </c>
      <c r="D318" s="44" t="inlineStr">
        <is>
          <t>COMPAT — Windows 10</t>
        </is>
      </c>
      <c r="E318" s="44" t="inlineStr">
        <is>
          <t>COMPAT: Windows 10 (19045) + Chrome 120 — không có CSS Grid/Flexbox issues</t>
        </is>
      </c>
      <c r="F318" s="41" t="inlineStr">
        <is>
          <t>REQ-COMPAT-320</t>
        </is>
      </c>
      <c r="G318" s="41" t="inlineStr">
        <is>
          <t>Browser / Device</t>
        </is>
      </c>
      <c r="H318" s="41" t="inlineStr">
        <is>
          <t>TB</t>
        </is>
      </c>
      <c r="I318" s="44" t="inlineStr">
        <is>
          <t>Windows 10 19045 + Chrome 120</t>
        </is>
      </c>
      <c r="J318" s="44" t="inlineStr">
        <is>
          <t>1. Vào /settings/document-numbers
2. Kiểm tra layout table, modal, form</t>
        </is>
      </c>
      <c r="K318" s="44" t="inlineStr">
        <is>
          <t>user.admin, templates.all_seeded</t>
        </is>
      </c>
      <c r="L318" s="44" t="inlineStr">
        <is>
          <t>user.admin, templates.all_seeded</t>
        </is>
      </c>
      <c r="M318" s="44" t="inlineStr">
        <is>
          <t>Không có layout issues cụ thể Windows 10. Grid/Flexbox render đúng. Badge margins đúng. Không có font rendering issues</t>
        </is>
      </c>
      <c r="N318" s="44" t="inlineStr"/>
      <c r="O318" s="44" t="inlineStr"/>
      <c r="P318" s="41" t="inlineStr">
        <is>
          <t>Medium</t>
        </is>
      </c>
      <c r="Q318" s="44" t="inlineStr"/>
      <c r="R318" s="41" t="inlineStr"/>
      <c r="S318" s="41" t="inlineStr"/>
      <c r="T318" s="41" t="inlineStr"/>
      <c r="U318" s="41" t="inlineStr"/>
      <c r="V318" s="44" t="inlineStr"/>
      <c r="W318" s="41" t="inlineStr"/>
      <c r="X318" s="44" t="inlineStr"/>
    </row>
  </sheetData>
  <autoFilter ref="A3:X318"/>
  <mergeCells count="2">
    <mergeCell ref="A2:X2"/>
    <mergeCell ref="A1:X1"/>
  </mergeCells>
  <conditionalFormatting sqref="R4:R318">
    <cfRule type="cellIs" priority="1" operator="equal" dxfId="2">
      <formula>"Đạt"</formula>
    </cfRule>
    <cfRule type="cellIs" priority="2" operator="equal" dxfId="3">
      <formula>"Không đạt"</formula>
    </cfRule>
    <cfRule type="cellIs" priority="3" operator="equal" dxfId="4">
      <formula>"Bị chặn"</formula>
    </cfRule>
    <cfRule type="cellIs" priority="4" operator="equal" dxfId="5">
      <formula>"Bỏ qua"</formula>
    </cfRule>
  </conditionalFormatting>
  <conditionalFormatting sqref="S4:S318">
    <cfRule type="cellIs" priority="5" operator="equal" dxfId="2">
      <formula>"Đạt"</formula>
    </cfRule>
    <cfRule type="cellIs" priority="6" operator="equal" dxfId="3">
      <formula>"Không đạt"</formula>
    </cfRule>
    <cfRule type="cellIs" priority="7" operator="equal" dxfId="4">
      <formula>"Bị chặn"</formula>
    </cfRule>
    <cfRule type="cellIs" priority="8" operator="equal" dxfId="5">
      <formula>"Bỏ qua"</formula>
    </cfRule>
  </conditionalFormatting>
  <conditionalFormatting sqref="W4:W318">
    <cfRule type="cellIs" priority="9" operator="equal" dxfId="6">
      <formula>"⚠️ REGRESSION"</formula>
    </cfRule>
    <cfRule type="cellIs" priority="10" operator="equal" dxfId="2">
      <formula>"✓ Đã fix"</formula>
    </cfRule>
  </conditionalFormatting>
  <dataValidations count="3">
    <dataValidation sqref="R4:R318" showDropDown="0" showInputMessage="0" showErrorMessage="0" allowBlank="1" error="Chọn một trạng thái hợp lệ" prompt="Layer 1 - API smoke gate" type="list">
      <formula1>"Chưa chạy,Đang chạy,Đạt,Không đạt,Bị chặn,Bỏ qua"</formula1>
    </dataValidation>
    <dataValidation sqref="S4:S318" showDropDown="0" showInputMessage="0" showErrorMessage="0" allowBlank="1" error="Chọn một trạng thái hợp lệ" prompt="Layer 2 - UI E2E (Chromium). 'Bỏ qua' nếu API smoke fail" type="list">
      <formula1>"Chưa chạy,Đang chạy,Đạt,Không đạt,Bị chặn,Bỏ qua"</formula1>
    </dataValidation>
    <dataValidation sqref="W4:W318" showDropDown="0" showInputMessage="0" showErrorMessage="0" allowBlank="1" prompt="Tự động đánh dấu nếu TC từng Đạt nay Không đạt" type="list">
      <formula1>"⚠️ REGRESSION,✓ Đã fix"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25" customWidth="1" min="3" max="3"/>
    <col width="15" customWidth="1" min="4" max="4"/>
    <col width="18" customWidth="1" min="5" max="5"/>
    <col width="35" customWidth="1" min="6" max="6"/>
    <col width="25" customWidth="1" min="7" max="7"/>
  </cols>
  <sheetData>
    <row r="1" ht="25" customHeight="1">
      <c r="A1" s="60" t="inlineStr">
        <is>
          <t>1. TÀI KHOẢN KIỂM THỬ</t>
        </is>
      </c>
    </row>
    <row r="2">
      <c r="A2" s="11" t="inlineStr">
        <is>
          <t>ID</t>
        </is>
      </c>
      <c r="B2" s="11" t="inlineStr">
        <is>
          <t>Email</t>
        </is>
      </c>
      <c r="C2" s="11" t="inlineStr">
        <is>
          <t>Mật khẩu</t>
        </is>
      </c>
      <c r="D2" s="11" t="inlineStr">
        <is>
          <t>Vai trò</t>
        </is>
      </c>
      <c r="E2" s="11" t="inlineStr">
        <is>
          <t>Trạng thái</t>
        </is>
      </c>
      <c r="F2" s="11" t="inlineStr">
        <is>
          <t>Mục đích</t>
        </is>
      </c>
      <c r="G2" s="11" t="inlineStr">
        <is>
          <t>Ghi chú</t>
        </is>
      </c>
    </row>
    <row r="3">
      <c r="A3" s="44" t="inlineStr">
        <is>
          <t>user.admin</t>
        </is>
      </c>
      <c r="B3" s="44" t="inlineStr"/>
      <c r="C3" s="44" t="inlineStr"/>
      <c r="D3" s="44" t="inlineStr">
        <is>
          <t>ACTIVE</t>
        </is>
      </c>
      <c r="E3" s="44" t="inlineStr">
        <is>
          <t>Active</t>
        </is>
      </c>
      <c r="F3" s="44" t="inlineStr">
        <is>
          <t>Admin user (admin@pc02.local) với role ADMIN</t>
        </is>
      </c>
      <c r="G3" s="44" t="inlineStr"/>
    </row>
    <row r="4">
      <c r="A4" s="44" t="inlineStr">
        <is>
          <t>user.officer</t>
        </is>
      </c>
      <c r="B4" s="44" t="inlineStr"/>
      <c r="C4" s="44" t="inlineStr"/>
      <c r="D4" s="44" t="inlineStr">
        <is>
          <t>ACTIVE</t>
        </is>
      </c>
      <c r="E4" s="44" t="inlineStr">
        <is>
          <t>Active</t>
        </is>
      </c>
      <c r="F4" s="44" t="inlineStr">
        <is>
          <t>Officer user (officer1@pc02.local) với role OFFICER</t>
        </is>
      </c>
      <c r="G4" s="44" t="inlineStr"/>
    </row>
    <row r="5">
      <c r="A5" s="44" t="inlineStr">
        <is>
          <t>user.officer_with_workid</t>
        </is>
      </c>
      <c r="B5" s="44" t="inlineStr"/>
      <c r="C5" s="44" t="inlineStr"/>
      <c r="D5" s="44" t="inlineStr">
        <is>
          <t>ACTIVE</t>
        </is>
      </c>
      <c r="E5" s="44" t="inlineStr">
        <is>
          <t>Active</t>
        </is>
      </c>
      <c r="F5" s="44" t="inlineStr">
        <is>
          <t>Officer có workId='A001' (dùng để test Formula ctx:Login.workId)</t>
        </is>
      </c>
      <c r="G5" s="44" t="inlineStr"/>
    </row>
    <row r="6">
      <c r="A6" s="44" t="inlineStr">
        <is>
          <t>user.no_workid</t>
        </is>
      </c>
      <c r="B6" s="44" t="inlineStr"/>
      <c r="C6" s="44" t="inlineStr"/>
      <c r="D6" s="44" t="inlineStr">
        <is>
          <t>ACTIVE</t>
        </is>
      </c>
      <c r="E6" s="44" t="inlineStr">
        <is>
          <t>Active</t>
        </is>
      </c>
      <c r="F6" s="44" t="inlineStr">
        <is>
          <t>Officer không có workId (workId=null)</t>
        </is>
      </c>
      <c r="G6" s="44" t="inlineStr"/>
    </row>
    <row r="9" ht="25" customHeight="1">
      <c r="A9" s="60" t="inlineStr">
        <is>
          <t>2. BOUNDARY VALUES (BVA)</t>
        </is>
      </c>
    </row>
    <row r="10">
      <c r="A10" s="11" t="inlineStr">
        <is>
          <t>Field</t>
        </is>
      </c>
      <c r="B10" s="11" t="inlineStr">
        <is>
          <t>Giá trị</t>
        </is>
      </c>
      <c r="C10" s="11" t="inlineStr">
        <is>
          <t>Loại</t>
        </is>
      </c>
      <c r="D10" s="11" t="inlineStr">
        <is>
          <t>Kỳ vọng</t>
        </is>
      </c>
      <c r="E10" s="11" t="inlineStr">
        <is>
          <t>Ghi chú</t>
        </is>
      </c>
    </row>
    <row r="11">
      <c r="A11" s="44" t="inlineStr">
        <is>
          <t>template.name</t>
        </is>
      </c>
      <c r="B11" s="44" t="inlineStr">
        <is>
          <t>A</t>
        </is>
      </c>
      <c r="C11" s="44" t="inlineStr">
        <is>
          <t>min</t>
        </is>
      </c>
      <c r="D11" s="44" t="inlineStr">
        <is>
          <t>201 Created</t>
        </is>
      </c>
      <c r="E11" s="44" t="inlineStr"/>
    </row>
    <row r="12">
      <c r="A12" s="44" t="inlineStr">
        <is>
          <t>template.name</t>
        </is>
      </c>
      <c r="B12" s="44" t="inlineStr">
        <is>
          <t>AAAAAAAAAAAAAAAAAAAAAAAAAAAAAAAAAAAAAAAAAAAAAAAAAAAAAAAAAAAAAAAAAAAAAAAAAAAAAAAAAAAAAAAAAAAAAAAAAAAAAAAAAAAAAAAAAAAAAAAAAAAAAAAAAAAAAAAAAAAAAAAAAAAAAAAAAAAAAAAAAAAAAAAAAAAAAAAAAAAAAAAAAAAAAAAAAAAAAAAA</t>
        </is>
      </c>
      <c r="C12" s="44" t="inlineStr">
        <is>
          <t>max</t>
        </is>
      </c>
      <c r="D12" s="44" t="inlineStr">
        <is>
          <t>201 Created</t>
        </is>
      </c>
      <c r="E12" s="44" t="inlineStr">
        <is>
          <t>200 chars</t>
        </is>
      </c>
    </row>
    <row r="13">
      <c r="A13" s="44" t="inlineStr">
        <is>
          <t>template.name</t>
        </is>
      </c>
      <c r="B13" s="44" t="inlineStr">
        <is>
          <t>AAAAAAAAAAAAAAAAAAAAAAAAAAAAAAAAAAAAAAAAAAAAAAAAAAAAAAAAAAAAAAAAAAAAAAAAAAAAAAAAAAAAAAAAAAAAAAAAAAAAAAAAAAAAAAAAAAAAAAAAAAAAAAAAAAAAAAAAAAAAAAAAAAAAAAAAAAAAAAAAAAAAAAAAAAAAAAAAAAAAAAAAAAAAAAAAAAAAAAAAA</t>
        </is>
      </c>
      <c r="C13" s="44" t="inlineStr">
        <is>
          <t>max+1</t>
        </is>
      </c>
      <c r="D13" s="44" t="inlineStr">
        <is>
          <t>400 name too long</t>
        </is>
      </c>
      <c r="E13" s="44" t="inlineStr"/>
    </row>
    <row r="14">
      <c r="A14" s="44" t="inlineStr">
        <is>
          <t>counterConfig.padding</t>
        </is>
      </c>
      <c r="B14" s="44" t="inlineStr">
        <is>
          <t>0</t>
        </is>
      </c>
      <c r="C14" s="44" t="inlineStr">
        <is>
          <t>min-1</t>
        </is>
      </c>
      <c r="D14" s="44" t="inlineStr">
        <is>
          <t>400 validation error</t>
        </is>
      </c>
      <c r="E14" s="44" t="inlineStr"/>
    </row>
    <row r="15">
      <c r="A15" s="44" t="inlineStr">
        <is>
          <t>counterConfig.padding</t>
        </is>
      </c>
      <c r="B15" s="44" t="inlineStr">
        <is>
          <t>1</t>
        </is>
      </c>
      <c r="C15" s="44" t="inlineStr">
        <is>
          <t>min</t>
        </is>
      </c>
      <c r="D15" s="44" t="inlineStr">
        <is>
          <t>201 Created</t>
        </is>
      </c>
      <c r="E15" s="44" t="inlineStr"/>
    </row>
    <row r="16">
      <c r="A16" s="44" t="inlineStr">
        <is>
          <t>counterConfig.padding</t>
        </is>
      </c>
      <c r="B16" s="44" t="inlineStr">
        <is>
          <t>10</t>
        </is>
      </c>
      <c r="C16" s="44" t="inlineStr">
        <is>
          <t>max</t>
        </is>
      </c>
      <c r="D16" s="44" t="inlineStr">
        <is>
          <t>201 Created</t>
        </is>
      </c>
      <c r="E16" s="44" t="inlineStr"/>
    </row>
    <row r="17">
      <c r="A17" s="44" t="inlineStr">
        <is>
          <t>counterConfig.padding</t>
        </is>
      </c>
      <c r="B17" s="44" t="inlineStr">
        <is>
          <t>11</t>
        </is>
      </c>
      <c r="C17" s="44" t="inlineStr">
        <is>
          <t>max+1</t>
        </is>
      </c>
      <c r="D17" s="44" t="inlineStr">
        <is>
          <t>400 padding too large</t>
        </is>
      </c>
      <c r="E17" s="44" t="inlineStr"/>
    </row>
    <row r="18">
      <c r="A18" s="44" t="inlineStr">
        <is>
          <t>counterConfig.minValue</t>
        </is>
      </c>
      <c r="B18" s="44" t="inlineStr">
        <is>
          <t>0</t>
        </is>
      </c>
      <c r="C18" s="44" t="inlineStr">
        <is>
          <t>min-1</t>
        </is>
      </c>
      <c r="D18" s="44" t="inlineStr">
        <is>
          <t>400 minValue &gt;= 1</t>
        </is>
      </c>
      <c r="E18" s="44" t="inlineStr"/>
    </row>
    <row r="19">
      <c r="A19" s="44" t="inlineStr">
        <is>
          <t>counterConfig.minValue</t>
        </is>
      </c>
      <c r="B19" s="44" t="inlineStr">
        <is>
          <t>1</t>
        </is>
      </c>
      <c r="C19" s="44" t="inlineStr">
        <is>
          <t>min</t>
        </is>
      </c>
      <c r="D19" s="44" t="inlineStr">
        <is>
          <t>201 Created</t>
        </is>
      </c>
      <c r="E19" s="44" t="inlineStr"/>
    </row>
    <row r="20">
      <c r="A20" s="44" t="inlineStr">
        <is>
          <t>counterConfig.maxValue</t>
        </is>
      </c>
      <c r="B20" s="44" t="inlineStr">
        <is>
          <t>2147483647</t>
        </is>
      </c>
      <c r="C20" s="44" t="inlineStr">
        <is>
          <t>INT_MAX</t>
        </is>
      </c>
      <c r="D20" s="44" t="inlineStr">
        <is>
          <t>201 Created</t>
        </is>
      </c>
      <c r="E20" s="44" t="inlineStr">
        <is>
          <t>postgres int max</t>
        </is>
      </c>
    </row>
    <row r="21">
      <c r="A21" s="44" t="inlineStr">
        <is>
          <t>pageSize</t>
        </is>
      </c>
      <c r="B21" s="44" t="inlineStr">
        <is>
          <t>0</t>
        </is>
      </c>
      <c r="C21" s="44" t="inlineStr">
        <is>
          <t>min-1</t>
        </is>
      </c>
      <c r="D21" s="44" t="inlineStr">
        <is>
          <t>400 pageSize &gt;= 1</t>
        </is>
      </c>
      <c r="E21" s="44" t="inlineStr"/>
    </row>
    <row r="22">
      <c r="A22" s="44" t="inlineStr">
        <is>
          <t>pageSize</t>
        </is>
      </c>
      <c r="B22" s="44" t="inlineStr">
        <is>
          <t>1</t>
        </is>
      </c>
      <c r="C22" s="44" t="inlineStr">
        <is>
          <t>min</t>
        </is>
      </c>
      <c r="D22" s="44" t="inlineStr">
        <is>
          <t>200 OK</t>
        </is>
      </c>
      <c r="E22" s="44" t="inlineStr"/>
    </row>
    <row r="23">
      <c r="A23" s="44" t="inlineStr">
        <is>
          <t>pageSize</t>
        </is>
      </c>
      <c r="B23" s="44" t="inlineStr">
        <is>
          <t>100</t>
        </is>
      </c>
      <c r="C23" s="44" t="inlineStr">
        <is>
          <t>max</t>
        </is>
      </c>
      <c r="D23" s="44" t="inlineStr">
        <is>
          <t>200 OK</t>
        </is>
      </c>
      <c r="E23" s="44" t="inlineStr"/>
    </row>
    <row r="24">
      <c r="A24" s="44" t="inlineStr">
        <is>
          <t>pageSize</t>
        </is>
      </c>
      <c r="B24" s="44" t="inlineStr">
        <is>
          <t>1000</t>
        </is>
      </c>
      <c r="C24" s="44" t="inlineStr">
        <is>
          <t>max+1</t>
        </is>
      </c>
      <c r="D24" s="44" t="inlineStr">
        <is>
          <t>400 or capped at 100</t>
        </is>
      </c>
      <c r="E24" s="44" t="inlineStr"/>
    </row>
    <row r="27" ht="25" customHeight="1">
      <c r="A27" s="60" t="inlineStr">
        <is>
          <t>3. SECURITY PAYLOADS (OWASP)</t>
        </is>
      </c>
    </row>
    <row r="28">
      <c r="A28" s="11" t="inlineStr">
        <is>
          <t>Field/Endpoint</t>
        </is>
      </c>
      <c r="B28" s="11" t="inlineStr">
        <is>
          <t>Payload</t>
        </is>
      </c>
      <c r="C28" s="11" t="inlineStr">
        <is>
          <t>Loại tấn công</t>
        </is>
      </c>
      <c r="D28" s="11" t="inlineStr">
        <is>
          <t>Kỳ vọng</t>
        </is>
      </c>
      <c r="E28" s="11" t="inlineStr">
        <is>
          <t>OWASP Reference</t>
        </is>
      </c>
    </row>
    <row r="29">
      <c r="A29" s="44" t="inlineStr">
        <is>
          <t>POST /templates body.name</t>
        </is>
      </c>
      <c r="B29" s="44" t="inlineStr">
        <is>
          <t>' OR 1=1 --</t>
        </is>
      </c>
      <c r="C29" s="44" t="inlineStr">
        <is>
          <t>SQL Injection</t>
        </is>
      </c>
      <c r="D29" s="44" t="inlineStr">
        <is>
          <t>400 validation error</t>
        </is>
      </c>
      <c r="E29" s="44" t="inlineStr">
        <is>
          <t>A03:2021</t>
        </is>
      </c>
    </row>
    <row r="30">
      <c r="A30" s="44" t="inlineStr">
        <is>
          <t>POST /templates body.name</t>
        </is>
      </c>
      <c r="B30" s="44" t="inlineStr">
        <is>
          <t>&lt;script&gt;alert(1)&lt;/script&gt;</t>
        </is>
      </c>
      <c r="C30" s="44" t="inlineStr">
        <is>
          <t>XSS</t>
        </is>
      </c>
      <c r="D30" s="44" t="inlineStr">
        <is>
          <t>400 or escaped</t>
        </is>
      </c>
      <c r="E30" s="44" t="inlineStr">
        <is>
          <t>A03:2021</t>
        </is>
      </c>
    </row>
    <row r="31">
      <c r="A31" s="44" t="inlineStr">
        <is>
          <t>Authorization header</t>
        </is>
      </c>
      <c r="B31" s="44" t="inlineStr">
        <is>
          <t>Bearer invalid.token.here</t>
        </is>
      </c>
      <c r="C31" s="44" t="inlineStr">
        <is>
          <t>Invalid JWT</t>
        </is>
      </c>
      <c r="D31" s="44" t="inlineStr">
        <is>
          <t>401 Unauthorized</t>
        </is>
      </c>
      <c r="E31" s="44" t="inlineStr">
        <is>
          <t>A07:2021</t>
        </is>
      </c>
    </row>
    <row r="32">
      <c r="A32" s="44" t="inlineStr">
        <is>
          <t>Authorization header</t>
        </is>
      </c>
      <c r="B32" s="44" t="inlineStr">
        <is>
          <t>header.eyJhbGciOiJub25lIn0.payload.</t>
        </is>
      </c>
      <c r="C32" s="44" t="inlineStr">
        <is>
          <t>JWT alg:none</t>
        </is>
      </c>
      <c r="D32" s="44" t="inlineStr">
        <is>
          <t>401 Unauthorized</t>
        </is>
      </c>
      <c r="E32" s="44" t="inlineStr">
        <is>
          <t>A07:2021</t>
        </is>
      </c>
    </row>
    <row r="33">
      <c r="A33" s="44" t="inlineStr">
        <is>
          <t>GET /logs?templateId</t>
        </is>
      </c>
      <c r="B33" s="44" t="inlineStr">
        <is>
          <t>00000000-0000-0000-0000-000000000000</t>
        </is>
      </c>
      <c r="C33" s="44" t="inlineStr">
        <is>
          <t>IDOR</t>
        </is>
      </c>
      <c r="D33" s="44" t="inlineStr">
        <is>
          <t>200 empty (not 403)</t>
        </is>
      </c>
      <c r="E33" s="44" t="inlineStr">
        <is>
          <t>A01:2021</t>
        </is>
      </c>
    </row>
    <row r="34">
      <c r="A34" s="44" t="inlineStr">
        <is>
          <t>GET /templates?page</t>
        </is>
      </c>
      <c r="B34" s="44" t="inlineStr">
        <is>
          <t>1; DROP TABLE templates; --</t>
        </is>
      </c>
      <c r="C34" s="44" t="inlineStr">
        <is>
          <t>SQL Injection pagination</t>
        </is>
      </c>
      <c r="D34" s="44" t="inlineStr">
        <is>
          <t>400 invalid page</t>
        </is>
      </c>
      <c r="E34" s="44" t="inlineStr">
        <is>
          <t>A03:2021</t>
        </is>
      </c>
    </row>
    <row r="35">
      <c r="A35" s="44" t="inlineStr">
        <is>
          <t>POST /templates body.segments[].value</t>
        </is>
      </c>
      <c r="B35" s="44" t="inlineStr">
        <is>
          <t>VV[NULL]INJECT (null byte)</t>
        </is>
      </c>
      <c r="C35" s="44" t="inlineStr">
        <is>
          <t>Null byte injection</t>
        </is>
      </c>
      <c r="D35" s="44" t="inlineStr">
        <is>
          <t>400 or stripped</t>
        </is>
      </c>
      <c r="E35" s="44" t="inlineStr">
        <is>
          <t>A03:2021</t>
        </is>
      </c>
    </row>
    <row r="36">
      <c r="A36" s="44" t="inlineStr">
        <is>
          <t>POST /templates body.name</t>
        </is>
      </c>
      <c r="B36" s="44" t="inlineStr">
        <is>
          <t>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C36" s="44" t="inlineStr">
        <is>
          <t>Long payload DoS</t>
        </is>
      </c>
      <c r="D36" s="44" t="inlineStr">
        <is>
          <t>400 name too long</t>
        </is>
      </c>
      <c r="E36" s="44" t="inlineStr">
        <is>
          <t>A05:2021</t>
        </is>
      </c>
    </row>
  </sheetData>
  <mergeCells count="3">
    <mergeCell ref="A27:G27"/>
    <mergeCell ref="A1:G1"/>
    <mergeCell ref="A9:G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6" customWidth="1" min="3" max="3"/>
    <col width="12" customWidth="1" min="4" max="4"/>
    <col width="14" customWidth="1" min="5" max="5"/>
    <col width="40" customWidth="1" min="6" max="6"/>
    <col width="12" customWidth="1" min="7" max="7"/>
    <col width="50" customWidth="1" min="8" max="8"/>
    <col width="30" customWidth="1" min="9" max="9"/>
    <col width="25" customWidth="1" min="10" max="10"/>
    <col width="25" customWidth="1" min="11" max="11"/>
  </cols>
  <sheetData>
    <row r="1" ht="30" customHeight="1">
      <c r="A1" s="38" t="inlineStr">
        <is>
          <t>🗂️ DATA MATURITY MATRIX — Fixtures runner seed tự động trước mỗi test</t>
        </is>
      </c>
    </row>
    <row r="2" ht="35" customHeight="1">
      <c r="A2" s="61" t="inlineStr">
        <is>
          <t>Mỗi fixture có ID format &lt;entity&gt;.&lt;state&gt;.&lt;lifecycle&gt;.&lt;shape&gt;. Runner đọc setup_recipe → tự seed data trước test, KHÔNG cần human chạy SQL. Cleanup tự động sau test.</t>
        </is>
      </c>
    </row>
    <row r="3" ht="35" customHeight="1">
      <c r="A3" s="40" t="inlineStr">
        <is>
          <t>Fixture ID</t>
        </is>
      </c>
      <c r="B3" s="40" t="inlineStr">
        <is>
          <t>Entity</t>
        </is>
      </c>
      <c r="C3" s="40" t="inlineStr">
        <is>
          <t>State</t>
        </is>
      </c>
      <c r="D3" s="40" t="inlineStr">
        <is>
          <t>Lifecycle</t>
        </is>
      </c>
      <c r="E3" s="40" t="inlineStr">
        <is>
          <t>Shape</t>
        </is>
      </c>
      <c r="F3" s="40" t="inlineStr">
        <is>
          <t>Mô tả</t>
        </is>
      </c>
      <c r="G3" s="40" t="inlineStr">
        <is>
          <t>Setup type</t>
        </is>
      </c>
      <c r="H3" s="40" t="inlineStr">
        <is>
          <t>Setup recipe</t>
        </is>
      </c>
      <c r="I3" s="40" t="inlineStr">
        <is>
          <t>Cleanup recipe</t>
        </is>
      </c>
      <c r="J3" s="40" t="inlineStr">
        <is>
          <t>Outputs</t>
        </is>
      </c>
      <c r="K3" s="40" t="inlineStr">
        <is>
          <t>TC sử dụng</t>
        </is>
      </c>
    </row>
    <row r="4" ht="50" customHeight="1">
      <c r="A4" s="44" t="inlineStr">
        <is>
          <t>template.incident.active</t>
        </is>
      </c>
      <c r="B4" s="62" t="inlineStr">
        <is>
          <t>DocumentNumberTemplate</t>
        </is>
      </c>
      <c r="C4" s="41" t="inlineStr">
        <is>
          <t>active</t>
        </is>
      </c>
      <c r="D4" s="41" t="inlineStr"/>
      <c r="E4" s="41" t="inlineStr">
        <is>
          <t>single</t>
        </is>
      </c>
      <c r="F4" s="44" t="inlineStr">
        <is>
          <t>Template INCIDENT active, segments=[LITERAL:VV, FORMULA:YYYY, COUNTER], padding=5, minValue=1, maxValue=99999, resetPeriod=YEARLY</t>
        </is>
      </c>
      <c r="G4" s="41" t="inlineStr"/>
      <c r="H4" s="44" t="inlineStr">
        <is>
          <t>{"method": "seed", "command": "cd backend &amp;&amp; node dist/prisma/seed-document-numbers.js", "note": "Template seeded tự động khi deploy. Verify: GET /api/v1/document-numbers/templates | jq '.[] | select(.documentType==\"INCIDENT\")'", "sql_verify": "SELECT id FROM document_number_templates WHERE document_type='INCIDENT' AND is_active=true LIMIT 1"}</t>
        </is>
      </c>
      <c r="I4" s="44" t="inlineStr">
        <is>
          <t>{"note": "No cleanup needed — seed is idempotent"}</t>
        </is>
      </c>
      <c r="J4" s="44" t="inlineStr">
        <is>
          <t>{"template_id": "$.id", "counter_config": "$.counterConfig"}</t>
        </is>
      </c>
      <c r="K4" s="44" t="inlineStr">
        <is>
          <t>TC-001, TC-002, TC-006, TC-008, TC-010, TC-015, TC-016, TC-019, TC-020, TC-021, TC-022, TC-025, TC-032, TC-034, TC-035, TC-036, TC-043, TC-048, TC-050, TC-051, TC-053, TC-058, TC-060, TC-071, TC-074, TC-075, TC-078, TC-079, TC-082, TC-083, TC-084, TC-090, TC-092, TC-093, TC-096, TC-097, TC-098, TC-100, TC-101, TC-106, TC-107, TC-116, TC-119, TC-120, TC-122, TC-125, TC-128, TC-129, TC-134, TC-135, TC-136, TC-151, TC-153, TC-154, TC-183, TC-184, TC-185, TC-188, TC-204, TC-205, TC-211, TC-212, TC-220, TC-221, TC-222, TC-229, TC-239, TC-242, TC-248, TC-249, TC-252, TC-253, TC-260, TC-263, TC-267, TC-268, TC-276, TC-279, TC-281, TC-286, TC-294, TC-295, TC-296, TC-298, TC-299, TC-300, TC-302, TC-304, TC-306, TC-307, TC-316</t>
        </is>
      </c>
    </row>
    <row r="5" ht="50" customHeight="1">
      <c r="A5" s="44" t="inlineStr">
        <is>
          <t>template.case.active</t>
        </is>
      </c>
      <c r="B5" s="62" t="inlineStr">
        <is>
          <t>DocumentNumberTemplate</t>
        </is>
      </c>
      <c r="C5" s="41" t="inlineStr">
        <is>
          <t>active</t>
        </is>
      </c>
      <c r="D5" s="41" t="inlineStr"/>
      <c r="E5" s="41" t="inlineStr">
        <is>
          <t>single</t>
        </is>
      </c>
      <c r="F5" s="44" t="inlineStr">
        <is>
          <t>Template CASE active, segments=[LITERAL:HS, FORMULA:YYYY, COUNTER], padding=3, resetPeriod=YEARLY</t>
        </is>
      </c>
      <c r="G5" s="41" t="inlineStr"/>
      <c r="H5" s="44" t="inlineStr">
        <is>
          <t>{"method": "seed", "command": "cd backend &amp;&amp; node dist/prisma/seed-document-numbers.js", "sql_verify": "SELECT id FROM document_number_templates WHERE document_type='CASE' AND is_active=true LIMIT 1"}</t>
        </is>
      </c>
      <c r="I5" s="44" t="inlineStr">
        <is>
          <t>{"note": "No cleanup needed"}</t>
        </is>
      </c>
      <c r="J5" s="44" t="inlineStr">
        <is>
          <t>{"template_id": "$.id"}</t>
        </is>
      </c>
      <c r="K5" s="44" t="inlineStr">
        <is>
          <t>TC-018, TC-059, TC-103, TC-123, TC-128, TC-132, TC-310</t>
        </is>
      </c>
    </row>
    <row r="6" ht="50" customHeight="1">
      <c r="A6" s="44" t="inlineStr">
        <is>
          <t>template.petition.active</t>
        </is>
      </c>
      <c r="B6" s="62" t="inlineStr">
        <is>
          <t>DocumentNumberTemplate</t>
        </is>
      </c>
      <c r="C6" s="41" t="inlineStr">
        <is>
          <t>active</t>
        </is>
      </c>
      <c r="D6" s="41" t="inlineStr"/>
      <c r="E6" s="41" t="inlineStr">
        <is>
          <t>single</t>
        </is>
      </c>
      <c r="F6" s="44" t="inlineStr">
        <is>
          <t>Template PETITION active, segments=[LITERAL:DT, FORMULA:YYYY, COUNTER], padding=5, resetPeriod=YEARLY</t>
        </is>
      </c>
      <c r="G6" s="41" t="inlineStr"/>
      <c r="H6" s="44" t="inlineStr">
        <is>
          <t>{"method": "seed", "sql_verify": "SELECT id FROM document_number_templates WHERE document_type='PETITION' AND is_active=true LIMIT 1"}</t>
        </is>
      </c>
      <c r="I6" s="44" t="inlineStr">
        <is>
          <t>{"note": "No cleanup needed"}</t>
        </is>
      </c>
      <c r="J6" s="44" t="inlineStr">
        <is>
          <t>{"template_id": "$.id"}</t>
        </is>
      </c>
      <c r="K6" s="44" t="inlineStr">
        <is>
          <t>TC-003, TC-017, TC-052, TC-102, TC-124, TC-130</t>
        </is>
      </c>
    </row>
    <row r="7" ht="50" customHeight="1">
      <c r="A7" s="44" t="inlineStr">
        <is>
          <t>template.proposal.active</t>
        </is>
      </c>
      <c r="B7" s="62" t="inlineStr">
        <is>
          <t>DocumentNumberTemplate</t>
        </is>
      </c>
      <c r="C7" s="41" t="inlineStr">
        <is>
          <t>active</t>
        </is>
      </c>
      <c r="D7" s="41" t="inlineStr"/>
      <c r="E7" s="41" t="inlineStr">
        <is>
          <t>single</t>
        </is>
      </c>
      <c r="F7" s="44" t="inlineStr">
        <is>
          <t>Template PROPOSAL active, segments=[LITERAL:DX, FORMULA:YYYY, COUNTER], padding=5</t>
        </is>
      </c>
      <c r="G7" s="41" t="inlineStr"/>
      <c r="H7" s="44" t="inlineStr">
        <is>
          <t>{"method": "seed", "sql_verify": "SELECT id FROM document_number_templates WHERE document_type='PROPOSAL' AND is_active=true LIMIT 1"}</t>
        </is>
      </c>
      <c r="I7" s="44" t="inlineStr">
        <is>
          <t>{"note": "No cleanup needed"}</t>
        </is>
      </c>
      <c r="J7" s="44" t="inlineStr">
        <is>
          <t>{"template_id": "$.id"}</t>
        </is>
      </c>
      <c r="K7" s="44" t="inlineStr">
        <is>
          <t>TC-126</t>
        </is>
      </c>
    </row>
    <row r="8" ht="50" customHeight="1">
      <c r="A8" s="44" t="inlineStr">
        <is>
          <t>template.delegation.active</t>
        </is>
      </c>
      <c r="B8" s="62" t="inlineStr">
        <is>
          <t>DocumentNumberTemplate</t>
        </is>
      </c>
      <c r="C8" s="41" t="inlineStr">
        <is>
          <t>active</t>
        </is>
      </c>
      <c r="D8" s="41" t="inlineStr"/>
      <c r="E8" s="41" t="inlineStr">
        <is>
          <t>single</t>
        </is>
      </c>
      <c r="F8" s="44" t="inlineStr">
        <is>
          <t>Template DELEGATION active, segments=[LITERAL:UT, FORMULA:YYYY, COUNTER], separator='/', padding=4</t>
        </is>
      </c>
      <c r="G8" s="41" t="inlineStr"/>
      <c r="H8" s="44" t="inlineStr">
        <is>
          <t>{"method": "seed", "sql_verify": "SELECT id FROM document_number_templates WHERE document_type='DELEGATION' AND is_active=true LIMIT 1"}</t>
        </is>
      </c>
      <c r="I8" s="44" t="inlineStr">
        <is>
          <t>{"note": "No cleanup needed"}</t>
        </is>
      </c>
      <c r="J8" s="44" t="inlineStr">
        <is>
          <t>{"template_id": "$.id"}</t>
        </is>
      </c>
      <c r="K8" s="44" t="inlineStr">
        <is>
          <t>TC-127, TC-272</t>
        </is>
      </c>
    </row>
    <row r="9" ht="50" customHeight="1">
      <c r="A9" s="44" t="inlineStr">
        <is>
          <t>template.evidence.override</t>
        </is>
      </c>
      <c r="B9" s="62" t="inlineStr">
        <is>
          <t>DocumentNumberTemplate</t>
        </is>
      </c>
      <c r="C9" s="41" t="inlineStr">
        <is>
          <t>active</t>
        </is>
      </c>
      <c r="D9" s="41" t="inlineStr"/>
      <c r="E9" s="41" t="inlineStr">
        <is>
          <t>single</t>
        </is>
      </c>
      <c r="F9" s="44" t="inlineStr">
        <is>
          <t>Template EVIDENCE inputMode=AUTO_WITH_OVERRIDE, active</t>
        </is>
      </c>
      <c r="G9" s="41" t="inlineStr"/>
      <c r="H9" s="44" t="inlineStr">
        <is>
          <t>{"method": "seed", "sql_verify": "SELECT id FROM document_number_templates WHERE document_type='EVIDENCE' AND input_mode='AUTO_WITH_OVERRIDE' AND is_active=true LIMIT 1"}</t>
        </is>
      </c>
      <c r="I9" s="44" t="inlineStr">
        <is>
          <t>{"note": "No cleanup needed"}</t>
        </is>
      </c>
      <c r="J9" s="44" t="inlineStr">
        <is>
          <t>{"template_id": "$.id"}</t>
        </is>
      </c>
      <c r="K9" s="44" t="inlineStr">
        <is>
          <t>TC-072, TC-108, TC-282</t>
        </is>
      </c>
    </row>
    <row r="10" ht="50" customHeight="1">
      <c r="A10" s="44" t="inlineStr">
        <is>
          <t>template.monthly.active</t>
        </is>
      </c>
      <c r="B10" s="62" t="inlineStr">
        <is>
          <t>DocumentNumberTemplate</t>
        </is>
      </c>
      <c r="C10" s="41" t="inlineStr">
        <is>
          <t>active</t>
        </is>
      </c>
      <c r="D10" s="41" t="inlineStr"/>
      <c r="E10" s="41" t="inlineStr">
        <is>
          <t>single</t>
        </is>
      </c>
      <c r="F10" s="44" t="inlineStr">
        <is>
          <t>Template với resetPeriod=MONTHLY (cần tạo thủ công qua API)</t>
        </is>
      </c>
      <c r="G10" s="41" t="inlineStr"/>
      <c r="H10" s="44" t="inlineStr">
        <is>
          <t>{"method": "api", "endpoint": "POST /api/v1/document-numbers/templates", "body": {"name": "TEST-MONTHLY-{{random}}", "documentType": "PROPOSAL", "separator": "-", "inputMode": "AUTO", "isActive": true, "segments": [{"type": "LITERAL", "value": "TST"}, {"type": "COUNTER"}], "counterConfig": {"resetPeriod": "MONTHLY", "minValue": 1, "maxValue": 9999, "padding": 4}}, "auth": "admin_token"}</t>
        </is>
      </c>
      <c r="I10" s="44" t="inlineStr">
        <is>
          <t>{"method": "api", "endpoint": "DELETE /api/v1/document-numbers/templates/{{template_id}}"}</t>
        </is>
      </c>
      <c r="J10" s="44" t="inlineStr">
        <is>
          <t>{"template_id": "$.id"}</t>
        </is>
      </c>
      <c r="K10" s="44" t="inlineStr">
        <is>
          <t>TC-044, TC-186</t>
        </is>
      </c>
    </row>
    <row r="11" ht="50" customHeight="1">
      <c r="A11" s="44" t="inlineStr">
        <is>
          <t>template.weekly.active</t>
        </is>
      </c>
      <c r="B11" s="62" t="inlineStr">
        <is>
          <t>DocumentNumberTemplate</t>
        </is>
      </c>
      <c r="C11" s="41" t="inlineStr">
        <is>
          <t>active</t>
        </is>
      </c>
      <c r="D11" s="41" t="inlineStr"/>
      <c r="E11" s="41" t="inlineStr">
        <is>
          <t>single</t>
        </is>
      </c>
      <c r="F11" s="44" t="inlineStr">
        <is>
          <t>Template với resetPeriod=WEEKLY</t>
        </is>
      </c>
      <c r="G11" s="41" t="inlineStr"/>
      <c r="H11" s="44" t="inlineStr">
        <is>
          <t>{"method": "api", "endpoint": "POST /api/v1/document-numbers/templates", "body": {"name": "TEST-WEEKLY-{{random}}", "documentType": "PROPOSAL", "separator": "-", "inputMode": "AUTO", "isActive": true, "segments": [{"type": "LITERAL", "value": "WK"}, {"type": "COUNTER"}], "counterConfig": {"resetPeriod": "WEEKLY", "minValue": 1, "maxValue": 9999, "padding": 4}}, "auth": "admin_token"}</t>
        </is>
      </c>
      <c r="I11" s="44" t="inlineStr">
        <is>
          <t>{"method": "api", "endpoint": "DELETE /api/v1/document-numbers/templates/{{template_id}}"}</t>
        </is>
      </c>
      <c r="J11" s="44" t="inlineStr">
        <is>
          <t>{"template_id": "$.id"}</t>
        </is>
      </c>
      <c r="K11" s="44" t="inlineStr">
        <is>
          <t>TC-045, TC-290</t>
        </is>
      </c>
    </row>
    <row r="12" ht="50" customHeight="1">
      <c r="A12" s="44" t="inlineStr">
        <is>
          <t>template.never.active</t>
        </is>
      </c>
      <c r="B12" s="62" t="inlineStr">
        <is>
          <t>DocumentNumberTemplate</t>
        </is>
      </c>
      <c r="C12" s="41" t="inlineStr">
        <is>
          <t>active</t>
        </is>
      </c>
      <c r="D12" s="41" t="inlineStr"/>
      <c r="E12" s="41" t="inlineStr">
        <is>
          <t>single</t>
        </is>
      </c>
      <c r="F12" s="44" t="inlineStr">
        <is>
          <t>Template với resetPeriod=NEVER</t>
        </is>
      </c>
      <c r="G12" s="41" t="inlineStr"/>
      <c r="H12" s="44" t="inlineStr">
        <is>
          <t>{"method": "api", "endpoint": "POST /api/v1/document-numbers/templates", "body": {"name": "TEST-NEVER-{{random}}", "documentType": "DELEGATION", "separator": "-", "inputMode": "AUTO", "isActive": true, "segments": [{"type": "LITERAL", "value": "NV"}, {"type": "COUNTER"}], "counterConfig": {"resetPeriod": "NEVER", "minValue": 1, "maxValue": 999999, "padding": 5}}, "auth": "admin_token"}</t>
        </is>
      </c>
      <c r="I12" s="44" t="inlineStr">
        <is>
          <t>{"method": "api", "endpoint": "DELETE /api/v1/document-numbers/templates/{{template_id}}"}</t>
        </is>
      </c>
      <c r="J12" s="44" t="inlineStr">
        <is>
          <t>{"template_id": "$.id"}</t>
        </is>
      </c>
      <c r="K12" s="44" t="inlineStr">
        <is>
          <t>TC-046, TC-187</t>
        </is>
      </c>
    </row>
    <row r="13" ht="50" customHeight="1">
      <c r="A13" s="44" t="inlineStr">
        <is>
          <t>template.maxnumber.active</t>
        </is>
      </c>
      <c r="B13" s="62" t="inlineStr">
        <is>
          <t>DocumentNumberTemplate</t>
        </is>
      </c>
      <c r="C13" s="41" t="inlineStr">
        <is>
          <t>active</t>
        </is>
      </c>
      <c r="D13" s="41" t="inlineStr"/>
      <c r="E13" s="41" t="inlineStr">
        <is>
          <t>single</t>
        </is>
      </c>
      <c r="F13" s="44" t="inlineStr">
        <is>
          <t>Template với resetPeriod=MAX_NUMBER</t>
        </is>
      </c>
      <c r="G13" s="41" t="inlineStr"/>
      <c r="H13" s="44" t="inlineStr">
        <is>
          <t>{"method": "api", "endpoint": "POST /api/v1/document-numbers/templates", "body": {"name": "TEST-MAXNUM-{{random}}", "documentType": "EVIDENCE", "separator": "-", "inputMode": "AUTO", "isActive": false, "segments": [{"type": "LITERAL", "value": "MX"}, {"type": "COUNTER"}], "counterConfig": {"resetPeriod": "MAX_NUMBER", "minValue": 1, "maxValue": 10, "padding": 2}}, "auth": "admin_token"}</t>
        </is>
      </c>
      <c r="I13" s="44" t="inlineStr">
        <is>
          <t>{"method": "api", "endpoint": "DELETE /api/v1/document-numbers/templates/{{template_id}}"}</t>
        </is>
      </c>
      <c r="J13" s="44" t="inlineStr">
        <is>
          <t>{"template_id": "$.id"}</t>
        </is>
      </c>
      <c r="K13" s="44" t="inlineStr">
        <is>
          <t>TC-047</t>
        </is>
      </c>
    </row>
    <row r="14" ht="50" customHeight="1">
      <c r="A14" s="44" t="inlineStr">
        <is>
          <t>template.maxnumber.at_max</t>
        </is>
      </c>
      <c r="B14" s="62" t="inlineStr">
        <is>
          <t>DocumentNumberTemplate</t>
        </is>
      </c>
      <c r="C14" s="41" t="inlineStr">
        <is>
          <t>active</t>
        </is>
      </c>
      <c r="D14" s="41" t="inlineStr"/>
      <c r="E14" s="41" t="inlineStr">
        <is>
          <t>single</t>
        </is>
      </c>
      <c r="F14" s="44" t="inlineStr">
        <is>
          <t>Template resetPeriod=MAX_NUMBER với counter đang ở maxValue (10/10)</t>
        </is>
      </c>
      <c r="G14" s="41" t="inlineStr"/>
      <c r="H14" s="44" t="inlineStr">
        <is>
          <t>{"method": "sql", "steps": ["1. Tạo template maxnumber.active", "2. UPDATE document_number_counters SET current_value=10 WHERE template_id='{{template_id}}' AND period_key='global'"]}</t>
        </is>
      </c>
      <c r="I14" s="44" t="inlineStr">
        <is>
          <t>{"method": "api", "endpoint": "DELETE /api/v1/document-numbers/templates/{{template_id}}"}</t>
        </is>
      </c>
      <c r="J14" s="44" t="inlineStr">
        <is>
          <t>{"template_id": "$.id"}</t>
        </is>
      </c>
      <c r="K14" s="44" t="inlineStr">
        <is>
          <t>TC-301</t>
        </is>
      </c>
    </row>
    <row r="15" ht="50" customHeight="1">
      <c r="A15" s="44" t="inlineStr">
        <is>
          <t>template.no_counter</t>
        </is>
      </c>
      <c r="B15" s="62" t="inlineStr">
        <is>
          <t>DocumentNumberTemplate</t>
        </is>
      </c>
      <c r="C15" s="41" t="inlineStr">
        <is>
          <t>active</t>
        </is>
      </c>
      <c r="D15" s="41" t="inlineStr"/>
      <c r="E15" s="41" t="inlineStr">
        <is>
          <t>single</t>
        </is>
      </c>
      <c r="F15" s="44" t="inlineStr">
        <is>
          <t>Template PROPOSAL active nhưng chưa có counter row (period mới chưa từng commit)</t>
        </is>
      </c>
      <c r="G15" s="41" t="inlineStr"/>
      <c r="H15" s="44" t="inlineStr">
        <is>
          <t>{"method": "api+sql", "steps": ["1. Tạo template mới qua POST /templates", "2. DELETE FROM document_number_counters WHERE template_id='{{template_id}}'"]}</t>
        </is>
      </c>
      <c r="I15" s="44" t="inlineStr">
        <is>
          <t>{"method": "api", "endpoint": "DELETE /api/v1/document-numbers/templates/{{template_id}}"}</t>
        </is>
      </c>
      <c r="J15" s="44" t="inlineStr">
        <is>
          <t>{"template_id": "$.id"}</t>
        </is>
      </c>
      <c r="K15" s="44" t="inlineStr">
        <is>
          <t>TC-049</t>
        </is>
      </c>
    </row>
    <row r="16" ht="50" customHeight="1">
      <c r="A16" s="44" t="inlineStr">
        <is>
          <t>template.with_logs</t>
        </is>
      </c>
      <c r="B16" s="62" t="inlineStr">
        <is>
          <t>DocumentNumberTemplate</t>
        </is>
      </c>
      <c r="C16" s="41" t="inlineStr">
        <is>
          <t>active</t>
        </is>
      </c>
      <c r="D16" s="41" t="inlineStr"/>
      <c r="E16" s="41" t="inlineStr">
        <is>
          <t>single</t>
        </is>
      </c>
      <c r="F16" s="44" t="inlineStr">
        <is>
          <t>Template PROPOSAL với 5 committed logs (isDraft=false)</t>
        </is>
      </c>
      <c r="G16" s="41" t="inlineStr"/>
      <c r="H16" s="44" t="inlineStr">
        <is>
          <t>{"method": "api", "steps": ["1. Tạo template test", "2. POST /commit 5 lần với documentType của template"]}</t>
        </is>
      </c>
      <c r="I16" s="44" t="inlineStr">
        <is>
          <t>{"method": "api", "endpoint": "DELETE /api/v1/document-numbers/templates/{{template_id}}"}</t>
        </is>
      </c>
      <c r="J16" s="44" t="inlineStr">
        <is>
          <t>{"template_id": "$.id", "log_count": 5}</t>
        </is>
      </c>
      <c r="K16" s="44" t="inlineStr">
        <is>
          <t>TC-091, TC-292</t>
        </is>
      </c>
    </row>
    <row r="17" ht="50" customHeight="1">
      <c r="A17" s="44" t="inlineStr">
        <is>
          <t>template.proposal.manual</t>
        </is>
      </c>
      <c r="B17" s="62" t="inlineStr">
        <is>
          <t>DocumentNumberTemplate</t>
        </is>
      </c>
      <c r="C17" s="41" t="inlineStr">
        <is>
          <t>active</t>
        </is>
      </c>
      <c r="D17" s="41" t="inlineStr"/>
      <c r="E17" s="41" t="inlineStr">
        <is>
          <t>single</t>
        </is>
      </c>
      <c r="F17" s="44" t="inlineStr">
        <is>
          <t>Template PROPOSAL với inputMode=MANUAL</t>
        </is>
      </c>
      <c r="G17" s="41" t="inlineStr"/>
      <c r="H17" s="44" t="inlineStr">
        <is>
          <t>{"method": "api", "endpoint": "POST /api/v1/document-numbers/templates", "body": {"name": "TEST-MANUAL-{{random}}", "documentType": "PROPOSAL", "inputMode": "MANUAL", "isActive": true, "segments": [{"type": "LITERAL", "value": "MAN"}, {"type": "COUNTER"}], "counterConfig": {"resetPeriod": "YEARLY", "minValue": 1, "maxValue": 9999, "padding": 4}}, "auth": "admin_token"}</t>
        </is>
      </c>
      <c r="I17" s="44" t="inlineStr">
        <is>
          <t>{"method": "api", "endpoint": "DELETE /api/v1/document-numbers/templates/{{template_id}}"}</t>
        </is>
      </c>
      <c r="J17" s="44" t="inlineStr">
        <is>
          <t>{"template_id": "$.id"}</t>
        </is>
      </c>
      <c r="K17" s="44" t="inlineStr">
        <is>
          <t>TC-073</t>
        </is>
      </c>
    </row>
    <row r="18" ht="50" customHeight="1">
      <c r="A18" s="44" t="inlineStr">
        <is>
          <t>template.large_counter</t>
        </is>
      </c>
      <c r="B18" s="62" t="inlineStr">
        <is>
          <t>DocumentNumberTemplate</t>
        </is>
      </c>
      <c r="C18" s="41" t="inlineStr">
        <is>
          <t>active</t>
        </is>
      </c>
      <c r="D18" s="41" t="inlineStr"/>
      <c r="E18" s="41" t="inlineStr">
        <is>
          <t>single</t>
        </is>
      </c>
      <c r="F18" s="44" t="inlineStr">
        <is>
          <t>Template INCIDENT với maxValue=999999, padding=5, counter=99999</t>
        </is>
      </c>
      <c r="G18" s="41" t="inlineStr"/>
      <c r="H18" s="44" t="inlineStr">
        <is>
          <t>{"method": "api+sql", "steps": ["1. POST /templates với maxValue=999999, padding=5", "2. UPDATE document_number_counters SET current_value=99999 WHERE template_id='{{template_id}}'"]}</t>
        </is>
      </c>
      <c r="I18" s="44" t="inlineStr">
        <is>
          <t>{"method": "api", "endpoint": "DELETE /api/v1/document-numbers/templates/{{template_id}}"}</t>
        </is>
      </c>
      <c r="J18" s="44" t="inlineStr">
        <is>
          <t>{"template_id": "$.id"}</t>
        </is>
      </c>
      <c r="K18" s="44" t="inlineStr">
        <is>
          <t>TC-061</t>
        </is>
      </c>
    </row>
    <row r="19" ht="50" customHeight="1">
      <c r="A19" s="44" t="inlineStr">
        <is>
          <t>template.workid_source</t>
        </is>
      </c>
      <c r="B19" s="62" t="inlineStr">
        <is>
          <t>DocumentNumberTemplate</t>
        </is>
      </c>
      <c r="C19" s="41" t="inlineStr">
        <is>
          <t>active</t>
        </is>
      </c>
      <c r="D19" s="41" t="inlineStr"/>
      <c r="E19" s="41" t="inlineStr">
        <is>
          <t>single</t>
        </is>
      </c>
      <c r="F19" s="44" t="inlineStr">
        <is>
          <t>Template với FORMULA source=ctx:Login.workId</t>
        </is>
      </c>
      <c r="G19" s="41" t="inlineStr"/>
      <c r="H19" s="44" t="inlineStr">
        <is>
          <t>{"method": "api", "endpoint": "POST /api/v1/document-numbers/templates", "body": {"name": "TEST-WORKID-{{random}}", "documentType": "PROPOSAL", "separator": "-", "inputMode": "AUTO", "isActive": true, "segments": [{"type": "LITERAL", "value": "TST"}, {"type": "FORMULA", "fn": "FORMAT", "source": "ctx:Login.workId", "pattern": ""}, {"type": "COUNTER"}], "counterConfig": {"resetPeriod": "YEARLY", "minValue": 1, "maxValue": 9999, "padding": 4}}, "auth": "admin_token"}</t>
        </is>
      </c>
      <c r="I19" s="44" t="inlineStr">
        <is>
          <t>{"method": "api", "endpoint": "DELETE /api/v1/document-numbers/templates/{{template_id}}"}</t>
        </is>
      </c>
      <c r="J19" s="44" t="inlineStr">
        <is>
          <t>{"template_id": "$.id"}</t>
        </is>
      </c>
      <c r="K19" s="44" t="inlineStr">
        <is>
          <t>TC-040, TC-041</t>
        </is>
      </c>
    </row>
    <row r="20" ht="50" customHeight="1">
      <c r="A20" s="44" t="inlineStr">
        <is>
          <t>template.deptid_source</t>
        </is>
      </c>
      <c r="B20" s="62" t="inlineStr">
        <is>
          <t>DocumentNumberTemplate</t>
        </is>
      </c>
      <c r="C20" s="41" t="inlineStr">
        <is>
          <t>active</t>
        </is>
      </c>
      <c r="D20" s="41" t="inlineStr"/>
      <c r="E20" s="41" t="inlineStr">
        <is>
          <t>single</t>
        </is>
      </c>
      <c r="F20" s="44" t="inlineStr">
        <is>
          <t>Template với FORMULA source=ctx:Login.departmentId</t>
        </is>
      </c>
      <c r="G20" s="41" t="inlineStr"/>
      <c r="H20" s="44" t="inlineStr">
        <is>
          <t>{"method": "api", "endpoint": "POST /api/v1/document-numbers/templates", "body": {"name": "TEST-DEPTID-{{random}}", "documentType": "PROPOSAL", "separator": "-", "inputMode": "AUTO", "isActive": true, "segments": [{"type": "LITERAL", "value": "DEPT"}, {"type": "FORMULA", "fn": "FORMAT", "source": "ctx:Login.departmentId", "pattern": ""}, {"type": "COUNTER"}], "counterConfig": {"resetPeriod": "YEARLY", "minValue": 1, "maxValue": 9999, "padding": 4}}, "auth": "admin_token"}</t>
        </is>
      </c>
      <c r="I20" s="44" t="inlineStr">
        <is>
          <t>{"method": "api", "endpoint": "DELETE /api/v1/document-numbers/templates/{{template_id}}"}</t>
        </is>
      </c>
      <c r="J20" s="44" t="inlineStr">
        <is>
          <t>{"template_id": "$.id"}</t>
        </is>
      </c>
      <c r="K20" s="44" t="inlineStr">
        <is>
          <t>TC-042</t>
        </is>
      </c>
    </row>
    <row r="21" ht="50" customHeight="1">
      <c r="A21" s="44" t="inlineStr">
        <is>
          <t>counter.incident.value_0</t>
        </is>
      </c>
      <c r="B21" s="62" t="inlineStr">
        <is>
          <t>DocumentNumberCounter</t>
        </is>
      </c>
      <c r="C21" s="41" t="inlineStr">
        <is>
          <t>zero</t>
        </is>
      </c>
      <c r="D21" s="41" t="inlineStr"/>
      <c r="E21" s="41" t="inlineStr">
        <is>
          <t>single</t>
        </is>
      </c>
      <c r="F21" s="44" t="inlineStr">
        <is>
          <t>Counter INCIDENT tại 0 (chưa có commit nào trong năm hiện tại)</t>
        </is>
      </c>
      <c r="G21" s="41" t="inlineStr"/>
      <c r="H21" s="44" t="inlineStr">
        <is>
          <t>{"method": "sql", "sql": "UPDATE document_number_counters SET current_value=0 WHERE template_id=(SELECT id FROM document_number_templates WHERE document_type='INCIDENT' AND is_active=true) AND period_key='2026'", "note": "Hoặc DELETE row và để cold-start tự tạo"}</t>
        </is>
      </c>
      <c r="I21" s="44" t="inlineStr">
        <is>
          <t>{"sql": "UPDATE document_number_counters SET current_value=106 WHERE ... (restore)"}</t>
        </is>
      </c>
      <c r="J21" s="44" t="inlineStr">
        <is>
          <t>{"current_value": 0}</t>
        </is>
      </c>
      <c r="K21" s="44" t="inlineStr">
        <is>
          <t>TC-020, TC-043, TC-051, TC-300</t>
        </is>
      </c>
    </row>
    <row r="22" ht="50" customHeight="1">
      <c r="A22" s="44" t="inlineStr">
        <is>
          <t>counter.incident.value_50</t>
        </is>
      </c>
      <c r="B22" s="62" t="inlineStr">
        <is>
          <t>DocumentNumberCounter</t>
        </is>
      </c>
      <c r="C22" s="41" t="inlineStr">
        <is>
          <t>mid</t>
        </is>
      </c>
      <c r="D22" s="41" t="inlineStr"/>
      <c r="E22" s="41" t="inlineStr">
        <is>
          <t>single</t>
        </is>
      </c>
      <c r="F22" s="44" t="inlineStr">
        <is>
          <t>Counter INCIDENT = 50</t>
        </is>
      </c>
      <c r="G22" s="41" t="inlineStr"/>
      <c r="H22" s="44" t="inlineStr">
        <is>
          <t>{"method": "sql", "sql": "UPDATE document_number_counters SET current_value=50 WHERE template_id=(SELECT id FROM document_number_templates WHERE document_type='INCIDENT' AND is_active=true) AND period_key='2026'"}</t>
        </is>
      </c>
      <c r="I22" s="44" t="inlineStr">
        <is>
          <t>{"sql": "UPDATE ... SET current_value=106 (restore)"}</t>
        </is>
      </c>
      <c r="J22" s="44" t="inlineStr">
        <is>
          <t>{"current_value": 50}</t>
        </is>
      </c>
      <c r="K22" s="44" t="inlineStr">
        <is>
          <t>TC-002, TC-008, TC-010, TC-019, TC-050, TC-090, TC-153, TC-252</t>
        </is>
      </c>
    </row>
    <row r="23" ht="50" customHeight="1">
      <c r="A23" s="44" t="inlineStr">
        <is>
          <t>counter.incident.value_106</t>
        </is>
      </c>
      <c r="B23" s="62" t="inlineStr">
        <is>
          <t>DocumentNumberCounter</t>
        </is>
      </c>
      <c r="C23" s="41" t="inlineStr">
        <is>
          <t>production_baseline</t>
        </is>
      </c>
      <c r="D23" s="41" t="inlineStr"/>
      <c r="E23" s="41" t="inlineStr">
        <is>
          <t>single</t>
        </is>
      </c>
      <c r="F23" s="44" t="inlineStr">
        <is>
          <t>Counter INCIDENT = 106 (production baseline sau seed)</t>
        </is>
      </c>
      <c r="G23" s="41" t="inlineStr"/>
      <c r="H23" s="44" t="inlineStr">
        <is>
          <t>{"method": "sql", "sql": "UPDATE document_number_counters SET current_value=106 WHERE template_id=(SELECT id FROM document_number_templates WHERE document_type='INCIDENT' AND is_active=true) AND period_key='2026'"}</t>
        </is>
      </c>
      <c r="I23" s="44" t="inlineStr">
        <is>
          <t>{"note": "This is production baseline, no cleanup needed"}</t>
        </is>
      </c>
      <c r="J23" s="44" t="inlineStr">
        <is>
          <t>{"current_value": 106}</t>
        </is>
      </c>
      <c r="K23" s="44" t="inlineStr">
        <is>
          <t>TC-009, TC-053, TC-082, TC-093, TC-125, TC-135, TC-154, TC-249, TC-296, TC-316</t>
        </is>
      </c>
    </row>
    <row r="24" ht="50" customHeight="1">
      <c r="A24" s="44" t="inlineStr">
        <is>
          <t>counter.incident.exhausted</t>
        </is>
      </c>
      <c r="B24" s="62" t="inlineStr">
        <is>
          <t>DocumentNumberCounter</t>
        </is>
      </c>
      <c r="C24" s="41" t="inlineStr">
        <is>
          <t>exhausted</t>
        </is>
      </c>
      <c r="D24" s="41" t="inlineStr"/>
      <c r="E24" s="41" t="inlineStr">
        <is>
          <t>single</t>
        </is>
      </c>
      <c r="F24" s="44" t="inlineStr">
        <is>
          <t>Counter INCIDENT đã đạt maxValue (99999) — không thể commit thêm trong kỳ YEARLY</t>
        </is>
      </c>
      <c r="G24" s="41" t="inlineStr"/>
      <c r="H24" s="44" t="inlineStr">
        <is>
          <t>{"method": "sql", "sql": "UPDATE document_number_counters SET current_value=99999 WHERE template_id=(SELECT id FROM document_number_templates WHERE document_type='INCIDENT' AND is_active=true) AND period_key='2026'"}</t>
        </is>
      </c>
      <c r="I24" s="44" t="inlineStr">
        <is>
          <t>{"sql": "UPDATE ... SET current_value=106 (restore production baseline)"}</t>
        </is>
      </c>
      <c r="J24" s="44" t="inlineStr">
        <is>
          <t>{"current_value": 99999}</t>
        </is>
      </c>
      <c r="K24" s="44" t="inlineStr"/>
    </row>
    <row r="25" ht="50" customHeight="1">
      <c r="A25" s="44" t="inlineStr">
        <is>
          <t>counter.incident.year_2026</t>
        </is>
      </c>
      <c r="B25" s="62" t="inlineStr">
        <is>
          <t>DocumentNumberCounter</t>
        </is>
      </c>
      <c r="C25" s="41" t="inlineStr">
        <is>
          <t>near_max</t>
        </is>
      </c>
      <c r="D25" s="41" t="inlineStr"/>
      <c r="E25" s="41" t="inlineStr">
        <is>
          <t>single</t>
        </is>
      </c>
      <c r="F25" s="44" t="inlineStr">
        <is>
          <t>Counter INCIDENT year_2026 = 99 (gần maxValue, test year boundary)</t>
        </is>
      </c>
      <c r="G25" s="41" t="inlineStr"/>
      <c r="H25" s="44" t="inlineStr">
        <is>
          <t>{"method": "sql", "sql": "INSERT INTO document_number_counters (id, template_id, period_key, current_value, updated_at) VALUES (gen_random_uuid(), '{{template_incident_id}}', '2026', 99, NOW()) ON CONFLICT (template_id, period_key) DO UPDATE SET current_value=99"}</t>
        </is>
      </c>
      <c r="I25" s="44" t="inlineStr">
        <is>
          <t>{"sql": "DELETE FROM document_number_counters WHERE template_id='{{template_incident_id}}' AND period_key='2026'"}</t>
        </is>
      </c>
      <c r="J25" s="44" t="inlineStr">
        <is>
          <t>{"current_value": 99, "period_key": "2026"}</t>
        </is>
      </c>
      <c r="K25" s="44" t="inlineStr">
        <is>
          <t>TC-048</t>
        </is>
      </c>
    </row>
    <row r="26" ht="50" customHeight="1">
      <c r="A26" s="44" t="inlineStr">
        <is>
          <t>counter.case.value_0</t>
        </is>
      </c>
      <c r="B26" s="62" t="inlineStr">
        <is>
          <t>DocumentNumberCounter</t>
        </is>
      </c>
      <c r="C26" s="41" t="inlineStr">
        <is>
          <t>zero</t>
        </is>
      </c>
      <c r="D26" s="41" t="inlineStr"/>
      <c r="E26" s="41" t="inlineStr">
        <is>
          <t>single</t>
        </is>
      </c>
      <c r="F26" s="44" t="inlineStr">
        <is>
          <t>Counter CASE = 0</t>
        </is>
      </c>
      <c r="G26" s="41" t="inlineStr"/>
      <c r="H26" s="44" t="inlineStr">
        <is>
          <t>{"method": "sql", "sql": "UPDATE document_number_counters SET current_value=0 WHERE template_id=(SELECT id FROM document_number_templates WHERE document_type='CASE' AND is_active=true) AND period_key='2026'"}</t>
        </is>
      </c>
      <c r="I26" s="44" t="inlineStr">
        <is>
          <t>{"note": "Restore after test"}</t>
        </is>
      </c>
      <c r="J26" s="44" t="inlineStr">
        <is>
          <t>{"current_value": 0}</t>
        </is>
      </c>
      <c r="K26" s="44" t="inlineStr">
        <is>
          <t>TC-059, TC-123</t>
        </is>
      </c>
    </row>
    <row r="27" ht="50" customHeight="1">
      <c r="A27" s="44" t="inlineStr">
        <is>
          <t>counter.petition.value_0</t>
        </is>
      </c>
      <c r="B27" s="62" t="inlineStr">
        <is>
          <t>DocumentNumberCounter</t>
        </is>
      </c>
      <c r="C27" s="41" t="inlineStr">
        <is>
          <t>zero</t>
        </is>
      </c>
      <c r="D27" s="41" t="inlineStr"/>
      <c r="E27" s="41" t="inlineStr">
        <is>
          <t>single</t>
        </is>
      </c>
      <c r="F27" s="44" t="inlineStr">
        <is>
          <t>Counter PETITION = 0</t>
        </is>
      </c>
      <c r="G27" s="41" t="inlineStr"/>
      <c r="H27" s="44" t="inlineStr">
        <is>
          <t>{"method": "sql", "sql": "UPDATE document_number_counters SET current_value=0 WHERE template_id=(SELECT id FROM document_number_templates WHERE document_type='PETITION' AND is_active=true) AND period_key='2026'"}</t>
        </is>
      </c>
      <c r="I27" s="44" t="inlineStr">
        <is>
          <t>{"note": "Restore after test"}</t>
        </is>
      </c>
      <c r="J27" s="44" t="inlineStr">
        <is>
          <t>{"current_value": 0}</t>
        </is>
      </c>
      <c r="K27" s="44" t="inlineStr">
        <is>
          <t>TC-052, TC-124</t>
        </is>
      </c>
    </row>
    <row r="28" ht="50" customHeight="1">
      <c r="A28" s="44" t="inlineStr">
        <is>
          <t>counter.proposal.value_0</t>
        </is>
      </c>
      <c r="B28" s="62" t="inlineStr">
        <is>
          <t>DocumentNumberCounter</t>
        </is>
      </c>
      <c r="C28" s="41" t="inlineStr">
        <is>
          <t>zero</t>
        </is>
      </c>
      <c r="D28" s="41" t="inlineStr"/>
      <c r="E28" s="41" t="inlineStr">
        <is>
          <t>single</t>
        </is>
      </c>
      <c r="F28" s="44" t="inlineStr">
        <is>
          <t>Counter PROPOSAL = 0</t>
        </is>
      </c>
      <c r="G28" s="41" t="inlineStr"/>
      <c r="H28" s="44" t="inlineStr">
        <is>
          <t>{"method": "sql", "sql": "UPDATE document_number_counters SET current_value=0 WHERE template_id=(SELECT id FROM document_number_templates WHERE document_type='PROPOSAL' AND is_active=true) AND period_key='2026'"}</t>
        </is>
      </c>
      <c r="I28" s="44" t="inlineStr">
        <is>
          <t>{"note": "Restore after test"}</t>
        </is>
      </c>
      <c r="J28" s="44" t="inlineStr">
        <is>
          <t>{"current_value": 0}</t>
        </is>
      </c>
      <c r="K28" s="44" t="inlineStr">
        <is>
          <t>TC-126</t>
        </is>
      </c>
    </row>
    <row r="29" ht="50" customHeight="1">
      <c r="A29" s="44" t="inlineStr">
        <is>
          <t>counter.delegation.value_0</t>
        </is>
      </c>
      <c r="B29" s="62" t="inlineStr">
        <is>
          <t>DocumentNumberCounter</t>
        </is>
      </c>
      <c r="C29" s="41" t="inlineStr">
        <is>
          <t>zero</t>
        </is>
      </c>
      <c r="D29" s="41" t="inlineStr"/>
      <c r="E29" s="41" t="inlineStr">
        <is>
          <t>single</t>
        </is>
      </c>
      <c r="F29" s="44" t="inlineStr">
        <is>
          <t>Counter DELEGATION = 0</t>
        </is>
      </c>
      <c r="G29" s="41" t="inlineStr"/>
      <c r="H29" s="44" t="inlineStr">
        <is>
          <t>{"method": "sql", "sql": "UPDATE document_number_counters SET current_value=0 WHERE template_id=(SELECT id FROM document_number_templates WHERE document_type='DELEGATION' AND is_active=true) AND period_key='global'"}</t>
        </is>
      </c>
      <c r="I29" s="44" t="inlineStr">
        <is>
          <t>{"note": "Restore after test"}</t>
        </is>
      </c>
      <c r="J29" s="44" t="inlineStr">
        <is>
          <t>{"current_value": 0}</t>
        </is>
      </c>
      <c r="K29" s="44" t="inlineStr">
        <is>
          <t>TC-127, TC-272</t>
        </is>
      </c>
    </row>
    <row r="30" ht="50" customHeight="1">
      <c r="A30" s="44" t="inlineStr">
        <is>
          <t>user.admin</t>
        </is>
      </c>
      <c r="B30" s="51" t="inlineStr">
        <is>
          <t>User</t>
        </is>
      </c>
      <c r="C30" s="41" t="inlineStr">
        <is>
          <t>active</t>
        </is>
      </c>
      <c r="D30" s="41" t="inlineStr"/>
      <c r="E30" s="41" t="inlineStr">
        <is>
          <t>single</t>
        </is>
      </c>
      <c r="F30" s="44" t="inlineStr">
        <is>
          <t>Admin user (admin@pc02.local) với role ADMIN</t>
        </is>
      </c>
      <c r="G30" s="41" t="inlineStr"/>
      <c r="H30" s="44" t="inlineStr">
        <is>
          <t>{"method": "existing", "credentials": {"email": "admin@pc02.local", "password": "{{env.ADMIN_PASSWORD}}"}, "note": "Seeded tự động. GET /api/v1/auth/login để lấy token"}</t>
        </is>
      </c>
      <c r="I30" s="44" t="inlineStr">
        <is>
          <t>{"note": "Không xóa — account hệ thống"}</t>
        </is>
      </c>
      <c r="J30" s="44" t="inlineStr">
        <is>
          <t>{"user_id": "$.id", "token": "$.accessToken"}</t>
        </is>
      </c>
      <c r="K30" s="44" t="inlineStr">
        <is>
          <t>TC-004, TC-005, TC-006, TC-007, TC-008, TC-009, TC-010, TC-011, TC-013, TC-014, TC-015, TC-029, TC-030, TC-031, TC-032, TC-034, TC-055, TC-062, TC-063, TC-064, TC-065, TC-066, TC-067, TC-068, TC-069, TC-070, TC-076, TC-077, TC-078, TC-079, TC-080, TC-081, TC-082, TC-083, TC-084, TC-086, TC-087, TC-088, TC-089, TC-090, TC-091, TC-092, TC-093, TC-094, TC-095, TC-096, TC-109, TC-110, TC-111, TC-112, TC-113, TC-114, TC-115, TC-117, TC-118, TC-121, TC-133, TC-137, TC-138, TC-139, TC-140, TC-141, TC-142, TC-143, TC-144, TC-145, TC-146, TC-147, TC-148, TC-149, TC-152, TC-154, TC-155, TC-156, TC-157, TC-158, TC-159, TC-160, TC-161, TC-162, TC-163, TC-164, TC-165, TC-166, TC-167, TC-168, TC-169, TC-170, TC-175, TC-176, TC-188, TC-189, TC-190, TC-191, TC-192, TC-196, TC-197, TC-198, TC-200, TC-201, TC-202, TC-204, TC-213, TC-215, TC-216, TC-217, TC-218, TC-219, TC-223, TC-224, TC-225, TC-226, TC-227, TC-228, TC-230, TC-231, TC-232, TC-233, TC-234, TC-235, TC-236, TC-238, TC-239, TC-245, TC-246, TC-247, TC-248, TC-251, TC-252, TC-253, TC-255, TC-256, TC-257, TC-259, TC-260, TC-261, TC-264, TC-265, TC-266, TC-268, TC-269, TC-270, TC-273, TC-277, TC-278, TC-279, TC-281, TC-283, TC-284, TC-285, TC-287, TC-289, TC-291, TC-292, TC-296, TC-297, TC-298, TC-299, TC-301, TC-302, TC-304, TC-305, TC-306, TC-308, TC-312, TC-317, TC-318, TC-319, TC-320</t>
        </is>
      </c>
    </row>
    <row r="31" ht="50" customHeight="1">
      <c r="A31" s="44" t="inlineStr">
        <is>
          <t>user.officer</t>
        </is>
      </c>
      <c r="B31" s="51" t="inlineStr">
        <is>
          <t>User</t>
        </is>
      </c>
      <c r="C31" s="41" t="inlineStr">
        <is>
          <t>active</t>
        </is>
      </c>
      <c r="D31" s="41" t="inlineStr"/>
      <c r="E31" s="41" t="inlineStr">
        <is>
          <t>single</t>
        </is>
      </c>
      <c r="F31" s="44" t="inlineStr">
        <is>
          <t>Officer user (officer1@pc02.local) với role OFFICER</t>
        </is>
      </c>
      <c r="G31" s="41" t="inlineStr"/>
      <c r="H31" s="44" t="inlineStr">
        <is>
          <t>{"method": "existing_or_create", "credentials": {"email": "officer1@pc02.local", "password": "{{env.OFFICER_PASSWORD}}"}, "create_if_missing": {"endpoint": "POST /api/v1/users", "body": {"email": "officer1-{{random}}@test.pc02.local", "password": "Test@1234", "role": "OFFICER", "fullName": "Officer Test 1"}}}</t>
        </is>
      </c>
      <c r="I31" s="44" t="inlineStr">
        <is>
          <t>{"note": "Không xóa account thật. Xóa account test nếu create_if_missing"}</t>
        </is>
      </c>
      <c r="J31" s="44" t="inlineStr">
        <is>
          <t>{"user_id": "$.id", "token": "$.accessToken"}</t>
        </is>
      </c>
      <c r="K31" s="44" t="inlineStr">
        <is>
          <t>TC-001, TC-002, TC-003, TC-012, TC-016, TC-017, TC-018, TC-019, TC-020, TC-024, TC-025, TC-026, TC-027, TC-028, TC-033, TC-042, TC-054, TC-057, TC-058, TC-071, TC-072, TC-073, TC-074, TC-075, TC-085, TC-097, TC-098, TC-099, TC-100, TC-101, TC-102, TC-103, TC-104, TC-105, TC-106, TC-107, TC-108, TC-116, TC-119, TC-120, TC-122, TC-123, TC-124, TC-125, TC-126, TC-127, TC-128, TC-129, TC-130, TC-131, TC-132, TC-134, TC-135, TC-136, TC-150, TC-151, TC-153, TC-171, TC-172, TC-173, TC-174, TC-177, TC-178, TC-182, TC-183, TC-184, TC-185, TC-186, TC-187, TC-188, TC-193, TC-194, TC-195, TC-199, TC-205, TC-211, TC-212, TC-214, TC-220, TC-221, TC-222, TC-229, TC-237, TC-240, TC-241, TC-242, TC-243, TC-244, TC-249, TC-250, TC-252, TC-253, TC-254, TC-258, TC-262, TC-263, TC-267, TC-271, TC-272, TC-274, TC-275, TC-276, TC-280, TC-282, TC-286, TC-288, TC-289, TC-290, TC-293, TC-294, TC-295, TC-296, TC-299, TC-300, TC-301, TC-303, TC-304, TC-305, TC-307, TC-309, TC-310, TC-311, TC-314, TC-315, TC-316, TC-317, TC-318</t>
        </is>
      </c>
    </row>
    <row r="32" ht="50" customHeight="1">
      <c r="A32" s="44" t="inlineStr">
        <is>
          <t>user.officer_with_workid</t>
        </is>
      </c>
      <c r="B32" s="51" t="inlineStr">
        <is>
          <t>User</t>
        </is>
      </c>
      <c r="C32" s="41" t="inlineStr">
        <is>
          <t>active</t>
        </is>
      </c>
      <c r="D32" s="41" t="inlineStr"/>
      <c r="E32" s="41" t="inlineStr">
        <is>
          <t>single</t>
        </is>
      </c>
      <c r="F32" s="44" t="inlineStr">
        <is>
          <t>Officer có workId='A001' (dùng để test Formula ctx:Login.workId)</t>
        </is>
      </c>
      <c r="G32" s="41" t="inlineStr"/>
      <c r="H32" s="44" t="inlineStr">
        <is>
          <t>{"method": "api", "steps": ["1. Tạo user: POST /api/v1/users {email:'wid-{{random}}@test.pc02.local', password:'Test@1234', role:'OFFICER'}", "2. Update workId: PUT /api/v1/users/{id} {workId:'A001'}"]}</t>
        </is>
      </c>
      <c r="I32" s="44" t="inlineStr">
        <is>
          <t>{"endpoint": "DELETE /api/v1/users/{{user_id}}"}</t>
        </is>
      </c>
      <c r="J32" s="44" t="inlineStr">
        <is>
          <t>{"user_id": "$.id", "workId": "A001", "token": "$.accessToken"}</t>
        </is>
      </c>
      <c r="K32" s="44" t="inlineStr">
        <is>
          <t>TC-040</t>
        </is>
      </c>
    </row>
    <row r="33" ht="50" customHeight="1">
      <c r="A33" s="44" t="inlineStr">
        <is>
          <t>user.no_workid</t>
        </is>
      </c>
      <c r="B33" s="51" t="inlineStr">
        <is>
          <t>User</t>
        </is>
      </c>
      <c r="C33" s="41" t="inlineStr">
        <is>
          <t>active</t>
        </is>
      </c>
      <c r="D33" s="41" t="inlineStr"/>
      <c r="E33" s="41" t="inlineStr">
        <is>
          <t>single</t>
        </is>
      </c>
      <c r="F33" s="44" t="inlineStr">
        <is>
          <t>Officer không có workId (workId=null)</t>
        </is>
      </c>
      <c r="G33" s="41" t="inlineStr"/>
      <c r="H33" s="44" t="inlineStr">
        <is>
          <t>{"method": "api", "steps": ["1. POST /api/v1/users {email:'nowid-{{random}}@test.pc02.local', password:'Test@1234', role:'OFFICER'}", "2. Verify workId=null: GET /api/v1/users/{id}"]}</t>
        </is>
      </c>
      <c r="I33" s="44" t="inlineStr">
        <is>
          <t>{"endpoint": "DELETE /api/v1/users/{{user_id}}"}</t>
        </is>
      </c>
      <c r="J33" s="44" t="inlineStr">
        <is>
          <t>{"user_id": "$.id", "workId": null, "token": "$.accessToken"}</t>
        </is>
      </c>
      <c r="K33" s="44" t="inlineStr">
        <is>
          <t>TC-041</t>
        </is>
      </c>
    </row>
    <row r="34" ht="50" customHeight="1">
      <c r="A34" s="44" t="inlineStr">
        <is>
          <t>user.expired_token</t>
        </is>
      </c>
      <c r="B34" s="62" t="inlineStr">
        <is>
          <t>JWT</t>
        </is>
      </c>
      <c r="C34" s="41" t="inlineStr">
        <is>
          <t>expired</t>
        </is>
      </c>
      <c r="D34" s="41" t="inlineStr"/>
      <c r="E34" s="41" t="inlineStr">
        <is>
          <t>single</t>
        </is>
      </c>
      <c r="F34" s="44" t="inlineStr">
        <is>
          <t>JWT token đã hết hạn (dùng cho security tests)</t>
        </is>
      </c>
      <c r="G34" s="41" t="inlineStr"/>
      <c r="H34" s="44" t="inlineStr">
        <is>
          <t>{"method": "manual", "note": "Lấy token hợp lệ, đợi expire (hoặc dùng token với exp trong quá khứ). Có thể decode JWT base64 và chỉnh exp field"}</t>
        </is>
      </c>
      <c r="I34" s="44" t="inlineStr">
        <is>
          <t>{"note": "Token tự expire — không cần cleanup"}</t>
        </is>
      </c>
      <c r="J34" s="44" t="inlineStr">
        <is>
          <t>{"expired_token": "eyJ..."}</t>
        </is>
      </c>
      <c r="K34" s="44" t="inlineStr">
        <is>
          <t>TC-035, TC-056</t>
        </is>
      </c>
    </row>
    <row r="35" ht="50" customHeight="1">
      <c r="A35" s="44" t="inlineStr">
        <is>
          <t>logs.mixed_users_18</t>
        </is>
      </c>
      <c r="B35" s="62" t="inlineStr">
        <is>
          <t>DocumentNumberLog</t>
        </is>
      </c>
      <c r="C35" s="41" t="inlineStr">
        <is>
          <t>populated</t>
        </is>
      </c>
      <c r="D35" s="41" t="inlineStr"/>
      <c r="E35" s="41" t="inlineStr">
        <is>
          <t>single</t>
        </is>
      </c>
      <c r="F35" s="44" t="inlineStr">
        <is>
          <t>18 logs tổng: 10 log officer1 + 5 log officer2 + 3 log admin (mix isDraft=true/false)</t>
        </is>
      </c>
      <c r="G35" s="41" t="inlineStr"/>
      <c r="H35" s="44" t="inlineStr">
        <is>
          <t>{"method": "api", "steps": ["1. Login officer1 → POST /draft 5 lần (5 isDraft=true logs)", "2. Login officer1 → POST /commit 5 lần (5 isDraft=false logs)", "3. Login officer2 → POST /commit 5 lần (5 isDraft=false logs)", "4. Login admin → POST /commit 3 lần (3 isDraft=false logs)"]}</t>
        </is>
      </c>
      <c r="I35" s="44" t="inlineStr">
        <is>
          <t>{"note": "Logs không xóa được qua API (chỉ cascade khi delete template). Dùng template riêng để test và delete template khi xong"}</t>
        </is>
      </c>
      <c r="J35" s="44" t="inlineStr">
        <is>
          <t>{"total_logs": 18, "officer1_logs": 10, "officer2_logs": 5, "admin_logs": 3}</t>
        </is>
      </c>
      <c r="K35" s="44" t="inlineStr">
        <is>
          <t>TC-011, TC-057, TC-147, TC-148, TC-215, TC-311</t>
        </is>
      </c>
    </row>
    <row r="36" ht="50" customHeight="1">
      <c r="A36" s="44" t="inlineStr">
        <is>
          <t>logs.admin_25</t>
        </is>
      </c>
      <c r="B36" s="62" t="inlineStr">
        <is>
          <t>DocumentNumberLog</t>
        </is>
      </c>
      <c r="C36" s="41" t="inlineStr">
        <is>
          <t>populated</t>
        </is>
      </c>
      <c r="D36" s="41" t="inlineStr"/>
      <c r="E36" s="41" t="inlineStr">
        <is>
          <t>single</t>
        </is>
      </c>
      <c r="F36" s="44" t="inlineStr">
        <is>
          <t>25 logs của admin (để test pagination)</t>
        </is>
      </c>
      <c r="G36" s="41" t="inlineStr"/>
      <c r="H36" s="44" t="inlineStr">
        <is>
          <t>{"method": "api", "steps": ["Login admin → POST /commit 25 lần với template test → 25 isDraft=false logs"]}</t>
        </is>
      </c>
      <c r="I36" s="44" t="inlineStr">
        <is>
          <t>{"note": "Delete template test → cascade delete logs"}</t>
        </is>
      </c>
      <c r="J36" s="44" t="inlineStr">
        <is>
          <t>{"total_logs": 25}</t>
        </is>
      </c>
      <c r="K36" s="44" t="inlineStr"/>
    </row>
    <row r="37" ht="50" customHeight="1">
      <c r="A37" s="44" t="inlineStr">
        <is>
          <t>log.officer1.no_doc_id</t>
        </is>
      </c>
      <c r="B37" s="62" t="inlineStr">
        <is>
          <t>DocumentNumberLog</t>
        </is>
      </c>
      <c r="C37" s="41" t="inlineStr">
        <is>
          <t>committed_no_link</t>
        </is>
      </c>
      <c r="D37" s="41" t="inlineStr"/>
      <c r="E37" s="41" t="inlineStr">
        <is>
          <t>single</t>
        </is>
      </c>
      <c r="F37" s="44" t="inlineStr">
        <is>
          <t>1 log isDraft=false của officer1 với documentId=null (chưa link document)</t>
        </is>
      </c>
      <c r="G37" s="41" t="inlineStr"/>
      <c r="H37" s="44" t="inlineStr">
        <is>
          <t>{"method": "api", "steps": ["1. Login officer1 → POST /commit {documentType:'INCIDENT'} → nhận logId", "2. Không PATCH log (để documentId=null)"]}</t>
        </is>
      </c>
      <c r="I37" s="44" t="inlineStr">
        <is>
          <t>{"note": "Delete template test → cascade delete log"}</t>
        </is>
      </c>
      <c r="J37" s="44" t="inlineStr">
        <is>
          <t>{"log_id": "$.logId", "document_id": null}</t>
        </is>
      </c>
      <c r="K37" s="44" t="inlineStr">
        <is>
          <t>TC-012, TC-178, TC-240, TC-250, TC-274, TC-293</t>
        </is>
      </c>
    </row>
    <row r="38" ht="50" customHeight="1">
      <c r="A38" s="44" t="inlineStr">
        <is>
          <t>log.officer2.committed</t>
        </is>
      </c>
      <c r="B38" s="62" t="inlineStr">
        <is>
          <t>DocumentNumberLog</t>
        </is>
      </c>
      <c r="C38" s="41" t="inlineStr">
        <is>
          <t>committed_with_link</t>
        </is>
      </c>
      <c r="D38" s="41" t="inlineStr"/>
      <c r="E38" s="41" t="inlineStr">
        <is>
          <t>single</t>
        </is>
      </c>
      <c r="F38" s="44" t="inlineStr">
        <is>
          <t>1 log isDraft=false của officer2 với documentId set</t>
        </is>
      </c>
      <c r="G38" s="41" t="inlineStr"/>
      <c r="H38" s="44" t="inlineStr">
        <is>
          <t>{"method": "api", "steps": ["1. Login officer2 → POST /commit {documentType:'INCIDENT'} → nhận logId", "2. PATCH /logs/{logId} {documentId:'some-uuid'}"]}</t>
        </is>
      </c>
      <c r="I38" s="44" t="inlineStr">
        <is>
          <t>{"note": "Delete template test → cascade delete log"}</t>
        </is>
      </c>
      <c r="J38" s="44" t="inlineStr">
        <is>
          <t>{"log_id": "$.logId", "user_id": "officer2.id"}</t>
        </is>
      </c>
      <c r="K38" s="44" t="inlineStr">
        <is>
          <t>TC-199</t>
        </is>
      </c>
    </row>
    <row r="39" ht="50" customHeight="1">
      <c r="A39" s="44" t="inlineStr">
        <is>
          <t>template.yy_pattern</t>
        </is>
      </c>
      <c r="B39" s="62" t="inlineStr">
        <is>
          <t>DocumentNumberTemplate</t>
        </is>
      </c>
      <c r="C39" s="41" t="inlineStr">
        <is>
          <t>active</t>
        </is>
      </c>
      <c r="D39" s="41" t="inlineStr"/>
      <c r="E39" s="41" t="inlineStr">
        <is>
          <t>single</t>
        </is>
      </c>
      <c r="F39" s="44" t="inlineStr">
        <is>
          <t>Template với FORMULA source=NOW pattern=YY</t>
        </is>
      </c>
      <c r="G39" s="41" t="inlineStr"/>
      <c r="H39" s="44" t="inlineStr">
        <is>
          <t>{"method": "api", "body": {"name": "TEST-YY-{{random}}", "documentType": "PROPOSAL", "isActive": true, "segments": [{"type": "FORMULA", "fn": "FORMAT", "source": "NOW", "pattern": "YY"}, {"type": "COUNTER"}], "counterConfig": {"resetPeriod": "YEARLY", "minValue": 1, "maxValue": 9999, "padding": 4}}}</t>
        </is>
      </c>
      <c r="I39" s="44" t="inlineStr">
        <is>
          <t>{"method": "api", "endpoint": "DELETE /api/v1/document-numbers/templates/{{template_id}}"}</t>
        </is>
      </c>
      <c r="J39" s="44" t="inlineStr">
        <is>
          <t>{"template_id": "$.id"}</t>
        </is>
      </c>
      <c r="K39" s="44" t="inlineStr">
        <is>
          <t>TC-037</t>
        </is>
      </c>
    </row>
    <row r="40" ht="50" customHeight="1">
      <c r="A40" s="44" t="inlineStr">
        <is>
          <t>template.mm_pattern</t>
        </is>
      </c>
      <c r="B40" s="62" t="inlineStr">
        <is>
          <t>DocumentNumberTemplate</t>
        </is>
      </c>
      <c r="C40" s="41" t="inlineStr">
        <is>
          <t>active</t>
        </is>
      </c>
      <c r="D40" s="41" t="inlineStr"/>
      <c r="E40" s="41" t="inlineStr">
        <is>
          <t>single</t>
        </is>
      </c>
      <c r="F40" s="44" t="inlineStr">
        <is>
          <t>Template với FORMULA source=NOW pattern=MM</t>
        </is>
      </c>
      <c r="G40" s="41" t="inlineStr"/>
      <c r="H40" s="44" t="inlineStr">
        <is>
          <t>{"method": "api", "body": {"name": "TEST-MM-{{random}}", "documentType": "PROPOSAL", "isActive": true, "segments": [{"type": "FORMULA", "fn": "FORMAT", "source": "NOW", "pattern": "MM"}, {"type": "COUNTER"}], "counterConfig": {"resetPeriod": "MONTHLY", "minValue": 1, "maxValue": 9999, "padding": 4}}}</t>
        </is>
      </c>
      <c r="I40" s="44" t="inlineStr">
        <is>
          <t>{"method": "api", "endpoint": "DELETE /api/v1/document-numbers/templates/{{template_id}}"}</t>
        </is>
      </c>
      <c r="J40" s="44" t="inlineStr">
        <is>
          <t>{"template_id": "$.id"}</t>
        </is>
      </c>
      <c r="K40" s="44" t="inlineStr">
        <is>
          <t>TC-038</t>
        </is>
      </c>
    </row>
    <row r="41" ht="50" customHeight="1">
      <c r="A41" s="44" t="inlineStr">
        <is>
          <t>template.yyyymmdd_pattern</t>
        </is>
      </c>
      <c r="B41" s="62" t="inlineStr">
        <is>
          <t>DocumentNumberTemplate</t>
        </is>
      </c>
      <c r="C41" s="41" t="inlineStr">
        <is>
          <t>active</t>
        </is>
      </c>
      <c r="D41" s="41" t="inlineStr"/>
      <c r="E41" s="41" t="inlineStr">
        <is>
          <t>single</t>
        </is>
      </c>
      <c r="F41" s="44" t="inlineStr">
        <is>
          <t>Template với FORMULA source=NOW pattern=YYYYMMDD</t>
        </is>
      </c>
      <c r="G41" s="41" t="inlineStr"/>
      <c r="H41" s="44" t="inlineStr">
        <is>
          <t>{"method": "api", "body": {"name": "TEST-YYYYMMDD-{{random}}", "documentType": "PROPOSAL", "isActive": true, "segments": [{"type": "FORMULA", "fn": "FORMAT", "source": "NOW", "pattern": "YYYYMMDD"}, {"type": "COUNTER"}], "counterConfig": {"resetPeriod": "MONTHLY", "minValue": 1, "maxValue": 9999, "padding": 4}}}</t>
        </is>
      </c>
      <c r="I41" s="44" t="inlineStr">
        <is>
          <t>{"method": "api", "endpoint": "DELETE /api/v1/document-numbers/templates/{{template_id}}"}</t>
        </is>
      </c>
      <c r="J41" s="44" t="inlineStr">
        <is>
          <t>{"template_id": "$.id"}</t>
        </is>
      </c>
      <c r="K41" s="44" t="inlineStr">
        <is>
          <t>TC-039</t>
        </is>
      </c>
    </row>
    <row r="42" ht="50" customHeight="1">
      <c r="A42" s="44" t="inlineStr">
        <is>
          <t>templates.all_seeded</t>
        </is>
      </c>
      <c r="B42" s="62" t="inlineStr">
        <is>
          <t>DocumentNumberTemplate</t>
        </is>
      </c>
      <c r="C42" s="41" t="inlineStr">
        <is>
          <t>seeded</t>
        </is>
      </c>
      <c r="D42" s="41" t="inlineStr"/>
      <c r="E42" s="41" t="inlineStr">
        <is>
          <t>single</t>
        </is>
      </c>
      <c r="F42" s="44" t="inlineStr">
        <is>
          <t>6 templates đã seeded: INCIDENT, PETITION, CASE, PROPOSAL, DELEGATION, EVIDENCE</t>
        </is>
      </c>
      <c r="G42" s="41" t="inlineStr"/>
      <c r="H42" s="44" t="inlineStr">
        <is>
          <t>{"method": "verify", "sql": "SELECT COUNT(*) FROM document_number_templates WHERE is_active=true", "expected": 6}</t>
        </is>
      </c>
      <c r="I42" s="44" t="inlineStr">
        <is>
          <t>{"note": "Seed lại nếu thiếu: node dist/prisma/seed-document-numbers.js"}</t>
        </is>
      </c>
      <c r="J42" s="44" t="inlineStr">
        <is>
          <t>{"count": 6}</t>
        </is>
      </c>
      <c r="K42" s="44" t="inlineStr">
        <is>
          <t>TC-004, TC-013, TC-081, TC-085, TC-094, TC-111, TC-112, TC-114, TC-117, TC-121, TC-224, TC-230, TC-232, TC-233, TC-283, TC-285, TC-314, TC-319, TC-320</t>
        </is>
      </c>
    </row>
  </sheetData>
  <autoFilter ref="A3:K42"/>
  <mergeCells count="2">
    <mergeCell ref="A2:K2"/>
    <mergeCell ref="A1:K1"/>
  </mergeCells>
  <dataValidations count="1">
    <dataValidation sqref="G4:G42" showDropDown="0" showInputMessage="0" showErrorMessage="0" allowBlank="1" type="list">
      <formula1>"api,sql,factory"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50" customWidth="1" min="3" max="3"/>
    <col width="14" customWidth="1" min="4" max="4"/>
    <col width="16" customWidth="1" min="5" max="5"/>
    <col width="16" customWidth="1" min="6" max="6"/>
    <col width="16" customWidth="1" min="7" max="7"/>
    <col width="16" customWidth="1" min="8" max="8"/>
    <col width="30" customWidth="1" min="9" max="9"/>
  </cols>
  <sheetData>
    <row r="1" ht="30" customHeight="1">
      <c r="A1" s="38" t="inlineStr">
        <is>
          <t>🐛 BUG TRACKER</t>
        </is>
      </c>
    </row>
    <row r="2">
      <c r="A2" s="63" t="inlineStr">
        <is>
          <t>Workflow: Open → Fixing → Fixed → Verified → Closed. Mỗi lần TC fail tự động tạo bug record.</t>
        </is>
      </c>
    </row>
    <row r="3" ht="35" customHeight="1">
      <c r="A3" s="40" t="inlineStr">
        <is>
          <t>Bug ID</t>
        </is>
      </c>
      <c r="B3" s="40" t="inlineStr">
        <is>
          <t>TC ID liên kết</t>
        </is>
      </c>
      <c r="C3" s="40" t="inlineStr">
        <is>
          <t>Mô tả bug</t>
        </is>
      </c>
      <c r="D3" s="40" t="inlineStr">
        <is>
          <t>Severity</t>
        </is>
      </c>
      <c r="E3" s="40" t="inlineStr">
        <is>
          <t>Status</t>
        </is>
      </c>
      <c r="F3" s="40" t="inlineStr">
        <is>
          <t>Ngày phát hiện</t>
        </is>
      </c>
      <c r="G3" s="40" t="inlineStr">
        <is>
          <t>Lần fix gần nhất</t>
        </is>
      </c>
      <c r="H3" s="40" t="inlineStr">
        <is>
          <t>Re-test kết quả</t>
        </is>
      </c>
      <c r="I3" s="40" t="inlineStr">
        <is>
          <t>Ghi chú</t>
        </is>
      </c>
    </row>
    <row r="4" ht="30" customHeight="1">
      <c r="A4" s="41" t="inlineStr">
        <is>
          <t>BUG-001</t>
        </is>
      </c>
      <c r="B4" s="41" t="inlineStr">
        <is>
          <t>TC-023</t>
        </is>
      </c>
      <c r="C4" s="44" t="inlineStr">
        <is>
          <t>[E2E] Test fail: TC-DN-E2E-023: Truy cập /settings/document-numbers không đăng nhập → redirect /login
Error: Test timeout of 45000ms exceeded.</t>
        </is>
      </c>
      <c r="D4" s="41" t="inlineStr">
        <is>
          <t>Medium</t>
        </is>
      </c>
      <c r="E4" s="41" t="inlineStr">
        <is>
          <t>Verified</t>
        </is>
      </c>
      <c r="F4" s="41" t="inlineStr">
        <is>
          <t>25/05/2026</t>
        </is>
      </c>
      <c r="G4" s="41" t="inlineStr">
        <is>
          <t>26/05/2026</t>
        </is>
      </c>
      <c r="H4" s="41" t="inlineStr">
        <is>
          <t>Pass</t>
        </is>
      </c>
      <c r="I4" s="44" t="inlineStr"/>
    </row>
    <row r="5" ht="30" customHeight="1">
      <c r="A5" s="41" t="inlineStr">
        <is>
          <t>BUG-002</t>
        </is>
      </c>
      <c r="B5" s="41" t="inlineStr">
        <is>
          <t>TC-028</t>
        </is>
      </c>
      <c r="C5" s="44" t="inlineStr">
        <is>
          <t>[E2E] Test fail: TC-DN-E2E-028: Xem stats của template — nút [Xem log] hoặc [Reset] visible
Error: Test timeout of 45000ms exceeded.</t>
        </is>
      </c>
      <c r="D5" s="41" t="inlineStr">
        <is>
          <t>Medium</t>
        </is>
      </c>
      <c r="E5" s="41" t="inlineStr">
        <is>
          <t>Verified</t>
        </is>
      </c>
      <c r="F5" s="41" t="inlineStr">
        <is>
          <t>25/05/2026</t>
        </is>
      </c>
      <c r="G5" s="41" t="inlineStr">
        <is>
          <t>26/05/2026</t>
        </is>
      </c>
      <c r="H5" s="41" t="inlineStr">
        <is>
          <t>Pass</t>
        </is>
      </c>
      <c r="I5" s="44" t="inlineStr"/>
    </row>
    <row r="6" ht="30" customHeight="1">
      <c r="A6" s="41" t="inlineStr">
        <is>
          <t>BUG-003</t>
        </is>
      </c>
      <c r="B6" s="41" t="inlineStr">
        <is>
          <t>TC-062</t>
        </is>
      </c>
      <c r="C6" s="44" t="inlineStr">
        <is>
          <t>[API] Test fail: TC-062-API: counterConfig.padding = 0 ? 400 validation
Error: Error: expect(received).toBe(expected) // Object.is equality
Expected: 400
Received: 201
  279 |           data: { name: '</t>
        </is>
      </c>
      <c r="D6" s="41" t="inlineStr">
        <is>
          <t>Medium</t>
        </is>
      </c>
      <c r="E6" s="41" t="inlineStr">
        <is>
          <t>Reopened</t>
        </is>
      </c>
      <c r="F6" s="41" t="inlineStr">
        <is>
          <t>25/05/2026</t>
        </is>
      </c>
      <c r="G6" s="41" t="inlineStr"/>
      <c r="H6" s="41" t="inlineStr">
        <is>
          <t>Fail</t>
        </is>
      </c>
      <c r="I6" s="44" t="inlineStr"/>
    </row>
    <row r="7" ht="30" customHeight="1">
      <c r="A7" s="41" t="inlineStr">
        <is>
          <t>BUG-004</t>
        </is>
      </c>
      <c r="B7" s="41" t="inlineStr">
        <is>
          <t>TC-063</t>
        </is>
      </c>
      <c r="C7" s="44" t="inlineStr">
        <is>
          <t>[API] Test fail: TC-063-API: counterConfig.padding = 11 ? 400 validation (max
Error: Error: Login admin@pc02.local: 429 after 4 retries
  17 |     return { token: d.accessToken || b.accessToken, userId: d.user?.id || b.user?.id || d.sub || '' };
  18 |   }
&gt; 19 |   throw new Error(`L</t>
        </is>
      </c>
      <c r="D7" s="41" t="inlineStr">
        <is>
          <t>Medium</t>
        </is>
      </c>
      <c r="E7" s="41" t="inlineStr">
        <is>
          <t>Reopened</t>
        </is>
      </c>
      <c r="F7" s="41" t="inlineStr">
        <is>
          <t>25/05/2026</t>
        </is>
      </c>
      <c r="G7" s="41" t="inlineStr"/>
      <c r="H7" s="41" t="inlineStr">
        <is>
          <t>Fail</t>
        </is>
      </c>
      <c r="I7" s="44" t="inlineStr"/>
    </row>
    <row r="8" ht="30" customHeight="1">
      <c r="A8" s="41" t="inlineStr">
        <is>
          <t>BUG-005</t>
        </is>
      </c>
      <c r="B8" s="41" t="inlineStr">
        <is>
          <t>TC-064</t>
        </is>
      </c>
      <c r="C8" s="44" t="inlineStr">
        <is>
          <t>[API] Test fail: TC-064-API: counterConfig.minValue = -1 ? 400 validation
Error: Error: expect(received).toBe(expected) // Object.is equality
Expected: 400
Received: 201
  301 |           data: { name: '</t>
        </is>
      </c>
      <c r="D8" s="41" t="inlineStr">
        <is>
          <t>Medium</t>
        </is>
      </c>
      <c r="E8" s="41" t="inlineStr">
        <is>
          <t>Reopened</t>
        </is>
      </c>
      <c r="F8" s="41" t="inlineStr">
        <is>
          <t>25/05/2026</t>
        </is>
      </c>
      <c r="G8" s="41" t="inlineStr"/>
      <c r="H8" s="41" t="inlineStr">
        <is>
          <t>Fail</t>
        </is>
      </c>
      <c r="I8" s="44" t="inlineStr"/>
    </row>
    <row r="9" ht="30" customHeight="1">
      <c r="A9" s="41" t="inlineStr">
        <is>
          <t>BUG-006</t>
        </is>
      </c>
      <c r="B9" s="41" t="inlineStr">
        <is>
          <t>TC-080</t>
        </is>
      </c>
      <c r="C9" s="44" t="inlineStr">
        <is>
          <t>[API] Test fail: TC-080-API: Modal submit th?nh c?ng ? toast success + danh s
Error: Error: expect(received).toContain(expected) // indexOf
Expected value: 404
Received array: [200, 201]
  441 |           he</t>
        </is>
      </c>
      <c r="D9" s="41" t="inlineStr">
        <is>
          <t>Medium</t>
        </is>
      </c>
      <c r="E9" s="41" t="inlineStr">
        <is>
          <t>Reopened</t>
        </is>
      </c>
      <c r="F9" s="41" t="inlineStr">
        <is>
          <t>25/05/2026</t>
        </is>
      </c>
      <c r="G9" s="41" t="inlineStr"/>
      <c r="H9" s="41" t="inlineStr">
        <is>
          <t>Fail</t>
        </is>
      </c>
      <c r="I9" s="44" t="inlineStr"/>
    </row>
    <row r="10" ht="30" customHeight="1">
      <c r="A10" s="41" t="inlineStr">
        <is>
          <t>BUG-007</t>
        </is>
      </c>
      <c r="B10" s="41" t="inlineStr">
        <is>
          <t>TC-090</t>
        </is>
      </c>
      <c r="C10" s="44" t="inlineStr">
        <is>
          <t>[API] Test fail: TC-090-API: State: template active ? deactivate ? active l?i
Error: Error: expect(received).toBe(expected) // Object.is equality
Expected: 404
Received: 201
  523 |           data: { documen</t>
        </is>
      </c>
      <c r="D10" s="41" t="inlineStr">
        <is>
          <t>Medium</t>
        </is>
      </c>
      <c r="E10" s="41" t="inlineStr">
        <is>
          <t>Reopened</t>
        </is>
      </c>
      <c r="F10" s="41" t="inlineStr">
        <is>
          <t>25/05/2026</t>
        </is>
      </c>
      <c r="G10" s="41" t="inlineStr"/>
      <c r="H10" s="41" t="inlineStr">
        <is>
          <t>Fail</t>
        </is>
      </c>
      <c r="I10" s="44" t="inlineStr"/>
    </row>
    <row r="11" ht="30" customHeight="1">
      <c r="A11" s="41" t="inlineStr">
        <is>
          <t>BUG-008</t>
        </is>
      </c>
      <c r="B11" s="41" t="inlineStr">
        <is>
          <t>TC-092</t>
        </is>
      </c>
      <c r="C11" s="44" t="inlineStr">
        <is>
          <t>[API] Test fail: TC-092-API: State: 2 template c?ng documentType ? ch? 1 acti
Error: Error: expect(received).toBe(expected) // Object.is equality
Expected: 400
Received: 404
  541 |           headers: auth(a</t>
        </is>
      </c>
      <c r="D11" s="41" t="inlineStr">
        <is>
          <t>Medium</t>
        </is>
      </c>
      <c r="E11" s="41" t="inlineStr">
        <is>
          <t>Reopened</t>
        </is>
      </c>
      <c r="F11" s="41" t="inlineStr">
        <is>
          <t>25/05/2026</t>
        </is>
      </c>
      <c r="G11" s="41" t="inlineStr"/>
      <c r="H11" s="41" t="inlineStr">
        <is>
          <t>Fail</t>
        </is>
      </c>
      <c r="I11" s="44" t="inlineStr"/>
    </row>
    <row r="12" ht="30" customHeight="1">
      <c r="A12" s="41" t="inlineStr">
        <is>
          <t>BUG-009</t>
        </is>
      </c>
      <c r="B12" s="41" t="inlineStr">
        <is>
          <t>TC-100</t>
        </is>
      </c>
      <c r="C12" s="44" t="inlineStr">
        <is>
          <t>[API] Test fail: TC-100-API: Decision: OFFICER KH?NG th? delete template ? 40
Error: Error: expect(received).toBe(expected) // Object.is equality
Expected: 403
Received: 404
  625 |           headers: auth(o</t>
        </is>
      </c>
      <c r="D12" s="41" t="inlineStr">
        <is>
          <t>Medium</t>
        </is>
      </c>
      <c r="E12" s="41" t="inlineStr">
        <is>
          <t>Reopened</t>
        </is>
      </c>
      <c r="F12" s="41" t="inlineStr">
        <is>
          <t>25/05/2026</t>
        </is>
      </c>
      <c r="G12" s="41" t="inlineStr"/>
      <c r="H12" s="41" t="inlineStr">
        <is>
          <t>Fail</t>
        </is>
      </c>
      <c r="I12" s="44" t="inlineStr"/>
    </row>
    <row r="13" ht="30" customHeight="1">
      <c r="A13" s="41" t="inlineStr">
        <is>
          <t>BUG-010</t>
        </is>
      </c>
      <c r="B13" s="41" t="inlineStr">
        <is>
          <t>TC-104</t>
        </is>
      </c>
      <c r="C13" s="44" t="inlineStr">
        <is>
          <t>[API] Test fail: TC-104-API: EP documentType: null ? 400
Error: Error: expect(received).toBe(expected) // Object.is equality
Expected: 400
Received: 201
  663 |           data: { documen</t>
        </is>
      </c>
      <c r="D13" s="41" t="inlineStr">
        <is>
          <t>Medium</t>
        </is>
      </c>
      <c r="E13" s="41" t="inlineStr">
        <is>
          <t>Reopened</t>
        </is>
      </c>
      <c r="F13" s="41" t="inlineStr">
        <is>
          <t>25/05/2026</t>
        </is>
      </c>
      <c r="G13" s="41" t="inlineStr"/>
      <c r="H13" s="41" t="inlineStr">
        <is>
          <t>Fail</t>
        </is>
      </c>
      <c r="I13" s="44" t="inlineStr"/>
    </row>
    <row r="14" ht="30" customHeight="1">
      <c r="A14" s="41" t="inlineStr">
        <is>
          <t>BUG-011</t>
        </is>
      </c>
      <c r="B14" s="41" t="inlineStr">
        <is>
          <t>TC-105</t>
        </is>
      </c>
      <c r="C14" s="44" t="inlineStr">
        <is>
          <t>[API] Test fail: TC-105-API: EP documentType: s? nguy?n ? 400
Error: Error: expect(received).toBe(expected) // Object.is equality
Expected: 400
Received: 201
  674 |           data: { documen</t>
        </is>
      </c>
      <c r="D14" s="41" t="inlineStr">
        <is>
          <t>Medium</t>
        </is>
      </c>
      <c r="E14" s="41" t="inlineStr">
        <is>
          <t>Reopened</t>
        </is>
      </c>
      <c r="F14" s="41" t="inlineStr">
        <is>
          <t>25/05/2026</t>
        </is>
      </c>
      <c r="G14" s="41" t="inlineStr"/>
      <c r="H14" s="41" t="inlineStr">
        <is>
          <t>Fail</t>
        </is>
      </c>
      <c r="I14" s="44" t="inlineStr"/>
    </row>
    <row r="15" ht="30" customHeight="1">
      <c r="A15" s="41" t="inlineStr">
        <is>
          <t>BUG-012</t>
        </is>
      </c>
      <c r="B15" s="41" t="inlineStr">
        <is>
          <t>TC-122</t>
        </is>
      </c>
      <c r="C15" s="44" t="inlineStr">
        <is>
          <t>[API] Test fail: TC-122-API: PERF: 5 concurrent /draft requests ? t?t c? tr? 
Error: Error: expect(received).toBe(expected) // Object.is equality
Expected: true
Received: false
  713 |     const results = aw</t>
        </is>
      </c>
      <c r="D15" s="41" t="inlineStr">
        <is>
          <t>Medium</t>
        </is>
      </c>
      <c r="E15" s="41" t="inlineStr">
        <is>
          <t>Reopened</t>
        </is>
      </c>
      <c r="F15" s="41" t="inlineStr">
        <is>
          <t>25/05/2026</t>
        </is>
      </c>
      <c r="G15" s="41" t="inlineStr"/>
      <c r="H15" s="41" t="inlineStr">
        <is>
          <t>Fail</t>
        </is>
      </c>
      <c r="I15" s="44" t="inlineStr"/>
    </row>
    <row r="16" ht="30" customHeight="1">
      <c r="A16" s="41" t="inlineStr">
        <is>
          <t>BUG-013</t>
        </is>
      </c>
      <c r="B16" s="41" t="inlineStr">
        <is>
          <t>TC-129</t>
        </is>
      </c>
      <c r="C16" s="44" t="inlineStr">
        <is>
          <t>[API] Test fail: TC-129-API: REGRESSION: T?o incident qua UI v?n ho?t ??ng sa
Error: Error: expect(received).toBe(expected) // Object.is equality
Expected: 500
Received: 404
  772 |           headers: auth(o</t>
        </is>
      </c>
      <c r="D16" s="41" t="inlineStr">
        <is>
          <t>Medium</t>
        </is>
      </c>
      <c r="E16" s="41" t="inlineStr">
        <is>
          <t>Open</t>
        </is>
      </c>
      <c r="F16" s="41" t="inlineStr">
        <is>
          <t>25/05/2026</t>
        </is>
      </c>
      <c r="G16" s="41" t="inlineStr"/>
      <c r="H16" s="41" t="inlineStr"/>
      <c r="I16" s="44" t="inlineStr"/>
    </row>
    <row r="17" ht="30" customHeight="1">
      <c r="A17" s="41" t="inlineStr">
        <is>
          <t>BUG-014</t>
        </is>
      </c>
      <c r="B17" s="41" t="inlineStr">
        <is>
          <t>TC-131</t>
        </is>
      </c>
      <c r="C17" s="44" t="inlineStr">
        <is>
          <t>[API] Test fail: TC-131-API: REGRESSION: Danh s?ch v? vi?c hi?n th? code c? (
Error: Error: expect(received).toBe(expected) // Object.is equality
Expected: 500
Received: 404
  788 |           headers: auth(o</t>
        </is>
      </c>
      <c r="D17" s="41" t="inlineStr">
        <is>
          <t>Medium</t>
        </is>
      </c>
      <c r="E17" s="41" t="inlineStr">
        <is>
          <t>Open</t>
        </is>
      </c>
      <c r="F17" s="41" t="inlineStr">
        <is>
          <t>25/05/2026</t>
        </is>
      </c>
      <c r="G17" s="41" t="inlineStr"/>
      <c r="H17" s="41" t="inlineStr"/>
      <c r="I17" s="44" t="inlineStr"/>
    </row>
    <row r="18" ht="30" customHeight="1">
      <c r="A18" s="41" t="inlineStr">
        <is>
          <t>BUG-015</t>
        </is>
      </c>
      <c r="B18" s="41" t="inlineStr">
        <is>
          <t>TC-132</t>
        </is>
      </c>
      <c r="C18" s="44" t="inlineStr">
        <is>
          <t>[API] Test fail: TC-132-API: REGRESSION: Danh s?ch h? s? hi?n th? caseCode (H
Error: Error: Login officer1@pc02.local: 429 after 4 retries
  17 |     return { token: d.accessToken || b.accessToken, userId: d.user?.id || b.user?.id || d.sub || '' };
  18 |   }
&gt; 19 |   throw new Error</t>
        </is>
      </c>
      <c r="D18" s="41" t="inlineStr">
        <is>
          <t>Medium</t>
        </is>
      </c>
      <c r="E18" s="41" t="inlineStr">
        <is>
          <t>Verified</t>
        </is>
      </c>
      <c r="F18" s="41" t="inlineStr">
        <is>
          <t>25/05/2026</t>
        </is>
      </c>
      <c r="G18" s="41" t="inlineStr">
        <is>
          <t>26/05/2026</t>
        </is>
      </c>
      <c r="H18" s="41" t="inlineStr">
        <is>
          <t>Pass</t>
        </is>
      </c>
      <c r="I18" s="44" t="inlineStr"/>
    </row>
    <row r="19" ht="30" customHeight="1">
      <c r="A19" s="41" t="inlineStr">
        <is>
          <t>BUG-016</t>
        </is>
      </c>
      <c r="B19" s="41" t="inlineStr">
        <is>
          <t>TC-135</t>
        </is>
      </c>
      <c r="C19" s="44" t="inlineStr">
        <is>
          <t>[API] Test fail: TC-135-API: RECOVERY: Backend restart gi?a draft v? commit ?
Error: Error: expect(received).toBe(expected) // Object.is equality
Expected: 500
Received: 404
  820 |           headers: auth(o</t>
        </is>
      </c>
      <c r="D19" s="41" t="inlineStr">
        <is>
          <t>Medium</t>
        </is>
      </c>
      <c r="E19" s="41" t="inlineStr">
        <is>
          <t>Open</t>
        </is>
      </c>
      <c r="F19" s="41" t="inlineStr">
        <is>
          <t>25/05/2026</t>
        </is>
      </c>
      <c r="G19" s="41" t="inlineStr"/>
      <c r="H19" s="41" t="inlineStr"/>
      <c r="I19" s="44" t="inlineStr"/>
    </row>
    <row r="20" ht="30" customHeight="1">
      <c r="A20" s="41" t="inlineStr">
        <is>
          <t>BUG-017</t>
        </is>
      </c>
      <c r="B20" s="41" t="inlineStr">
        <is>
          <t>TC-136</t>
        </is>
      </c>
      <c r="C20" s="44" t="inlineStr">
        <is>
          <t>[API] Test fail: TC-136-API: RECOVERY: DB connection drop trong commit transa
Error: Error: expect(received).toBe(expected) // Object.is equality
Expected: 500
Received: 403
  829 |           data: { documen</t>
        </is>
      </c>
      <c r="D20" s="41" t="inlineStr">
        <is>
          <t>Medium</t>
        </is>
      </c>
      <c r="E20" s="41" t="inlineStr">
        <is>
          <t>Open</t>
        </is>
      </c>
      <c r="F20" s="41" t="inlineStr">
        <is>
          <t>25/05/2026</t>
        </is>
      </c>
      <c r="G20" s="41" t="inlineStr"/>
      <c r="H20" s="41" t="inlineStr"/>
      <c r="I20" s="44" t="inlineStr"/>
    </row>
    <row r="21" ht="30" customHeight="1">
      <c r="A21" s="41" t="inlineStr">
        <is>
          <t>BUG-018</t>
        </is>
      </c>
      <c r="B21" s="41" t="inlineStr">
        <is>
          <t>TC-142</t>
        </is>
      </c>
      <c r="C21" s="44" t="inlineStr">
        <is>
          <t>[API] Test fail: TC-142-API: EP resetPeriod: 'DAILY' (kh?ng h?p l?) ? 400
Error: Error: expect(received).toBe(expected) // Object.is equality
Expected: 400
Received: 201
  893 |           data: { name: '</t>
        </is>
      </c>
      <c r="D21" s="41" t="inlineStr">
        <is>
          <t>Medium</t>
        </is>
      </c>
      <c r="E21" s="41" t="inlineStr">
        <is>
          <t>Reopened</t>
        </is>
      </c>
      <c r="F21" s="41" t="inlineStr">
        <is>
          <t>25/05/2026</t>
        </is>
      </c>
      <c r="G21" s="41" t="inlineStr"/>
      <c r="H21" s="41" t="inlineStr">
        <is>
          <t>Fail</t>
        </is>
      </c>
      <c r="I21" s="44" t="inlineStr"/>
    </row>
    <row r="22" ht="30" customHeight="1">
      <c r="A22" s="41" t="inlineStr">
        <is>
          <t>BUG-019</t>
        </is>
      </c>
      <c r="B22" s="41" t="inlineStr">
        <is>
          <t>TC-146</t>
        </is>
      </c>
      <c r="C22" s="44" t="inlineStr">
        <is>
          <t>[API] Test fail: TC-146-API: EP inputMode: 'HYBRID' (kh?ng h?p l?) ? 400
Error: Error: expect(received).toBe(expected) // Object.is equality
Expected: 400
Received: 201
  937 |           data: { name: '</t>
        </is>
      </c>
      <c r="D22" s="41" t="inlineStr">
        <is>
          <t>Medium</t>
        </is>
      </c>
      <c r="E22" s="41" t="inlineStr">
        <is>
          <t>Reopened</t>
        </is>
      </c>
      <c r="F22" s="41" t="inlineStr">
        <is>
          <t>25/05/2026</t>
        </is>
      </c>
      <c r="G22" s="41" t="inlineStr"/>
      <c r="H22" s="41" t="inlineStr">
        <is>
          <t>Fail</t>
        </is>
      </c>
      <c r="I22" s="44" t="inlineStr"/>
    </row>
    <row r="23" ht="30" customHeight="1">
      <c r="A23" s="41" t="inlineStr">
        <is>
          <t>BUG-020</t>
        </is>
      </c>
      <c r="B23" s="41" t="inlineStr">
        <is>
          <t>TC-153</t>
        </is>
      </c>
      <c r="C23" s="44" t="inlineStr">
        <is>
          <t>[API] Test fail: TC-153-API: USABILITY: Toast 'M? ?? ??i' khi commit v?i stal
Error: Error: expect(received).toContain(expected) // indexOf
Expected value: 404
Received array: [200, 201]
   999 |           h</t>
        </is>
      </c>
      <c r="D23" s="41" t="inlineStr">
        <is>
          <t>Medium</t>
        </is>
      </c>
      <c r="E23" s="41" t="inlineStr">
        <is>
          <t>Reopened</t>
        </is>
      </c>
      <c r="F23" s="41" t="inlineStr">
        <is>
          <t>25/05/2026</t>
        </is>
      </c>
      <c r="G23" s="41" t="inlineStr"/>
      <c r="H23" s="41" t="inlineStr">
        <is>
          <t>Fail</t>
        </is>
      </c>
      <c r="I23" s="44" t="inlineStr"/>
    </row>
    <row r="24" ht="30" customHeight="1">
      <c r="A24" s="41" t="inlineStr">
        <is>
          <t>BUG-021</t>
        </is>
      </c>
      <c r="B24" s="41" t="inlineStr">
        <is>
          <t>TC-154</t>
        </is>
      </c>
      <c r="C24" s="44" t="inlineStr">
        <is>
          <t>[API] Test fail: TC-154-API: USABILITY: Confirm dialog khi reset counter c? t
Error: Error: Login officer1@pc02.local: 429 after 4 retries
  17 |     return { token: d.accessToken || b.accessToken, userId: d.user?.id || b.user?.id || d.sub || '' };
  18 |   }
&gt; 19 |   throw new Error</t>
        </is>
      </c>
      <c r="D24" s="41" t="inlineStr">
        <is>
          <t>Medium</t>
        </is>
      </c>
      <c r="E24" s="41" t="inlineStr">
        <is>
          <t>Verified</t>
        </is>
      </c>
      <c r="F24" s="41" t="inlineStr">
        <is>
          <t>25/05/2026</t>
        </is>
      </c>
      <c r="G24" s="41" t="inlineStr">
        <is>
          <t>26/05/2026</t>
        </is>
      </c>
      <c r="H24" s="41" t="inlineStr">
        <is>
          <t>Pass</t>
        </is>
      </c>
      <c r="I24" s="44" t="inlineStr"/>
    </row>
    <row r="25" ht="30" customHeight="1">
      <c r="A25" s="41" t="inlineStr">
        <is>
          <t>BUG-022</t>
        </is>
      </c>
      <c r="B25" s="41" t="inlineStr">
        <is>
          <t>TC-157</t>
        </is>
      </c>
      <c r="C25" s="44" t="inlineStr">
        <is>
          <t>[API] Test fail: TC-157-API: BOUNDARY: Template name 201 k? t? ? 400
Error: Error: expect(received).toBe(expected) // Object.is equality
Expected: 400
Received: 201
  1035 |           data: { name:</t>
        </is>
      </c>
      <c r="D25" s="41" t="inlineStr">
        <is>
          <t>Medium</t>
        </is>
      </c>
      <c r="E25" s="41" t="inlineStr">
        <is>
          <t>Reopened</t>
        </is>
      </c>
      <c r="F25" s="41" t="inlineStr">
        <is>
          <t>25/05/2026</t>
        </is>
      </c>
      <c r="G25" s="41" t="inlineStr"/>
      <c r="H25" s="41" t="inlineStr">
        <is>
          <t>Fail</t>
        </is>
      </c>
      <c r="I25" s="44" t="inlineStr"/>
    </row>
    <row r="26" ht="30" customHeight="1">
      <c r="A26" s="41" t="inlineStr">
        <is>
          <t>BUG-023</t>
        </is>
      </c>
      <c r="B26" s="41" t="inlineStr">
        <is>
          <t>TC-158</t>
        </is>
      </c>
      <c r="C26" s="44" t="inlineStr">
        <is>
          <t>[API] Test fail: TC-158-API: BOUNDARY: /logs pageSize=0 ? 400 ho?c default
Error: Error: expect(received).toBe(expected) // Object.is equality
Expected: 400
Received: 200
  1045 |           headers: auth(</t>
        </is>
      </c>
      <c r="D26" s="41" t="inlineStr">
        <is>
          <t>Medium</t>
        </is>
      </c>
      <c r="E26" s="41" t="inlineStr">
        <is>
          <t>Reopened</t>
        </is>
      </c>
      <c r="F26" s="41" t="inlineStr">
        <is>
          <t>25/05/2026</t>
        </is>
      </c>
      <c r="G26" s="41" t="inlineStr"/>
      <c r="H26" s="41" t="inlineStr">
        <is>
          <t>Fail</t>
        </is>
      </c>
      <c r="I26" s="44" t="inlineStr"/>
    </row>
    <row r="27" ht="30" customHeight="1">
      <c r="A27" s="41" t="inlineStr">
        <is>
          <t>BUG-024</t>
        </is>
      </c>
      <c r="B27" s="41" t="inlineStr">
        <is>
          <t>TC-159</t>
        </is>
      </c>
      <c r="C27" s="44" t="inlineStr">
        <is>
          <t>[API] Test fail: TC-159-API: BOUNDARY: /logs page=-1 ? 400
Error: Error: expect(received).toBe(expected) // Object.is equality
Expected: 400
Received: 500
  1055 |           headers: auth(</t>
        </is>
      </c>
      <c r="D27" s="41" t="inlineStr">
        <is>
          <t>Medium</t>
        </is>
      </c>
      <c r="E27" s="41" t="inlineStr">
        <is>
          <t>Reopened</t>
        </is>
      </c>
      <c r="F27" s="41" t="inlineStr">
        <is>
          <t>25/05/2026</t>
        </is>
      </c>
      <c r="G27" s="41" t="inlineStr"/>
      <c r="H27" s="41" t="inlineStr">
        <is>
          <t>Fail</t>
        </is>
      </c>
      <c r="I27" s="44" t="inlineStr"/>
    </row>
    <row r="28" ht="30" customHeight="1">
      <c r="A28" s="41" t="inlineStr">
        <is>
          <t>BUG-025</t>
        </is>
      </c>
      <c r="B28" s="41" t="inlineStr">
        <is>
          <t>TC-166</t>
        </is>
      </c>
      <c r="C28" s="44" t="inlineStr">
        <is>
          <t>[API] Test fail: TC-166-API: RED: POST /templates counterConfig.padding kh?ng
Error: Error: expect(received).toBe(expected) // Object.is equality
Expected: 400
Received: 201
  111 |           data: { name: '</t>
        </is>
      </c>
      <c r="D28" s="41" t="inlineStr">
        <is>
          <t>Medium</t>
        </is>
      </c>
      <c r="E28" s="41" t="inlineStr">
        <is>
          <t>Verified</t>
        </is>
      </c>
      <c r="F28" s="41" t="inlineStr">
        <is>
          <t>25/05/2026</t>
        </is>
      </c>
      <c r="G28" s="41" t="inlineStr">
        <is>
          <t>26/05/2026</t>
        </is>
      </c>
      <c r="H28" s="41" t="inlineStr">
        <is>
          <t>Pass</t>
        </is>
      </c>
      <c r="I28" s="44" t="inlineStr"/>
    </row>
    <row r="29" ht="30" customHeight="1">
      <c r="A29" s="41" t="inlineStr">
        <is>
          <t>BUG-026</t>
        </is>
      </c>
      <c r="B29" s="41" t="inlineStr">
        <is>
          <t>TC-167</t>
        </is>
      </c>
      <c r="C29" s="44" t="inlineStr">
        <is>
          <t>[API] Test fail: TC-167-API: RED: POST /templates segment type kh?ng h?p l? ?
Error: Error: expect(received).toBe(expected) // Object.is equality
Expected: 400
Received: 201
  122 |           data: { name: '</t>
        </is>
      </c>
      <c r="D29" s="41" t="inlineStr">
        <is>
          <t>Medium</t>
        </is>
      </c>
      <c r="E29" s="41" t="inlineStr">
        <is>
          <t>Verified</t>
        </is>
      </c>
      <c r="F29" s="41" t="inlineStr">
        <is>
          <t>25/05/2026</t>
        </is>
      </c>
      <c r="G29" s="41" t="inlineStr">
        <is>
          <t>26/05/2026</t>
        </is>
      </c>
      <c r="H29" s="41" t="inlineStr">
        <is>
          <t>Pass</t>
        </is>
      </c>
      <c r="I29" s="44" t="inlineStr"/>
    </row>
    <row r="30" ht="30" customHeight="1">
      <c r="A30" s="41" t="inlineStr">
        <is>
          <t>BUG-027</t>
        </is>
      </c>
      <c r="B30" s="41" t="inlineStr">
        <is>
          <t>TC-168</t>
        </is>
      </c>
      <c r="C30" s="44" t="inlineStr">
        <is>
          <t>[API] Test fail: TC-168-API: RED: POST /templates LITERAL segment thi?u value
Error: Error: expect(received).toBe(expected) // Object.is equality
Expected: 400
Received: 201
  133 |           data: { name: '</t>
        </is>
      </c>
      <c r="D30" s="41" t="inlineStr">
        <is>
          <t>Medium</t>
        </is>
      </c>
      <c r="E30" s="41" t="inlineStr">
        <is>
          <t>Verified</t>
        </is>
      </c>
      <c r="F30" s="41" t="inlineStr">
        <is>
          <t>25/05/2026</t>
        </is>
      </c>
      <c r="G30" s="41" t="inlineStr">
        <is>
          <t>26/05/2026</t>
        </is>
      </c>
      <c r="H30" s="41" t="inlineStr">
        <is>
          <t>Pass</t>
        </is>
      </c>
      <c r="I30" s="44" t="inlineStr"/>
    </row>
    <row r="31" ht="30" customHeight="1">
      <c r="A31" s="41" t="inlineStr">
        <is>
          <t>BUG-028</t>
        </is>
      </c>
      <c r="B31" s="41" t="inlineStr">
        <is>
          <t>TC-169</t>
        </is>
      </c>
      <c r="C31" s="44" t="inlineStr">
        <is>
          <t>[API] Test fail: TC-169-API: RED: POST /templates FORMULA segment thi?u sourc
Error: Error: Login officer1@pc02.local: 429 after 4 retries
  17 |     return { token: d.accessToken || b.accessToken, userId: d.user?.id || b.user?.id || d.sub || '' };
  18 |   }
&gt; 19 |   throw new Error</t>
        </is>
      </c>
      <c r="D31" s="41" t="inlineStr">
        <is>
          <t>Medium</t>
        </is>
      </c>
      <c r="E31" s="41" t="inlineStr">
        <is>
          <t>Verified</t>
        </is>
      </c>
      <c r="F31" s="41" t="inlineStr">
        <is>
          <t>25/05/2026</t>
        </is>
      </c>
      <c r="G31" s="41" t="inlineStr">
        <is>
          <t>26/05/2026</t>
        </is>
      </c>
      <c r="H31" s="41" t="inlineStr">
        <is>
          <t>Pass</t>
        </is>
      </c>
      <c r="I31" s="44" t="inlineStr"/>
    </row>
    <row r="32" ht="30" customHeight="1">
      <c r="A32" s="41" t="inlineStr">
        <is>
          <t>BUG-029</t>
        </is>
      </c>
      <c r="B32" s="41" t="inlineStr">
        <is>
          <t>TC-170</t>
        </is>
      </c>
      <c r="C32" s="44" t="inlineStr">
        <is>
          <t>[API] Test fail: TC-170-API: RED: POST /templates counterConfig.minValue kh?n
Error: Error: expect(received).toBe(expected) // Object.is equality
Expected: 400
Received: 201
  155 |           data: { name: '</t>
        </is>
      </c>
      <c r="D32" s="41" t="inlineStr">
        <is>
          <t>Medium</t>
        </is>
      </c>
      <c r="E32" s="41" t="inlineStr">
        <is>
          <t>Verified</t>
        </is>
      </c>
      <c r="F32" s="41" t="inlineStr">
        <is>
          <t>25/05/2026</t>
        </is>
      </c>
      <c r="G32" s="41" t="inlineStr">
        <is>
          <t>26/05/2026</t>
        </is>
      </c>
      <c r="H32" s="41" t="inlineStr">
        <is>
          <t>Pass</t>
        </is>
      </c>
      <c r="I32" s="44" t="inlineStr"/>
    </row>
    <row r="33" ht="30" customHeight="1">
      <c r="A33" s="41" t="inlineStr">
        <is>
          <t>BUG-030</t>
        </is>
      </c>
      <c r="B33" s="41" t="inlineStr">
        <is>
          <t>TC-171</t>
        </is>
      </c>
      <c r="C33" s="44" t="inlineStr">
        <is>
          <t>[API] Test fail: TC-171-API: RED: POST /commit body r?ng {} ? 400
Error: Error: expect(received).toBe(expected) // Object.is equality
Expected: 400
Received: 403
  166 |           data: { documen</t>
        </is>
      </c>
      <c r="D33" s="41" t="inlineStr">
        <is>
          <t>Medium</t>
        </is>
      </c>
      <c r="E33" s="41" t="inlineStr">
        <is>
          <t>Reopened</t>
        </is>
      </c>
      <c r="F33" s="41" t="inlineStr">
        <is>
          <t>25/05/2026</t>
        </is>
      </c>
      <c r="G33" s="41" t="inlineStr"/>
      <c r="H33" s="41" t="inlineStr">
        <is>
          <t>Fail</t>
        </is>
      </c>
      <c r="I33" s="44" t="inlineStr"/>
    </row>
    <row r="34" ht="30" customHeight="1">
      <c r="A34" s="41" t="inlineStr">
        <is>
          <t>BUG-031</t>
        </is>
      </c>
      <c r="B34" s="41" t="inlineStr">
        <is>
          <t>TC-172</t>
        </is>
      </c>
      <c r="C34" s="44" t="inlineStr">
        <is>
          <t>[API] Test fail: TC-172-API: RED: POST /commit documentType=undefined ? 400
Error: Error: expect(received).toBe(expected) // Object.is equality
Expected: 400
Received: 403
  177 |           data: { documen</t>
        </is>
      </c>
      <c r="D34" s="41" t="inlineStr">
        <is>
          <t>Medium</t>
        </is>
      </c>
      <c r="E34" s="41" t="inlineStr">
        <is>
          <t>Reopened</t>
        </is>
      </c>
      <c r="F34" s="41" t="inlineStr">
        <is>
          <t>25/05/2026</t>
        </is>
      </c>
      <c r="G34" s="41" t="inlineStr"/>
      <c r="H34" s="41" t="inlineStr">
        <is>
          <t>Fail</t>
        </is>
      </c>
      <c r="I34" s="44" t="inlineStr"/>
    </row>
    <row r="35" ht="30" customHeight="1">
      <c r="A35" s="41" t="inlineStr">
        <is>
          <t>BUG-032</t>
        </is>
      </c>
      <c r="B35" s="41" t="inlineStr">
        <is>
          <t>TC-173</t>
        </is>
      </c>
      <c r="C35" s="44" t="inlineStr">
        <is>
          <t>[API] Test fail: TC-173-API: RED: POST /draft v?i invalid JSON body ? 400
Error: Error: expect(received).toBe(expected) // Object.is equality
Expected: 400
Received: 201
  188 |           data: { documen</t>
        </is>
      </c>
      <c r="D35" s="41" t="inlineStr">
        <is>
          <t>Medium</t>
        </is>
      </c>
      <c r="E35" s="41" t="inlineStr">
        <is>
          <t>Reopened</t>
        </is>
      </c>
      <c r="F35" s="41" t="inlineStr">
        <is>
          <t>25/05/2026</t>
        </is>
      </c>
      <c r="G35" s="41" t="inlineStr"/>
      <c r="H35" s="41" t="inlineStr">
        <is>
          <t>Fail</t>
        </is>
      </c>
      <c r="I35" s="44" t="inlineStr"/>
    </row>
    <row r="36" ht="30" customHeight="1">
      <c r="A36" s="41" t="inlineStr">
        <is>
          <t>BUG-033</t>
        </is>
      </c>
      <c r="B36" s="41" t="inlineStr">
        <is>
          <t>TC-174</t>
        </is>
      </c>
      <c r="C36" s="44" t="inlineStr">
        <is>
          <t>[API] Test fail: TC-174-API: RED: POST /draft kh?ng c? Content-Type header ? 
Error: Error: expect(received).toBe(expected) // Object.is equality
Expected: 400
Received: 201
  199 |           data: { documen</t>
        </is>
      </c>
      <c r="D36" s="41" t="inlineStr">
        <is>
          <t>Medium</t>
        </is>
      </c>
      <c r="E36" s="41" t="inlineStr">
        <is>
          <t>Reopened</t>
        </is>
      </c>
      <c r="F36" s="41" t="inlineStr">
        <is>
          <t>25/05/2026</t>
        </is>
      </c>
      <c r="G36" s="41" t="inlineStr"/>
      <c r="H36" s="41" t="inlineStr">
        <is>
          <t>Fail</t>
        </is>
      </c>
      <c r="I36" s="44" t="inlineStr"/>
    </row>
    <row r="37" ht="30" customHeight="1">
      <c r="A37" s="41" t="inlineStr">
        <is>
          <t>BUG-034</t>
        </is>
      </c>
      <c r="B37" s="41" t="inlineStr">
        <is>
          <t>TC-175</t>
        </is>
      </c>
      <c r="C37" s="44" t="inlineStr">
        <is>
          <t>[API] Test fail: TC-175-API: RED: GET /templates/:id stats v?i id kh?ng t?n t
Error: Error: Login officer1@pc02.local: 429 after 4 retries
  17 |     return { token: d.accessToken || b.accessToken, userId: d.user?.id || b.user?.id || d.sub || '' };
  18 |   }
&gt; 19 |   throw new Error</t>
        </is>
      </c>
      <c r="D37" s="41" t="inlineStr">
        <is>
          <t>Medium</t>
        </is>
      </c>
      <c r="E37" s="41" t="inlineStr">
        <is>
          <t>Reopened</t>
        </is>
      </c>
      <c r="F37" s="41" t="inlineStr">
        <is>
          <t>25/05/2026</t>
        </is>
      </c>
      <c r="G37" s="41" t="inlineStr"/>
      <c r="H37" s="41" t="inlineStr">
        <is>
          <t>Fail</t>
        </is>
      </c>
      <c r="I37" s="44" t="inlineStr"/>
    </row>
    <row r="38" ht="30" customHeight="1">
      <c r="A38" s="41" t="inlineStr">
        <is>
          <t>BUG-035</t>
        </is>
      </c>
      <c r="B38" s="41" t="inlineStr">
        <is>
          <t>TC-176</t>
        </is>
      </c>
      <c r="C38" s="44" t="inlineStr">
        <is>
          <t>[API] Test fail: TC-176-API: RED: POST /templates/:id/preview v?i id kh?ng t?
Error: Error: expect(received).toBe(expected) // Object.is equality
Expected: 404
Received: 201
  220 |           data: {},
  221</t>
        </is>
      </c>
      <c r="D38" s="41" t="inlineStr">
        <is>
          <t>Medium</t>
        </is>
      </c>
      <c r="E38" s="41" t="inlineStr">
        <is>
          <t>Reopened</t>
        </is>
      </c>
      <c r="F38" s="41" t="inlineStr">
        <is>
          <t>25/05/2026</t>
        </is>
      </c>
      <c r="G38" s="41" t="inlineStr"/>
      <c r="H38" s="41" t="inlineStr">
        <is>
          <t>Fail</t>
        </is>
      </c>
      <c r="I38" s="44" t="inlineStr"/>
    </row>
    <row r="39" ht="30" customHeight="1">
      <c r="A39" s="41" t="inlineStr">
        <is>
          <t>BUG-036</t>
        </is>
      </c>
      <c r="B39" s="41" t="inlineStr">
        <is>
          <t>TC-177</t>
        </is>
      </c>
      <c r="C39" s="44" t="inlineStr">
        <is>
          <t>[API] Test fail: TC-177-API: RED: PATCH /logs/:logId v?i logId kh?ng t?n t?i 
Error: Error: Login officer1@pc02.local: 429 after 4 retries
  17 |     return { token: d.accessToken || b.accessToken, userId: d.user?.id || b.user?.id || d.sub || '' };
  18 |   }
&gt; 19 |   throw new Error</t>
        </is>
      </c>
      <c r="D39" s="41" t="inlineStr">
        <is>
          <t>Medium</t>
        </is>
      </c>
      <c r="E39" s="41" t="inlineStr">
        <is>
          <t>Reopened</t>
        </is>
      </c>
      <c r="F39" s="41" t="inlineStr">
        <is>
          <t>25/05/2026</t>
        </is>
      </c>
      <c r="G39" s="41" t="inlineStr"/>
      <c r="H39" s="41" t="inlineStr">
        <is>
          <t>Fail</t>
        </is>
      </c>
      <c r="I39" s="44" t="inlineStr"/>
    </row>
    <row r="40" ht="30" customHeight="1">
      <c r="A40" s="41" t="inlineStr">
        <is>
          <t>BUG-037</t>
        </is>
      </c>
      <c r="B40" s="41" t="inlineStr">
        <is>
          <t>TC-178</t>
        </is>
      </c>
      <c r="C40" s="44" t="inlineStr">
        <is>
          <t>[API] Test fail: TC-178-API: RED: PATCH /logs/:logId documentId kh?ng ph?i UU
Error: Error: expect(received).toBe(expected) // Object.is equality
Expected: 400
Received: 404
  242 |           data: { documen</t>
        </is>
      </c>
      <c r="D40" s="41" t="inlineStr">
        <is>
          <t>Medium</t>
        </is>
      </c>
      <c r="E40" s="41" t="inlineStr">
        <is>
          <t>Reopened</t>
        </is>
      </c>
      <c r="F40" s="41" t="inlineStr">
        <is>
          <t>25/05/2026</t>
        </is>
      </c>
      <c r="G40" s="41" t="inlineStr"/>
      <c r="H40" s="41" t="inlineStr">
        <is>
          <t>Fail</t>
        </is>
      </c>
      <c r="I40" s="44" t="inlineStr"/>
    </row>
    <row r="41" ht="30" customHeight="1">
      <c r="A41" s="41" t="inlineStr">
        <is>
          <t>BUG-038</t>
        </is>
      </c>
      <c r="B41" s="41" t="inlineStr">
        <is>
          <t>TC-181</t>
        </is>
      </c>
      <c r="C41" s="44" t="inlineStr">
        <is>
          <t>[API] Test fail: TC-181-API: RED: GET /templates v?i malformed token 'Bearer 
Error: Error: expect(received).toBe(expected) // Object.is equality
Expected: 401
Received: 200
  266 |           headers: auth(a</t>
        </is>
      </c>
      <c r="D41" s="41" t="inlineStr">
        <is>
          <t>Medium</t>
        </is>
      </c>
      <c r="E41" s="41" t="inlineStr">
        <is>
          <t>Verified</t>
        </is>
      </c>
      <c r="F41" s="41" t="inlineStr">
        <is>
          <t>25/05/2026</t>
        </is>
      </c>
      <c r="G41" s="41" t="inlineStr">
        <is>
          <t>26/05/2026</t>
        </is>
      </c>
      <c r="H41" s="41" t="inlineStr">
        <is>
          <t>Pass</t>
        </is>
      </c>
      <c r="I41" s="44" t="inlineStr"/>
    </row>
    <row r="42" ht="30" customHeight="1">
      <c r="A42" s="41" t="inlineStr">
        <is>
          <t>BUG-039</t>
        </is>
      </c>
      <c r="B42" s="41" t="inlineStr">
        <is>
          <t>TC-183</t>
        </is>
      </c>
      <c r="C42" s="44" t="inlineStr">
        <is>
          <t>[API] Test fail: TC-183-API: RED: PUT /templates/:id v?i role OFFICER token ?
Error: Error: expect(received).toBe(expected) // Object.is equality
Expected: 403
Received: 404
  288 |           data: { separat</t>
        </is>
      </c>
      <c r="D42" s="41" t="inlineStr">
        <is>
          <t>Medium</t>
        </is>
      </c>
      <c r="E42" s="41" t="inlineStr">
        <is>
          <t>Reopened</t>
        </is>
      </c>
      <c r="F42" s="41" t="inlineStr">
        <is>
          <t>25/05/2026</t>
        </is>
      </c>
      <c r="G42" s="41" t="inlineStr"/>
      <c r="H42" s="41" t="inlineStr">
        <is>
          <t>Fail</t>
        </is>
      </c>
      <c r="I42" s="44" t="inlineStr"/>
    </row>
    <row r="43" ht="30" customHeight="1">
      <c r="A43" s="41" t="inlineStr">
        <is>
          <t>BUG-040</t>
        </is>
      </c>
      <c r="B43" s="41" t="inlineStr">
        <is>
          <t>TC-184</t>
        </is>
      </c>
      <c r="C43" s="44" t="inlineStr">
        <is>
          <t>[API] Test fail: TC-184-API: RED: DELETE /templates/:id v?i role OFFICER toke
Error: Error: expect(received).toBe(expected) // Object.is equality
Expected: 403
Received: 404
  298 |           headers: auth(o</t>
        </is>
      </c>
      <c r="D43" s="41" t="inlineStr">
        <is>
          <t>Medium</t>
        </is>
      </c>
      <c r="E43" s="41" t="inlineStr">
        <is>
          <t>Reopened</t>
        </is>
      </c>
      <c r="F43" s="41" t="inlineStr">
        <is>
          <t>25/05/2026</t>
        </is>
      </c>
      <c r="G43" s="41" t="inlineStr"/>
      <c r="H43" s="41" t="inlineStr">
        <is>
          <t>Fail</t>
        </is>
      </c>
      <c r="I43" s="44" t="inlineStr"/>
    </row>
    <row r="44" ht="30" customHeight="1">
      <c r="A44" s="41" t="inlineStr">
        <is>
          <t>BUG-041</t>
        </is>
      </c>
      <c r="B44" s="41" t="inlineStr">
        <is>
          <t>TC-186</t>
        </is>
      </c>
      <c r="C44" s="44" t="inlineStr">
        <is>
          <t>[API] Test fail: TC-186-API: RED: Commit khi counter MONTHLY exhausted ? 400
Error: Error: expect(received).toBe(expected) // Object.is equality
Expected: 400
Received: 403
  320 |           data: { documen</t>
        </is>
      </c>
      <c r="D44" s="41" t="inlineStr">
        <is>
          <t>Medium</t>
        </is>
      </c>
      <c r="E44" s="41" t="inlineStr">
        <is>
          <t>Reopened</t>
        </is>
      </c>
      <c r="F44" s="41" t="inlineStr">
        <is>
          <t>25/05/2026</t>
        </is>
      </c>
      <c r="G44" s="41" t="inlineStr"/>
      <c r="H44" s="41" t="inlineStr">
        <is>
          <t>Fail</t>
        </is>
      </c>
      <c r="I44" s="44" t="inlineStr"/>
    </row>
    <row r="45" ht="30" customHeight="1">
      <c r="A45" s="41" t="inlineStr">
        <is>
          <t>BUG-042</t>
        </is>
      </c>
      <c r="B45" s="41" t="inlineStr">
        <is>
          <t>TC-187</t>
        </is>
      </c>
      <c r="C45" s="44" t="inlineStr">
        <is>
          <t>[API] Test fail: TC-187-API: RED: Commit khi counter NEVER exhausted ? 400
Error: Error: Login officer1@pc02.local: 429 after 4 retries
  17 |     return { token: d.accessToken || b.accessToken, userId: d.user?.id || b.user?.id || d.sub || '' };
  18 |   }
&gt; 19 |   throw new Error</t>
        </is>
      </c>
      <c r="D45" s="41" t="inlineStr">
        <is>
          <t>Medium</t>
        </is>
      </c>
      <c r="E45" s="41" t="inlineStr">
        <is>
          <t>Reopened</t>
        </is>
      </c>
      <c r="F45" s="41" t="inlineStr">
        <is>
          <t>25/05/2026</t>
        </is>
      </c>
      <c r="G45" s="41" t="inlineStr"/>
      <c r="H45" s="41" t="inlineStr">
        <is>
          <t>Fail</t>
        </is>
      </c>
      <c r="I45" s="44" t="inlineStr"/>
    </row>
    <row r="46" ht="30" customHeight="1">
      <c r="A46" s="41" t="inlineStr">
        <is>
          <t>BUG-043</t>
        </is>
      </c>
      <c r="B46" s="41" t="inlineStr">
        <is>
          <t>TC-189</t>
        </is>
      </c>
      <c r="C46" s="44" t="inlineStr">
        <is>
          <t>[API] Test fail: TC-189-API: RED: Template separator d?i h?n 10 k? t? ? 400
Error: Error: expect(received).toBe(expected) // Object.is equality
Expected: 400
Received: 201
  353 |           data: { name: '</t>
        </is>
      </c>
      <c r="D46" s="41" t="inlineStr">
        <is>
          <t>Medium</t>
        </is>
      </c>
      <c r="E46" s="41" t="inlineStr">
        <is>
          <t>Verified</t>
        </is>
      </c>
      <c r="F46" s="41" t="inlineStr">
        <is>
          <t>25/05/2026</t>
        </is>
      </c>
      <c r="G46" s="41" t="inlineStr">
        <is>
          <t>26/05/2026</t>
        </is>
      </c>
      <c r="H46" s="41" t="inlineStr">
        <is>
          <t>Pass</t>
        </is>
      </c>
      <c r="I46" s="44" t="inlineStr"/>
    </row>
    <row r="47" ht="30" customHeight="1">
      <c r="A47" s="41" t="inlineStr">
        <is>
          <t>BUG-044</t>
        </is>
      </c>
      <c r="B47" s="41" t="inlineStr">
        <is>
          <t>TC-190</t>
        </is>
      </c>
      <c r="C47" s="44" t="inlineStr">
        <is>
          <t>[API] Test fail: TC-190-API: RED: counterConfig.maxValue = 0 ? 400
Error: Error: expect(received).toBe(expected) // Object.is equality
Expected: 400
Received: 201
  364 |           data: { name: '</t>
        </is>
      </c>
      <c r="D47" s="41" t="inlineStr">
        <is>
          <t>Medium</t>
        </is>
      </c>
      <c r="E47" s="41" t="inlineStr">
        <is>
          <t>Verified</t>
        </is>
      </c>
      <c r="F47" s="41" t="inlineStr">
        <is>
          <t>25/05/2026</t>
        </is>
      </c>
      <c r="G47" s="41" t="inlineStr">
        <is>
          <t>26/05/2026</t>
        </is>
      </c>
      <c r="H47" s="41" t="inlineStr">
        <is>
          <t>Pass</t>
        </is>
      </c>
      <c r="I47" s="44" t="inlineStr"/>
    </row>
    <row r="48" ht="30" customHeight="1">
      <c r="A48" s="41" t="inlineStr">
        <is>
          <t>BUG-045</t>
        </is>
      </c>
      <c r="B48" s="41" t="inlineStr">
        <is>
          <t>TC-191</t>
        </is>
      </c>
      <c r="C48" s="44" t="inlineStr">
        <is>
          <t>[API] Test fail: TC-191-API: RED: counterConfig.maxValue l? float 9.5 ? 400
Error: Error: expect(received).toBe(expected) // Object.is equality
Expected: 400
Received: 201
  375 |           data: { name: '</t>
        </is>
      </c>
      <c r="D48" s="41" t="inlineStr">
        <is>
          <t>Medium</t>
        </is>
      </c>
      <c r="E48" s="41" t="inlineStr">
        <is>
          <t>Verified</t>
        </is>
      </c>
      <c r="F48" s="41" t="inlineStr">
        <is>
          <t>25/05/2026</t>
        </is>
      </c>
      <c r="G48" s="41" t="inlineStr">
        <is>
          <t>26/05/2026</t>
        </is>
      </c>
      <c r="H48" s="41" t="inlineStr">
        <is>
          <t>Pass</t>
        </is>
      </c>
      <c r="I48" s="44" t="inlineStr"/>
    </row>
    <row r="49" ht="30" customHeight="1">
      <c r="A49" s="41" t="inlineStr">
        <is>
          <t>BUG-046</t>
        </is>
      </c>
      <c r="B49" s="41" t="inlineStr">
        <is>
          <t>TC-192</t>
        </is>
      </c>
      <c r="C49" s="44" t="inlineStr">
        <is>
          <t>[API] Test fail: TC-192-API: RED: counterConfig.padding l? float 3.5 ? 400
Error: Error: expect(received).toBe(expected) // Object.is equality
Expected: 400
Received: 201
  386 |           data: { name: '</t>
        </is>
      </c>
      <c r="D49" s="41" t="inlineStr">
        <is>
          <t>Medium</t>
        </is>
      </c>
      <c r="E49" s="41" t="inlineStr">
        <is>
          <t>Verified</t>
        </is>
      </c>
      <c r="F49" s="41" t="inlineStr">
        <is>
          <t>25/05/2026</t>
        </is>
      </c>
      <c r="G49" s="41" t="inlineStr">
        <is>
          <t>26/05/2026</t>
        </is>
      </c>
      <c r="H49" s="41" t="inlineStr">
        <is>
          <t>Pass</t>
        </is>
      </c>
      <c r="I49" s="44" t="inlineStr"/>
    </row>
    <row r="50" ht="30" customHeight="1">
      <c r="A50" s="41" t="inlineStr">
        <is>
          <t>BUG-047</t>
        </is>
      </c>
      <c r="B50" s="41" t="inlineStr">
        <is>
          <t>TC-196</t>
        </is>
      </c>
      <c r="C50" s="44" t="inlineStr">
        <is>
          <t>[API] Test fail: TC-196-API: RED: GET /logs?page=0 ? 400
Error: Error: expect(received).toBe(expected) // Object.is equality
Expected: 400
Received: 500
  427 |           headers: auth(a</t>
        </is>
      </c>
      <c r="D50" s="41" t="inlineStr">
        <is>
          <t>Medium</t>
        </is>
      </c>
      <c r="E50" s="41" t="inlineStr">
        <is>
          <t>Reopened</t>
        </is>
      </c>
      <c r="F50" s="41" t="inlineStr">
        <is>
          <t>25/05/2026</t>
        </is>
      </c>
      <c r="G50" s="41" t="inlineStr"/>
      <c r="H50" s="41" t="inlineStr">
        <is>
          <t>Fail</t>
        </is>
      </c>
      <c r="I50" s="44" t="inlineStr"/>
    </row>
    <row r="51" ht="30" customHeight="1">
      <c r="A51" s="41" t="inlineStr">
        <is>
          <t>BUG-048</t>
        </is>
      </c>
      <c r="B51" s="41" t="inlineStr">
        <is>
          <t>TC-197</t>
        </is>
      </c>
      <c r="C51" s="44" t="inlineStr">
        <is>
          <t>[API] Test fail: TC-197-API: RED: GET /logs?pageSize=1000 (v??t max) ? 400
Error: Error: expect(received).toBe(expected) // Object.is equality
Expected: 400
Received: 200
  437 |           headers: auth(a</t>
        </is>
      </c>
      <c r="D51" s="41" t="inlineStr">
        <is>
          <t>Medium</t>
        </is>
      </c>
      <c r="E51" s="41" t="inlineStr">
        <is>
          <t>Reopened</t>
        </is>
      </c>
      <c r="F51" s="41" t="inlineStr">
        <is>
          <t>25/05/2026</t>
        </is>
      </c>
      <c r="G51" s="41" t="inlineStr"/>
      <c r="H51" s="41" t="inlineStr">
        <is>
          <t>Fail</t>
        </is>
      </c>
      <c r="I51" s="44" t="inlineStr"/>
    </row>
    <row r="52" ht="30" customHeight="1">
      <c r="A52" s="41" t="inlineStr">
        <is>
          <t>BUG-049</t>
        </is>
      </c>
      <c r="B52" s="41" t="inlineStr">
        <is>
          <t>TC-198</t>
        </is>
      </c>
      <c r="C52" s="44" t="inlineStr">
        <is>
          <t>[API] Test fail: TC-198-API: RED: GET /logs?templateId=invalid-uuid ? 400
Error: Error: expect(received).toBe(expected) // Object.is equality
Expected: 400
Received: 200
  447 |           headers: auth(a</t>
        </is>
      </c>
      <c r="D52" s="41" t="inlineStr">
        <is>
          <t>Medium</t>
        </is>
      </c>
      <c r="E52" s="41" t="inlineStr">
        <is>
          <t>Reopened</t>
        </is>
      </c>
      <c r="F52" s="41" t="inlineStr">
        <is>
          <t>25/05/2026</t>
        </is>
      </c>
      <c r="G52" s="41" t="inlineStr"/>
      <c r="H52" s="41" t="inlineStr">
        <is>
          <t>Fail</t>
        </is>
      </c>
      <c r="I52" s="44" t="inlineStr"/>
    </row>
    <row r="53" ht="30" customHeight="1">
      <c r="A53" s="41" t="inlineStr">
        <is>
          <t>BUG-050</t>
        </is>
      </c>
      <c r="B53" s="41" t="inlineStr">
        <is>
          <t>TC-199</t>
        </is>
      </c>
      <c r="C53" s="44" t="inlineStr">
        <is>
          <t>[API] Test fail: TC-199-API: RED: IDOR ? PATCH log c?a officer2 b?ng token of
Error: Error: expect(received).toBe(expected) // Object.is equality
Expected: 403
Received: 404
  458 |           data: { documen</t>
        </is>
      </c>
      <c r="D53" s="41" t="inlineStr">
        <is>
          <t>Medium</t>
        </is>
      </c>
      <c r="E53" s="41" t="inlineStr">
        <is>
          <t>Reopened</t>
        </is>
      </c>
      <c r="F53" s="41" t="inlineStr">
        <is>
          <t>25/05/2026</t>
        </is>
      </c>
      <c r="G53" s="41" t="inlineStr"/>
      <c r="H53" s="41" t="inlineStr">
        <is>
          <t>Fail</t>
        </is>
      </c>
      <c r="I53" s="44" t="inlineStr"/>
    </row>
    <row r="54">
      <c r="A54" t="inlineStr">
        <is>
          <t>BUG-051</t>
        </is>
      </c>
      <c r="B54" t="inlineStr">
        <is>
          <t>TC-200</t>
        </is>
      </c>
      <c r="C54" t="inlineStr">
        <is>
          <t>[API] Test fail: TC-200-API: RED: NoSQL injection trong templateId query para
Error: Error: expect(received).toBe(expected) // Object.is equality
Expected: 400
Received: 200
  468 |           headers: auth(a</t>
        </is>
      </c>
      <c r="D54" t="inlineStr">
        <is>
          <t>Medium</t>
        </is>
      </c>
      <c r="E54" t="inlineStr">
        <is>
          <t>Reopened</t>
        </is>
      </c>
      <c r="F54" t="inlineStr">
        <is>
          <t>25/05/2026</t>
        </is>
      </c>
      <c r="H54" t="inlineStr">
        <is>
          <t>Fail</t>
        </is>
      </c>
    </row>
    <row r="55">
      <c r="A55" t="inlineStr">
        <is>
          <t>BUG-052</t>
        </is>
      </c>
      <c r="B55" t="inlineStr">
        <is>
          <t>TC-202</t>
        </is>
      </c>
      <c r="C55" t="inlineStr">
        <is>
          <t>[API] Test fail: TC-202-API: RED: Path traversal trong templateId ? 400
Error: Error: expect(received).toBe(expected) // Object.is equality
Expected: 404
Received: 200
  489 |           headers: auth(a</t>
        </is>
      </c>
      <c r="D55" t="inlineStr">
        <is>
          <t>Medium</t>
        </is>
      </c>
      <c r="E55" t="inlineStr">
        <is>
          <t>Reopened</t>
        </is>
      </c>
      <c r="F55" t="inlineStr">
        <is>
          <t>25/05/2026</t>
        </is>
      </c>
      <c r="H55" t="inlineStr">
        <is>
          <t>Fail</t>
        </is>
      </c>
    </row>
    <row r="56">
      <c r="A56" t="inlineStr">
        <is>
          <t>BUG-053</t>
        </is>
      </c>
      <c r="B56" t="inlineStr">
        <is>
          <t>TC-203</t>
        </is>
      </c>
      <c r="C56" t="inlineStr">
        <is>
          <t>[API] Test fail: TC-203-API: RED: Header injection trong Authorization ? 401
Error: Error: expect(received).toBe(expected) // Object.is equality
Expected: 400
Received: 201
  500 |           data: { documen</t>
        </is>
      </c>
      <c r="D56" t="inlineStr">
        <is>
          <t>Medium</t>
        </is>
      </c>
      <c r="E56" t="inlineStr">
        <is>
          <t>Reopened</t>
        </is>
      </c>
      <c r="F56" t="inlineStr">
        <is>
          <t>25/05/2026</t>
        </is>
      </c>
      <c r="H56" t="inlineStr">
        <is>
          <t>Fail</t>
        </is>
      </c>
    </row>
    <row r="57">
      <c r="A57" t="inlineStr">
        <is>
          <t>BUG-054</t>
        </is>
      </c>
      <c r="B57" t="inlineStr">
        <is>
          <t>TC-205</t>
        </is>
      </c>
      <c r="C57" t="inlineStr">
        <is>
          <t>[API] Test fail: TC-205-API: RED: Commit ??ng th?i khi counter = maxValue-1 ?
Error: Error: expect(received).toContain(expected) // indexOf
Expected value: 403
Received array: [200, 201]
  519 |           da</t>
        </is>
      </c>
      <c r="D57" t="inlineStr">
        <is>
          <t>Medium</t>
        </is>
      </c>
      <c r="E57" t="inlineStr">
        <is>
          <t>Reopened</t>
        </is>
      </c>
      <c r="F57" t="inlineStr">
        <is>
          <t>25/05/2026</t>
        </is>
      </c>
      <c r="H57" t="inlineStr">
        <is>
          <t>Fail</t>
        </is>
      </c>
    </row>
    <row r="58">
      <c r="A58" t="inlineStr">
        <is>
          <t>BUG-055</t>
        </is>
      </c>
      <c r="B58" t="inlineStr">
        <is>
          <t>TC-211</t>
        </is>
      </c>
      <c r="C58" t="inlineStr">
        <is>
          <t>[API] Test fail: TC-211-API: SECURITY: Brute force /draft v?i token c?a nhi?u
Error: Error: Login officer1@pc02.local: 429 after 4 retries
  17 |     return { token: d.accessToken || b.accessToken, userId: d.user?.id || b.user?.id || d.sub || '' };
  18 |   }
&gt; 19 |   throw new Error</t>
        </is>
      </c>
      <c r="D58" t="inlineStr">
        <is>
          <t>Medium</t>
        </is>
      </c>
      <c r="E58" t="inlineStr">
        <is>
          <t>Reopened</t>
        </is>
      </c>
      <c r="F58" t="inlineStr">
        <is>
          <t>25/05/2026</t>
        </is>
      </c>
      <c r="H58" t="inlineStr">
        <is>
          <t>Fail</t>
        </is>
      </c>
    </row>
    <row r="59">
      <c r="A59" t="inlineStr">
        <is>
          <t>BUG-056</t>
        </is>
      </c>
      <c r="B59" t="inlineStr">
        <is>
          <t>TC-212</t>
        </is>
      </c>
      <c r="C59" t="inlineStr">
        <is>
          <t>[API] Test fail: TC-212-API: SECURITY: Token reuse sau logout ? 401
Error: Error: expect(received).toBe(expected) // Object.is equality
Expected: 401
Received: 404
  539 |           data: { documen</t>
        </is>
      </c>
      <c r="D59" t="inlineStr">
        <is>
          <t>Medium</t>
        </is>
      </c>
      <c r="E59" t="inlineStr">
        <is>
          <t>Reopened</t>
        </is>
      </c>
      <c r="F59" t="inlineStr">
        <is>
          <t>25/05/2026</t>
        </is>
      </c>
      <c r="H59" t="inlineStr">
        <is>
          <t>Fail</t>
        </is>
      </c>
    </row>
    <row r="60">
      <c r="A60" t="inlineStr">
        <is>
          <t>BUG-057</t>
        </is>
      </c>
      <c r="B60" t="inlineStr">
        <is>
          <t>TC-213</t>
        </is>
      </c>
      <c r="C60" t="inlineStr">
        <is>
          <t>[API] Test fail: TC-213-API: SECURITY: Mass assignment ? POST /templates v?i 
Error: Error: expect(received).toContain(expected) // indexOf
Expected value: 400
Received array: [200, 201]
  550 |           da</t>
        </is>
      </c>
      <c r="D60" t="inlineStr">
        <is>
          <t>Medium</t>
        </is>
      </c>
      <c r="E60" t="inlineStr">
        <is>
          <t>Reopened</t>
        </is>
      </c>
      <c r="F60" t="inlineStr">
        <is>
          <t>25/05/2026</t>
        </is>
      </c>
      <c r="H60" t="inlineStr">
        <is>
          <t>Fail</t>
        </is>
      </c>
    </row>
    <row r="61">
      <c r="A61" t="inlineStr">
        <is>
          <t>BUG-058</t>
        </is>
      </c>
      <c r="B61" t="inlineStr">
        <is>
          <t>TC-214</t>
        </is>
      </c>
      <c r="C61" t="inlineStr">
        <is>
          <t>[API] Test fail: TC-214-API: SECURITY: Privilege escalation ? officer POST /t
Error: Error: expect(received).toBe(expected) // Object.is equality
Expected: 403
Received: 400
  561 |           data: { documen</t>
        </is>
      </c>
      <c r="D61" t="inlineStr">
        <is>
          <t>Medium</t>
        </is>
      </c>
      <c r="E61" t="inlineStr">
        <is>
          <t>Verified</t>
        </is>
      </c>
      <c r="F61" t="inlineStr">
        <is>
          <t>25/05/2026</t>
        </is>
      </c>
      <c r="G61" t="inlineStr">
        <is>
          <t>26/05/2026</t>
        </is>
      </c>
      <c r="H61" t="inlineStr">
        <is>
          <t>Pass</t>
        </is>
      </c>
    </row>
    <row r="62">
      <c r="A62" t="inlineStr">
        <is>
          <t>BUG-059</t>
        </is>
      </c>
      <c r="B62" t="inlineStr">
        <is>
          <t>TC-216</t>
        </is>
      </c>
      <c r="C62" t="inlineStr">
        <is>
          <t>[API] Test fail: TC-216-API: SECURITY: Server error kh?ng leak stack trace ? 
Error: Error: expect(received).toBe(expected) // Object.is equality
Expected: 400
Received: 200
  581 |           data: { documen</t>
        </is>
      </c>
      <c r="D62" t="inlineStr">
        <is>
          <t>Medium</t>
        </is>
      </c>
      <c r="E62" t="inlineStr">
        <is>
          <t>Reopened</t>
        </is>
      </c>
      <c r="F62" t="inlineStr">
        <is>
          <t>25/05/2026</t>
        </is>
      </c>
      <c r="H62" t="inlineStr">
        <is>
          <t>Fail</t>
        </is>
      </c>
    </row>
    <row r="63">
      <c r="A63" t="inlineStr">
        <is>
          <t>BUG-060</t>
        </is>
      </c>
      <c r="B63" t="inlineStr">
        <is>
          <t>TC-234</t>
        </is>
      </c>
      <c r="C63" t="inlineStr">
        <is>
          <t>[API] Test fail: TC-234-API: RED: DELETE /templates kh?ng ph?i UUID format ? 
Error: Error: expect(received).toBe(expected) // Object.is equality
Expected: 400
Received: 404
  640 |           headers: auth(a</t>
        </is>
      </c>
      <c r="D63" t="inlineStr">
        <is>
          <t>Medium</t>
        </is>
      </c>
      <c r="E63" t="inlineStr">
        <is>
          <t>Reopened</t>
        </is>
      </c>
      <c r="F63" t="inlineStr">
        <is>
          <t>25/05/2026</t>
        </is>
      </c>
      <c r="H63" t="inlineStr">
        <is>
          <t>Fail</t>
        </is>
      </c>
    </row>
    <row r="64">
      <c r="A64" t="inlineStr">
        <is>
          <t>BUG-061</t>
        </is>
      </c>
      <c r="B64" t="inlineStr">
        <is>
          <t>TC-235</t>
        </is>
      </c>
      <c r="C64" t="inlineStr">
        <is>
          <t>[API] Test fail: TC-235-API: RED: PUT /templates kh?ng ph?i UUID format ? 400
Error: Error: expect(received).toBe(expected) // Object.is equality
Expected: 400
Received: 404
  651 |           data: { separat</t>
        </is>
      </c>
      <c r="D64" t="inlineStr">
        <is>
          <t>Medium</t>
        </is>
      </c>
      <c r="E64" t="inlineStr">
        <is>
          <t>Reopened</t>
        </is>
      </c>
      <c r="F64" t="inlineStr">
        <is>
          <t>25/05/2026</t>
        </is>
      </c>
      <c r="H64" t="inlineStr">
        <is>
          <t>Fail</t>
        </is>
      </c>
    </row>
    <row r="65">
      <c r="A65" t="inlineStr">
        <is>
          <t>BUG-062</t>
        </is>
      </c>
      <c r="B65" t="inlineStr">
        <is>
          <t>TC-236</t>
        </is>
      </c>
      <c r="C65" t="inlineStr">
        <is>
          <t>[API] Test fail: TC-236-API: RED: GET /logs v?i from &gt; to date range ? 400
Error: Error: expect(received).toBe(expected) // Object.is equality
Expected: 400
Received: 200
  661 |           headers: auth(a</t>
        </is>
      </c>
      <c r="D65" t="inlineStr">
        <is>
          <t>Medium</t>
        </is>
      </c>
      <c r="E65" t="inlineStr">
        <is>
          <t>Reopened</t>
        </is>
      </c>
      <c r="F65" t="inlineStr">
        <is>
          <t>25/05/2026</t>
        </is>
      </c>
      <c r="H65" t="inlineStr">
        <is>
          <t>Fail</t>
        </is>
      </c>
    </row>
    <row r="66">
      <c r="A66" t="inlineStr">
        <is>
          <t>BUG-063</t>
        </is>
      </c>
      <c r="B66" t="inlineStr">
        <is>
          <t>TC-237</t>
        </is>
      </c>
      <c r="C66" t="inlineStr">
        <is>
          <t>[API] Test fail: TC-237-API: RED: POST /commit documentType=INCIDENT nh?ng kh
Error: Error: expect(received).toBe(expected) // Object.is equality
Expected: 404
Received: 403
  672 |           data: { documen</t>
        </is>
      </c>
      <c r="D66" t="inlineStr">
        <is>
          <t>Medium</t>
        </is>
      </c>
      <c r="E66" t="inlineStr">
        <is>
          <t>Reopened</t>
        </is>
      </c>
      <c r="F66" t="inlineStr">
        <is>
          <t>25/05/2026</t>
        </is>
      </c>
      <c r="H66" t="inlineStr">
        <is>
          <t>Fail</t>
        </is>
      </c>
    </row>
    <row r="67">
      <c r="A67" t="inlineStr">
        <is>
          <t>BUG-064</t>
        </is>
      </c>
      <c r="B67" t="inlineStr">
        <is>
          <t>TC-238</t>
        </is>
      </c>
      <c r="C67" t="inlineStr">
        <is>
          <t>[API] Test fail: TC-238-API: RED: POST /templates isActive=null ? 400 ho?c de
Error: Error: expect(received).toBe(expected) // Object.is equality
Expected: 400
Received: 201
  683 |           data: { name: '</t>
        </is>
      </c>
      <c r="D67" t="inlineStr">
        <is>
          <t>Medium</t>
        </is>
      </c>
      <c r="E67" t="inlineStr">
        <is>
          <t>Reopened</t>
        </is>
      </c>
      <c r="F67" t="inlineStr">
        <is>
          <t>25/05/2026</t>
        </is>
      </c>
      <c r="H67" t="inlineStr">
        <is>
          <t>Fail</t>
        </is>
      </c>
    </row>
    <row r="68">
      <c r="A68" t="inlineStr">
        <is>
          <t>BUG-065</t>
        </is>
      </c>
      <c r="B68" t="inlineStr">
        <is>
          <t>TC-239</t>
        </is>
      </c>
      <c r="C68" t="inlineStr">
        <is>
          <t>[API] Test fail: TC-239-API: RED: POST /templates v?i tr?ng documentType acti
Error: Error: expect(received).toBe(expected) // Object.is equality
Expected: 400
Received: 201
  694 |           data: { name: '</t>
        </is>
      </c>
      <c r="D68" t="inlineStr">
        <is>
          <t>Medium</t>
        </is>
      </c>
      <c r="E68" t="inlineStr">
        <is>
          <t>Reopened</t>
        </is>
      </c>
      <c r="F68" t="inlineStr">
        <is>
          <t>25/05/2026</t>
        </is>
      </c>
      <c r="H68" t="inlineStr">
        <is>
          <t>Fail</t>
        </is>
      </c>
    </row>
    <row r="69">
      <c r="A69" t="inlineStr">
        <is>
          <t>BUG-066</t>
        </is>
      </c>
      <c r="B69" t="inlineStr">
        <is>
          <t>TC-240</t>
        </is>
      </c>
      <c r="C69" t="inlineStr">
        <is>
          <t>[API] Test fail: TC-240-API: RED: PATCH /logs/:logId body r?ng {} ? 400
Error: Error: expect(received).toBe(expected) // Object.is equality
Expected: 400
Received: 404
  705 |           data: { documen</t>
        </is>
      </c>
      <c r="D69" t="inlineStr">
        <is>
          <t>Medium</t>
        </is>
      </c>
      <c r="E69" t="inlineStr">
        <is>
          <t>Reopened</t>
        </is>
      </c>
      <c r="F69" t="inlineStr">
        <is>
          <t>25/05/2026</t>
        </is>
      </c>
      <c r="H69" t="inlineStr">
        <is>
          <t>Fail</t>
        </is>
      </c>
    </row>
    <row r="70">
      <c r="A70" t="inlineStr">
        <is>
          <t>BUG-067</t>
        </is>
      </c>
      <c r="B70" t="inlineStr">
        <is>
          <t>TC-241</t>
        </is>
      </c>
      <c r="C70" t="inlineStr">
        <is>
          <t>[API] Test fail: TC-241-API: RED: POST /draft documentType=empty string ? 400
Error: Error: expect(received).toBe(expected) // Object.is equality
Expected: 400
Received: 201
  716 |           data: { documen</t>
        </is>
      </c>
      <c r="D70" t="inlineStr">
        <is>
          <t>Medium</t>
        </is>
      </c>
      <c r="E70" t="inlineStr">
        <is>
          <t>Verified</t>
        </is>
      </c>
      <c r="F70" t="inlineStr">
        <is>
          <t>25/05/2026</t>
        </is>
      </c>
      <c r="G70" t="inlineStr">
        <is>
          <t>26/05/2026</t>
        </is>
      </c>
      <c r="H70" t="inlineStr">
        <is>
          <t>Pass</t>
        </is>
      </c>
    </row>
    <row r="71">
      <c r="A71" t="inlineStr">
        <is>
          <t>BUG-068</t>
        </is>
      </c>
      <c r="B71" t="inlineStr">
        <is>
          <t>TC-242</t>
        </is>
      </c>
      <c r="C71" t="inlineStr">
        <is>
          <t>[API] Test fail: TC-242-API: RED: POST /commit documentType c? whitespace pad
Error: Error: expect(received).toBe(expected) // Object.is equality
Expected: 400
Received: 403
  727 |           data: { documen</t>
        </is>
      </c>
      <c r="D71" t="inlineStr">
        <is>
          <t>Medium</t>
        </is>
      </c>
      <c r="E71" t="inlineStr">
        <is>
          <t>Reopened</t>
        </is>
      </c>
      <c r="F71" t="inlineStr">
        <is>
          <t>25/05/2026</t>
        </is>
      </c>
      <c r="H71" t="inlineStr">
        <is>
          <t>Fail</t>
        </is>
      </c>
    </row>
    <row r="72">
      <c r="A72" t="inlineStr">
        <is>
          <t>BUG-069</t>
        </is>
      </c>
      <c r="B72" t="inlineStr">
        <is>
          <t>TC-243</t>
        </is>
      </c>
      <c r="C72" t="inlineStr">
        <is>
          <t>[API] Test fail: TC-243-API: RED: POST /draft v?i array documentType ? 400
Error: Error: Login officer1@pc02.local: 429 after 4 retries
  17 |     return { token: d.accessToken || b.accessToken, userId: d.user?.id || b.user?.id || d.sub || '' };
  18 |   }
&gt; 19 |   throw new Error</t>
        </is>
      </c>
      <c r="D72" t="inlineStr">
        <is>
          <t>Medium</t>
        </is>
      </c>
      <c r="E72" t="inlineStr">
        <is>
          <t>Verified</t>
        </is>
      </c>
      <c r="F72" t="inlineStr">
        <is>
          <t>25/05/2026</t>
        </is>
      </c>
      <c r="G72" t="inlineStr">
        <is>
          <t>26/05/2026</t>
        </is>
      </c>
      <c r="H72" t="inlineStr">
        <is>
          <t>Pass</t>
        </is>
      </c>
    </row>
    <row r="73">
      <c r="A73" t="inlineStr">
        <is>
          <t>BUG-070</t>
        </is>
      </c>
      <c r="B73" t="inlineStr">
        <is>
          <t>TC-244</t>
        </is>
      </c>
      <c r="C73" t="inlineStr">
        <is>
          <t>[API] Test fail: TC-244-API: RED: POST /commit v?i boolean documentType ? 400
Error: Error: expect(received).toBe(expected) // Object.is equality
Expected: 400
Received: 403
  749 |           data: { documen</t>
        </is>
      </c>
      <c r="D73" t="inlineStr">
        <is>
          <t>Medium</t>
        </is>
      </c>
      <c r="E73" t="inlineStr">
        <is>
          <t>Reopened</t>
        </is>
      </c>
      <c r="F73" t="inlineStr">
        <is>
          <t>25/05/2026</t>
        </is>
      </c>
      <c r="H73" t="inlineStr">
        <is>
          <t>Fail</t>
        </is>
      </c>
    </row>
    <row r="74">
      <c r="A74" t="inlineStr">
        <is>
          <t>BUG-071</t>
        </is>
      </c>
      <c r="B74" t="inlineStr">
        <is>
          <t>TC-246</t>
        </is>
      </c>
      <c r="C74" t="inlineStr">
        <is>
          <t>[API] Test fail: TC-246-API: RED: POST /templates v?i segments kh?ng ph?i arr
Error: Error: expect(received).toBe(expected) // Object.is equality
Expected: 400
Received: 201
  770 |           data: { name: '</t>
        </is>
      </c>
      <c r="D74" t="inlineStr">
        <is>
          <t>Medium</t>
        </is>
      </c>
      <c r="E74" t="inlineStr">
        <is>
          <t>Verified</t>
        </is>
      </c>
      <c r="F74" t="inlineStr">
        <is>
          <t>25/05/2026</t>
        </is>
      </c>
      <c r="G74" t="inlineStr">
        <is>
          <t>26/05/2026</t>
        </is>
      </c>
      <c r="H74" t="inlineStr">
        <is>
          <t>Pass</t>
        </is>
      </c>
    </row>
    <row r="75">
      <c r="A75" t="inlineStr">
        <is>
          <t>BUG-072</t>
        </is>
      </c>
      <c r="B75" t="inlineStr">
        <is>
          <t>TC-247</t>
        </is>
      </c>
      <c r="C75" t="inlineStr">
        <is>
          <t>[API] Test fail: TC-247-API: RED: POST /templates counterConfig=null ? 400
Error: Error: expect(received).toBe(expected) // Object.is equality
Expected: 400
Received: 201
  781 |           data: { name: '</t>
        </is>
      </c>
      <c r="D75" t="inlineStr">
        <is>
          <t>Medium</t>
        </is>
      </c>
      <c r="E75" t="inlineStr">
        <is>
          <t>Verified</t>
        </is>
      </c>
      <c r="F75" t="inlineStr">
        <is>
          <t>25/05/2026</t>
        </is>
      </c>
      <c r="G75" t="inlineStr">
        <is>
          <t>26/05/2026</t>
        </is>
      </c>
      <c r="H75" t="inlineStr">
        <is>
          <t>Pass</t>
        </is>
      </c>
    </row>
    <row r="76">
      <c r="A76" t="inlineStr">
        <is>
          <t>BUG-073</t>
        </is>
      </c>
      <c r="B76" t="inlineStr">
        <is>
          <t>TC-248</t>
        </is>
      </c>
      <c r="C76" t="inlineStr">
        <is>
          <t>[API] Test fail: TC-248-API: RED: PUT /templates/:id body r?ng {} ? 200 kh?ng
Error: Error: expect(received).toContain(expected) // indexOf
Expected value: 404
Received array: [200, 201]
  792 |           da</t>
        </is>
      </c>
      <c r="D76" t="inlineStr">
        <is>
          <t>Medium</t>
        </is>
      </c>
      <c r="E76" t="inlineStr">
        <is>
          <t>Reopened</t>
        </is>
      </c>
      <c r="F76" t="inlineStr">
        <is>
          <t>25/05/2026</t>
        </is>
      </c>
      <c r="H76" t="inlineStr">
        <is>
          <t>Fail</t>
        </is>
      </c>
    </row>
    <row r="77">
      <c r="A77" t="inlineStr">
        <is>
          <t>BUG-074</t>
        </is>
      </c>
      <c r="B77" t="inlineStr">
        <is>
          <t>TC-249</t>
        </is>
      </c>
      <c r="C77" t="inlineStr">
        <is>
          <t>[API] Test fail: TC-249-API: RED: POST /commit v?i draftPreview l? s? ?m stri
Error: Error: expect(received).toContain(expected) // indexOf
Expected value: 403
Received array: [200, 201]
  803 |           da</t>
        </is>
      </c>
      <c r="D77" t="inlineStr">
        <is>
          <t>Medium</t>
        </is>
      </c>
      <c r="E77" t="inlineStr">
        <is>
          <t>Reopened</t>
        </is>
      </c>
      <c r="F77" t="inlineStr">
        <is>
          <t>25/05/2026</t>
        </is>
      </c>
      <c r="H77" t="inlineStr">
        <is>
          <t>Fail</t>
        </is>
      </c>
    </row>
    <row r="78">
      <c r="A78" t="inlineStr">
        <is>
          <t>BUG-075</t>
        </is>
      </c>
      <c r="B78" t="inlineStr">
        <is>
          <t>TC-250</t>
        </is>
      </c>
      <c r="C78" t="inlineStr">
        <is>
          <t>[API] Test fail: TC-250-API: RED: PATCH /logs/:logId v?i extra fields ? ignor
Error: Error: expect(received).toContain(expected) // indexOf
Expected value: 404
Received array: [200, 201]
  814 |           da</t>
        </is>
      </c>
      <c r="D78" t="inlineStr">
        <is>
          <t>Medium</t>
        </is>
      </c>
      <c r="E78" t="inlineStr">
        <is>
          <t>Reopened</t>
        </is>
      </c>
      <c r="F78" t="inlineStr">
        <is>
          <t>25/05/2026</t>
        </is>
      </c>
      <c r="H78" t="inlineStr">
        <is>
          <t>Fail</t>
        </is>
      </c>
    </row>
    <row r="79">
      <c r="A79" t="inlineStr">
        <is>
          <t>BUG-076</t>
        </is>
      </c>
      <c r="B79" t="inlineStr">
        <is>
          <t>TC-254</t>
        </is>
      </c>
      <c r="C79" t="inlineStr">
        <is>
          <t>[API] Test fail: TC-254-API: RED: POST /draft khi DB kh?ng available ? 500 v?
Error: Error: expect(received).toBe(expected) // Object.is equality
Expected: 500
Received: 201
  851 |           data: { documen</t>
        </is>
      </c>
      <c r="D79" t="inlineStr">
        <is>
          <t>Medium</t>
        </is>
      </c>
      <c r="E79" t="inlineStr">
        <is>
          <t>Reopened</t>
        </is>
      </c>
      <c r="F79" t="inlineStr">
        <is>
          <t>25/05/2026</t>
        </is>
      </c>
      <c r="H79" t="inlineStr">
        <is>
          <t>Fail</t>
        </is>
      </c>
    </row>
    <row r="80">
      <c r="A80" t="inlineStr">
        <is>
          <t>BUG-077</t>
        </is>
      </c>
      <c r="B80" t="inlineStr">
        <is>
          <t>TC-255</t>
        </is>
      </c>
      <c r="C80" t="inlineStr">
        <is>
          <t>[API] Test fail: TC-255-API: RED: POST /templates documentType=INCIDENT nh?ng
Error: Error: expect(received).toBe(expected) // Object.is equality
Expected: 400
Received: 201
  860 |           data: { name: '</t>
        </is>
      </c>
      <c r="D80" t="inlineStr">
        <is>
          <t>Medium</t>
        </is>
      </c>
      <c r="E80" t="inlineStr">
        <is>
          <t>Verified</t>
        </is>
      </c>
      <c r="F80" t="inlineStr">
        <is>
          <t>25/05/2026</t>
        </is>
      </c>
      <c r="G80" t="inlineStr">
        <is>
          <t>26/05/2026</t>
        </is>
      </c>
      <c r="H80" t="inlineStr">
        <is>
          <t>Pass</t>
        </is>
      </c>
    </row>
    <row r="81">
      <c r="A81" t="inlineStr">
        <is>
          <t>BUG-078</t>
        </is>
      </c>
      <c r="B81" t="inlineStr">
        <is>
          <t>TC-257</t>
        </is>
      </c>
      <c r="C81" t="inlineStr">
        <is>
          <t>[API] Test fail: TC-257-API: RED: POST /templates v?i counterConfig.resetPeri
Error: Error: expect(received).toBe(expected) // Object.is equality
Expected: 400
Received: 201
  881 |           data: { name: '</t>
        </is>
      </c>
      <c r="D81" t="inlineStr">
        <is>
          <t>Medium</t>
        </is>
      </c>
      <c r="E81" t="inlineStr">
        <is>
          <t>Verified</t>
        </is>
      </c>
      <c r="F81" t="inlineStr">
        <is>
          <t>25/05/2026</t>
        </is>
      </c>
      <c r="G81" t="inlineStr">
        <is>
          <t>26/05/2026</t>
        </is>
      </c>
      <c r="H81" t="inlineStr">
        <is>
          <t>Pass</t>
        </is>
      </c>
    </row>
    <row r="82">
      <c r="A82" t="inlineStr">
        <is>
          <t>BUG-079</t>
        </is>
      </c>
      <c r="B82" t="inlineStr">
        <is>
          <t>TC-260</t>
        </is>
      </c>
      <c r="C82" t="inlineStr">
        <is>
          <t>[API] Test fail: TC-260-API: RED: PUT /templates/:id v?i isActive=null ? 400 
Error: Error: expect(received).toBe(expected) // Object.is equality
Expected: 400
Received: 404
  911 |           data: { separat</t>
        </is>
      </c>
      <c r="D82" t="inlineStr">
        <is>
          <t>Medium</t>
        </is>
      </c>
      <c r="E82" t="inlineStr">
        <is>
          <t>Reopened</t>
        </is>
      </c>
      <c r="F82" t="inlineStr">
        <is>
          <t>25/05/2026</t>
        </is>
      </c>
      <c r="H82" t="inlineStr">
        <is>
          <t>Fail</t>
        </is>
      </c>
    </row>
    <row r="83">
      <c r="A83" t="inlineStr">
        <is>
          <t>BUG-080</t>
        </is>
      </c>
      <c r="B83" t="inlineStr">
        <is>
          <t>TC-261</t>
        </is>
      </c>
      <c r="C83" t="inlineStr">
        <is>
          <t>[API] Test fail: TC-261-API: RED: POST /templates t?t c? segments l? COUNTER 
Error: Error: Login officer1@pc02.local: 429 after 4 retries
  17 |     return { token: d.accessToken || b.accessToken, userId: d.user?.id || b.user?.id || d.sub || '' };
  18 |   }
&gt; 19 |   throw new Error</t>
        </is>
      </c>
      <c r="D83" t="inlineStr">
        <is>
          <t>Medium</t>
        </is>
      </c>
      <c r="E83" t="inlineStr">
        <is>
          <t>Verified</t>
        </is>
      </c>
      <c r="F83" t="inlineStr">
        <is>
          <t>25/05/2026</t>
        </is>
      </c>
      <c r="G83" t="inlineStr">
        <is>
          <t>26/05/2026</t>
        </is>
      </c>
      <c r="H83" t="inlineStr">
        <is>
          <t>Pass</t>
        </is>
      </c>
    </row>
    <row r="84">
      <c r="A84" t="inlineStr">
        <is>
          <t>BUG-081</t>
        </is>
      </c>
      <c r="B84" t="inlineStr">
        <is>
          <t>TC-262</t>
        </is>
      </c>
      <c r="C84" t="inlineStr">
        <is>
          <t>[API] Test fail: TC-262-API: RED: POST /draft user b? suspended/locked ? 401/
Error: Error: expect(received).toBe(expected) // Object.is equality
Expected: 403
Received: 201
  933 |           data: { documen</t>
        </is>
      </c>
      <c r="D84" t="inlineStr">
        <is>
          <t>Medium</t>
        </is>
      </c>
      <c r="E84" t="inlineStr">
        <is>
          <t>Reopened</t>
        </is>
      </c>
      <c r="F84" t="inlineStr">
        <is>
          <t>25/05/2026</t>
        </is>
      </c>
      <c r="H84" t="inlineStr">
        <is>
          <t>Fail</t>
        </is>
      </c>
    </row>
    <row r="85">
      <c r="A85" t="inlineStr">
        <is>
          <t>BUG-082</t>
        </is>
      </c>
      <c r="B85" t="inlineStr">
        <is>
          <t>TC-263</t>
        </is>
      </c>
      <c r="C85" t="inlineStr">
        <is>
          <t>[API] Test fail: TC-263-API: RED: POST /commit s? l?n retry v??t max (3 l?n U
Error: Error: expect(received).toBe(expected) // Object.is equality
Expected: 500
Received: 403
  944 |           data: { documen</t>
        </is>
      </c>
      <c r="D85" t="inlineStr">
        <is>
          <t>Medium</t>
        </is>
      </c>
      <c r="E85" t="inlineStr">
        <is>
          <t>Reopened</t>
        </is>
      </c>
      <c r="F85" t="inlineStr">
        <is>
          <t>25/05/2026</t>
        </is>
      </c>
      <c r="H85" t="inlineStr">
        <is>
          <t>Fail</t>
        </is>
      </c>
    </row>
    <row r="86">
      <c r="A86" t="inlineStr">
        <is>
          <t>BUG-083</t>
        </is>
      </c>
      <c r="B86" t="inlineStr">
        <is>
          <t>TC-264</t>
        </is>
      </c>
      <c r="C86" t="inlineStr">
        <is>
          <t>[API] Test fail: TC-264-API: RED: POST /templates separator c? tab character 
Error: Error: Login officer1@pc02.local: 429 after 4 retries
  17 |     return { token: d.accessToken || b.accessToken, userId: d.user?.id || b.user?.id || d.sub || '' };
  18 |   }
&gt; 19 |   throw new Error</t>
        </is>
      </c>
      <c r="D86" t="inlineStr">
        <is>
          <t>Medium</t>
        </is>
      </c>
      <c r="E86" t="inlineStr">
        <is>
          <t>Reopened</t>
        </is>
      </c>
      <c r="F86" t="inlineStr">
        <is>
          <t>25/05/2026</t>
        </is>
      </c>
      <c r="H86" t="inlineStr">
        <is>
          <t>Fail</t>
        </is>
      </c>
    </row>
    <row r="87">
      <c r="A87" t="inlineStr">
        <is>
          <t>BUG-084</t>
        </is>
      </c>
      <c r="B87" t="inlineStr">
        <is>
          <t>TC-265</t>
        </is>
      </c>
      <c r="C87" t="inlineStr">
        <is>
          <t>[API] Test fail: TC-265-API: RED: GET /logs filter by invalid date format '25
Error: Error: expect(received).toBe(expected) // Object.is equality
Expected: 400
Received: 200
  963 |           headers: auth(a</t>
        </is>
      </c>
      <c r="D87" t="inlineStr">
        <is>
          <t>Medium</t>
        </is>
      </c>
      <c r="E87" t="inlineStr">
        <is>
          <t>Reopened</t>
        </is>
      </c>
      <c r="F87" t="inlineStr">
        <is>
          <t>25/05/2026</t>
        </is>
      </c>
      <c r="H87" t="inlineStr">
        <is>
          <t>Fail</t>
        </is>
      </c>
    </row>
    <row r="88">
      <c r="A88" t="inlineStr">
        <is>
          <t>BUG-085</t>
        </is>
      </c>
      <c r="B88" t="inlineStr">
        <is>
          <t>TC-266</t>
        </is>
      </c>
      <c r="C88" t="inlineStr">
        <is>
          <t>[API] Test fail: TC-266-API: RED: POST /templates 1000 segments ? 400 (qu? nh
Error: Error: expect(received).toBe(expected) // Object.is equality
Expected: 400
Received: 201
  974 |           data: { name: '</t>
        </is>
      </c>
      <c r="D88" t="inlineStr">
        <is>
          <t>Medium</t>
        </is>
      </c>
      <c r="E88" t="inlineStr">
        <is>
          <t>Reopened</t>
        </is>
      </c>
      <c r="F88" t="inlineStr">
        <is>
          <t>25/05/2026</t>
        </is>
      </c>
      <c r="H88" t="inlineStr">
        <is>
          <t>Fail</t>
        </is>
      </c>
    </row>
    <row r="89">
      <c r="A89" t="inlineStr">
        <is>
          <t>BUG-086</t>
        </is>
      </c>
      <c r="B89" t="inlineStr">
        <is>
          <t>TC-268</t>
        </is>
      </c>
      <c r="C89" t="inlineStr">
        <is>
          <t>[API] Test fail: TC-268-API: RED: PUT /templates/:id x?a required segment typ
Error: Error: expect(received).toBe(expected) // Object.is equality
Expected: 400
Received: 404
   996 |           data: { separa</t>
        </is>
      </c>
      <c r="D89" t="inlineStr">
        <is>
          <t>Medium</t>
        </is>
      </c>
      <c r="E89" t="inlineStr">
        <is>
          <t>Reopened</t>
        </is>
      </c>
      <c r="F89" t="inlineStr">
        <is>
          <t>25/05/2026</t>
        </is>
      </c>
      <c r="H89" t="inlineStr">
        <is>
          <t>Fail</t>
        </is>
      </c>
    </row>
    <row r="90">
      <c r="A90" t="inlineStr">
        <is>
          <t>BUG-087</t>
        </is>
      </c>
      <c r="B90" t="inlineStr">
        <is>
          <t>TC-269</t>
        </is>
      </c>
      <c r="C90" t="inlineStr">
        <is>
          <t>[API] Test fail: TC-269-API: RED: POST /templates v?i documentType kh?ng n?m 
Error: Error: expect(received).toBe(expected) // Object.is equality
Expected: 400
Received: 201
  1007 |           data: { name:</t>
        </is>
      </c>
      <c r="D90" t="inlineStr">
        <is>
          <t>Medium</t>
        </is>
      </c>
      <c r="E90" t="inlineStr">
        <is>
          <t>Verified</t>
        </is>
      </c>
      <c r="F90" t="inlineStr">
        <is>
          <t>25/05/2026</t>
        </is>
      </c>
      <c r="G90" t="inlineStr">
        <is>
          <t>26/05/2026</t>
        </is>
      </c>
      <c r="H90" t="inlineStr">
        <is>
          <t>Pass</t>
        </is>
      </c>
    </row>
    <row r="91">
      <c r="A91" t="inlineStr">
        <is>
          <t>BUG-088</t>
        </is>
      </c>
      <c r="B91" t="inlineStr">
        <is>
          <t>TC-270</t>
        </is>
      </c>
      <c r="C91" t="inlineStr">
        <is>
          <t>[API] Test fail: TC-270-API: RED: POST /templates v?i counterConfig.padding =
Error: Error: expect(received).toBe(expected) // Object.is equality
Expected: 400
Received: 201
  1018 |           data: { name:</t>
        </is>
      </c>
      <c r="D91" t="inlineStr">
        <is>
          <t>Medium</t>
        </is>
      </c>
      <c r="E91" t="inlineStr">
        <is>
          <t>Verified</t>
        </is>
      </c>
      <c r="F91" t="inlineStr">
        <is>
          <t>25/05/2026</t>
        </is>
      </c>
      <c r="G91" t="inlineStr">
        <is>
          <t>26/05/2026</t>
        </is>
      </c>
      <c r="H91" t="inlineStr">
        <is>
          <t>Pass</t>
        </is>
      </c>
    </row>
    <row r="92">
      <c r="A92" t="inlineStr">
        <is>
          <t>BUG-089</t>
        </is>
      </c>
      <c r="B92" t="inlineStr">
        <is>
          <t>TC-271</t>
        </is>
      </c>
      <c r="C92" t="inlineStr">
        <is>
          <t>[API] Test fail: TC-271-API: RED: POST /draft documentType=EVIDENCE v?i templ
Error: Error: expect(received).toBe(expected) // Object.is equality
Expected: 404
Received: 201
  1029 |           data: { docume</t>
        </is>
      </c>
      <c r="D92" t="inlineStr">
        <is>
          <t>Medium</t>
        </is>
      </c>
      <c r="E92" t="inlineStr">
        <is>
          <t>Reopened</t>
        </is>
      </c>
      <c r="F92" t="inlineStr">
        <is>
          <t>25/05/2026</t>
        </is>
      </c>
      <c r="H92" t="inlineStr">
        <is>
          <t>Fail</t>
        </is>
      </c>
    </row>
    <row r="93">
      <c r="A93" t="inlineStr">
        <is>
          <t>BUG-090</t>
        </is>
      </c>
      <c r="B93" t="inlineStr">
        <is>
          <t>TC-272</t>
        </is>
      </c>
      <c r="C93" t="inlineStr">
        <is>
          <t>[API] Test fail: TC-272-API: RED: POST /commit v?i documentType=DELEGATION kh
Error: Error: expect(received).toContain(expected) // indexOf
Expected value: 403
Received array: [200, 201]
  1040 |           d</t>
        </is>
      </c>
      <c r="D93" t="inlineStr">
        <is>
          <t>Medium</t>
        </is>
      </c>
      <c r="E93" t="inlineStr">
        <is>
          <t>Reopened</t>
        </is>
      </c>
      <c r="F93" t="inlineStr">
        <is>
          <t>25/05/2026</t>
        </is>
      </c>
      <c r="H93" t="inlineStr">
        <is>
          <t>Fail</t>
        </is>
      </c>
    </row>
    <row r="94">
      <c r="A94" t="inlineStr">
        <is>
          <t>BUG-091</t>
        </is>
      </c>
      <c r="B94" t="inlineStr">
        <is>
          <t>TC-273</t>
        </is>
      </c>
      <c r="C94" t="inlineStr">
        <is>
          <t>[API] Test fail: TC-273-API: RED: POST /templates v?i s? counterConfig.maxVal
Error: Error: expect(received).toBe(expected) // Object.is equality
Expected: 400
Received: 201
  1051 |           data: { name:</t>
        </is>
      </c>
      <c r="D94" t="inlineStr">
        <is>
          <t>Medium</t>
        </is>
      </c>
      <c r="E94" t="inlineStr">
        <is>
          <t>Verified</t>
        </is>
      </c>
      <c r="F94" t="inlineStr">
        <is>
          <t>25/05/2026</t>
        </is>
      </c>
      <c r="G94" t="inlineStr">
        <is>
          <t>26/05/2026</t>
        </is>
      </c>
      <c r="H94" t="inlineStr">
        <is>
          <t>Pass</t>
        </is>
      </c>
    </row>
    <row r="95">
      <c r="A95" t="inlineStr">
        <is>
          <t>BUG-092</t>
        </is>
      </c>
      <c r="B95" t="inlineStr">
        <is>
          <t>TC-274</t>
        </is>
      </c>
      <c r="C95" t="inlineStr">
        <is>
          <t>[API] Test fail: TC-274-API: RED: PATCH /logs/:logId isDraft=true (kh?ng ???c
Error: Error: expect(received).toBe(expected) // Object.is equality
Expected: 400
Received: 404
  1062 |           data: { docume</t>
        </is>
      </c>
      <c r="D95" t="inlineStr">
        <is>
          <t>Medium</t>
        </is>
      </c>
      <c r="E95" t="inlineStr">
        <is>
          <t>Reopened</t>
        </is>
      </c>
      <c r="F95" t="inlineStr">
        <is>
          <t>25/05/2026</t>
        </is>
      </c>
      <c r="H95" t="inlineStr">
        <is>
          <t>Fail</t>
        </is>
      </c>
    </row>
    <row r="96">
      <c r="A96" t="inlineStr">
        <is>
          <t>BUG-093</t>
        </is>
      </c>
      <c r="B96" t="inlineStr">
        <is>
          <t>TC-275</t>
        </is>
      </c>
      <c r="C96" t="inlineStr">
        <is>
          <t>[API] Test fail: TC-275-API: RED: POST /commit v?i documentType=PROPOSAL kh?n
Error: Error: Login officer1@pc02.local: 429 after 4 retries
  17 |     return { token: d.accessToken || b.accessToken, userId: d.user?.id || b.user?.id || d.sub || '' };
  18 |   }
&gt; 19 |   throw new Error</t>
        </is>
      </c>
      <c r="D96" t="inlineStr">
        <is>
          <t>Medium</t>
        </is>
      </c>
      <c r="E96" t="inlineStr">
        <is>
          <t>Reopened</t>
        </is>
      </c>
      <c r="F96" t="inlineStr">
        <is>
          <t>25/05/2026</t>
        </is>
      </c>
      <c r="H96" t="inlineStr">
        <is>
          <t>Fail</t>
        </is>
      </c>
    </row>
    <row r="97">
      <c r="A97" t="inlineStr">
        <is>
          <t>BUG-094</t>
        </is>
      </c>
      <c r="B97" t="inlineStr">
        <is>
          <t>TC-277</t>
        </is>
      </c>
      <c r="C97" t="inlineStr">
        <is>
          <t>[API] Test fail: TC-277-API: SECURITY: Prototype pollution trong JSON body ? 
Error: Error: expect(received).toContain(expected) // indexOf
Expected value: 400
Received array: [200, 201]
  1095 |           d</t>
        </is>
      </c>
      <c r="D97" t="inlineStr">
        <is>
          <t>Medium</t>
        </is>
      </c>
      <c r="E97" t="inlineStr">
        <is>
          <t>Reopened</t>
        </is>
      </c>
      <c r="F97" t="inlineStr">
        <is>
          <t>25/05/2026</t>
        </is>
      </c>
      <c r="H97" t="inlineStr">
        <is>
          <t>Fail</t>
        </is>
      </c>
    </row>
    <row r="98">
      <c r="A98" t="inlineStr">
        <is>
          <t>BUG-095</t>
        </is>
      </c>
      <c r="B98" t="inlineStr">
        <is>
          <t>TC-280</t>
        </is>
      </c>
      <c r="C98" t="inlineStr">
        <is>
          <t>[API] Test fail: TC-280-API: SECURITY: Enumeration attack ? /templates 403 vs
Error: Error: expect(received).toBe(expected) // Object.is equality
Expected: 403
Received: 200
  1126 |           data: { docume</t>
        </is>
      </c>
      <c r="D98" t="inlineStr">
        <is>
          <t>Medium</t>
        </is>
      </c>
      <c r="E98" t="inlineStr">
        <is>
          <t>Reopened</t>
        </is>
      </c>
      <c r="F98" t="inlineStr">
        <is>
          <t>25/05/2026</t>
        </is>
      </c>
      <c r="H98" t="inlineStr">
        <is>
          <t>Fail</t>
        </is>
      </c>
    </row>
    <row r="99">
      <c r="A99" t="inlineStr">
        <is>
          <t>BUG-096</t>
        </is>
      </c>
      <c r="B99" t="inlineStr">
        <is>
          <t>TC-287</t>
        </is>
      </c>
      <c r="C99" t="inlineStr">
        <is>
          <t>[API] Test fail: TC-287-API: RED P0: POST /templates name ch? c? whitespace ?
Error: Error: expect(received).toBe(expected) // Object.is equality
Expected: 400
Received: 201
  1146 |           data: { name:</t>
        </is>
      </c>
      <c r="D99" t="inlineStr">
        <is>
          <t>Medium</t>
        </is>
      </c>
      <c r="E99" t="inlineStr">
        <is>
          <t>Verified</t>
        </is>
      </c>
      <c r="F99" t="inlineStr">
        <is>
          <t>25/05/2026</t>
        </is>
      </c>
      <c r="G99" t="inlineStr">
        <is>
          <t>26/05/2026</t>
        </is>
      </c>
      <c r="H99" t="inlineStr">
        <is>
          <t>Pass</t>
        </is>
      </c>
    </row>
    <row r="100">
      <c r="A100" t="inlineStr">
        <is>
          <t>BUG-097</t>
        </is>
      </c>
      <c r="B100" t="inlineStr">
        <is>
          <t>TC-288</t>
        </is>
      </c>
      <c r="C100" t="inlineStr">
        <is>
          <t>[API] Test fail: TC-288-API: RED P0: POST /draft v?i token b? tamper (signatu
Error: Error: expect(received).toBe(expected) // Object.is equality
Expected: 401
Received: 201
  1157 |           data: { docume</t>
        </is>
      </c>
      <c r="D100" t="inlineStr">
        <is>
          <t>Medium</t>
        </is>
      </c>
      <c r="E100" t="inlineStr">
        <is>
          <t>Verified</t>
        </is>
      </c>
      <c r="F100" t="inlineStr">
        <is>
          <t>25/05/2026</t>
        </is>
      </c>
      <c r="G100" t="inlineStr">
        <is>
          <t>26/05/2026</t>
        </is>
      </c>
      <c r="H100" t="inlineStr">
        <is>
          <t>Pass</t>
        </is>
      </c>
    </row>
    <row r="101">
      <c r="A101" t="inlineStr">
        <is>
          <t>BUG-098</t>
        </is>
      </c>
      <c r="B101" t="inlineStr">
        <is>
          <t>TC-290</t>
        </is>
      </c>
      <c r="C101" t="inlineStr">
        <is>
          <t>[API] Test fail: TC-290-API: RED P0: Commit khi counter WEEKLY period exhaust
Error: Error: expect(received).toBe(expected) // Object.is equality
Expected: 400
Received: 403
  1179 |           data: { docume</t>
        </is>
      </c>
      <c r="D101" t="inlineStr">
        <is>
          <t>Medium</t>
        </is>
      </c>
      <c r="E101" t="inlineStr">
        <is>
          <t>Reopened</t>
        </is>
      </c>
      <c r="F101" t="inlineStr">
        <is>
          <t>25/05/2026</t>
        </is>
      </c>
      <c r="H101" t="inlineStr">
        <is>
          <t>Fail</t>
        </is>
      </c>
    </row>
    <row r="102">
      <c r="A102" t="inlineStr">
        <is>
          <t>BUG-099</t>
        </is>
      </c>
      <c r="B102" t="inlineStr">
        <is>
          <t>TC-292</t>
        </is>
      </c>
      <c r="C102" t="inlineStr">
        <is>
          <t>[API] Test fail: TC-292-API: RED P0: DELETE /templates ?ang c? counter transa
Error: Error: expect(received).toContain(expected) // indexOf
Expected value: 404
Received array: [200, 201]
  1200 |           h</t>
        </is>
      </c>
      <c r="D102" t="inlineStr">
        <is>
          <t>Medium</t>
        </is>
      </c>
      <c r="E102" t="inlineStr">
        <is>
          <t>Reopened</t>
        </is>
      </c>
      <c r="F102" t="inlineStr">
        <is>
          <t>25/05/2026</t>
        </is>
      </c>
      <c r="H102" t="inlineStr">
        <is>
          <t>Fail</t>
        </is>
      </c>
    </row>
    <row r="103">
      <c r="A103" t="inlineStr">
        <is>
          <t>BUG-100</t>
        </is>
      </c>
      <c r="B103" t="inlineStr">
        <is>
          <t>TC-293</t>
        </is>
      </c>
      <c r="C103" t="inlineStr">
        <is>
          <t>[API] Test fail: TC-293-API: RED P0: PATCH /logs/:logId kh?ng ???c s?a genera
Error: Error: expect(received).toBe(expected) // Object.is equality
Expected: 400
Received: 404
  1209 |           data: { docume</t>
        </is>
      </c>
      <c r="D103" t="inlineStr">
        <is>
          <t>Medium</t>
        </is>
      </c>
      <c r="E103" t="inlineStr">
        <is>
          <t>Reopened</t>
        </is>
      </c>
      <c r="F103" t="inlineStr">
        <is>
          <t>25/05/2026</t>
        </is>
      </c>
      <c r="H103" t="inlineStr">
        <is>
          <t>Fail</t>
        </is>
      </c>
    </row>
    <row r="104">
      <c r="A104" t="inlineStr">
        <is>
          <t>BUG-101</t>
        </is>
      </c>
      <c r="B104" t="inlineStr">
        <is>
          <t>TC-294</t>
        </is>
      </c>
      <c r="C104" t="inlineStr">
        <is>
          <t>[API] Test fail: TC-294-API: RED P0: POST /commit v?i malformed UUID trong ct
Error: Error: Login officer1@pc02.local: 429 after 4 retries
  17 |     return { token: d.accessToken || b.accessToken, userId: d.user?.id || b.user?.id || d.sub || '' };
  18 |   }
&gt; 19 |   throw new Error</t>
        </is>
      </c>
      <c r="D104" t="inlineStr">
        <is>
          <t>Medium</t>
        </is>
      </c>
      <c r="E104" t="inlineStr">
        <is>
          <t>Reopened</t>
        </is>
      </c>
      <c r="F104" t="inlineStr">
        <is>
          <t>25/05/2026</t>
        </is>
      </c>
      <c r="H104" t="inlineStr">
        <is>
          <t>Fail</t>
        </is>
      </c>
    </row>
    <row r="105">
      <c r="A105" t="inlineStr">
        <is>
          <t>BUG-102</t>
        </is>
      </c>
      <c r="B105" t="inlineStr">
        <is>
          <t>TC-300</t>
        </is>
      </c>
      <c r="C105" t="inlineStr">
        <is>
          <t>[API] Test fail: TC-300-API: RED P0: 100 concurrent POST /commit ? 100 s? uni
Error: Error: expect(received).toContain(expected) // indexOf
Expected value: 403
Received array: [200, 201]
  1279 |           d</t>
        </is>
      </c>
      <c r="D105" t="inlineStr">
        <is>
          <t>Medium</t>
        </is>
      </c>
      <c r="E105" t="inlineStr">
        <is>
          <t>Reopened</t>
        </is>
      </c>
      <c r="F105" t="inlineStr">
        <is>
          <t>25/05/2026</t>
        </is>
      </c>
      <c r="H105" t="inlineStr">
        <is>
          <t>Fail</t>
        </is>
      </c>
    </row>
    <row r="106">
      <c r="A106" t="inlineStr">
        <is>
          <t>BUG-103</t>
        </is>
      </c>
      <c r="B106" t="inlineStr">
        <is>
          <t>TC-301</t>
        </is>
      </c>
      <c r="C106" t="inlineStr">
        <is>
          <t>[API] Test fail: TC-301-API: RED P0: POST /commit sau admin thay ??i minValue
Error: Error: Login officer1@pc02.local: 429 after 4 retries
  17 |     return { token: d.accessToken || b.accessToken, userId: d.user?.id || b.user?.id || d.sub || '' };
  18 |   }
&gt; 19 |   throw new Error</t>
        </is>
      </c>
      <c r="D106" t="inlineStr">
        <is>
          <t>Medium</t>
        </is>
      </c>
      <c r="E106" t="inlineStr">
        <is>
          <t>Verified</t>
        </is>
      </c>
      <c r="F106" t="inlineStr">
        <is>
          <t>25/05/2026</t>
        </is>
      </c>
      <c r="G106" t="inlineStr">
        <is>
          <t>26/05/2026</t>
        </is>
      </c>
      <c r="H106" t="inlineStr">
        <is>
          <t>Pass</t>
        </is>
      </c>
    </row>
    <row r="107">
      <c r="A107" t="inlineStr">
        <is>
          <t>BUG-104</t>
        </is>
      </c>
      <c r="B107" t="inlineStr">
        <is>
          <t>TC-303</t>
        </is>
      </c>
      <c r="C107" t="inlineStr">
        <is>
          <t>[API] Test fail: TC-303-API: RED P0: Token v?i role kh?ng h?p l? (tampered 'S
Error: Error: expect(received).toBe(expected) // Object.is equality
Expected: 401
Received: 201
  1310 |           data: { name:</t>
        </is>
      </c>
      <c r="D107" t="inlineStr">
        <is>
          <t>Medium</t>
        </is>
      </c>
      <c r="E107" t="inlineStr">
        <is>
          <t>Reopened</t>
        </is>
      </c>
      <c r="F107" t="inlineStr">
        <is>
          <t>25/05/2026</t>
        </is>
      </c>
      <c r="H107" t="inlineStr">
        <is>
          <t>Fail</t>
        </is>
      </c>
    </row>
    <row r="108">
      <c r="A108" t="inlineStr">
        <is>
          <t>BUG-105</t>
        </is>
      </c>
      <c r="B108" t="inlineStr">
        <is>
          <t>TC-304</t>
        </is>
      </c>
      <c r="C108" t="inlineStr">
        <is>
          <t>[API] Test fail: TC-304-API: RED P0: Commit ??ng th?i v?i DELETE template ? t
Error: Error: expect(received).toBe(expected) // Object.is equality
Expected: 404
Received: 201
  1321 |           data: { docume</t>
        </is>
      </c>
      <c r="D108" t="inlineStr">
        <is>
          <t>Medium</t>
        </is>
      </c>
      <c r="E108" t="inlineStr">
        <is>
          <t>Reopened</t>
        </is>
      </c>
      <c r="F108" t="inlineStr">
        <is>
          <t>25/05/2026</t>
        </is>
      </c>
      <c r="H108" t="inlineStr">
        <is>
          <t>Fail</t>
        </is>
      </c>
    </row>
    <row r="109">
      <c r="A109" t="inlineStr">
        <is>
          <t>BUG-106</t>
        </is>
      </c>
      <c r="B109" t="inlineStr">
        <is>
          <t>TC-305</t>
        </is>
      </c>
      <c r="C109" t="inlineStr">
        <is>
          <t>[API] Test fail: TC-305-API: RED P0: POST /templates maxValue = 2147483647 (I
Error: Error: expect(received).toContain(expected) // indexOf
Expected value: 400
Received array: [200, 201]
  1332 |           d</t>
        </is>
      </c>
      <c r="D109" t="inlineStr">
        <is>
          <t>Medium</t>
        </is>
      </c>
      <c r="E109" t="inlineStr">
        <is>
          <t>Reopened</t>
        </is>
      </c>
      <c r="F109" t="inlineStr">
        <is>
          <t>25/05/2026</t>
        </is>
      </c>
      <c r="H109" t="inlineStr">
        <is>
          <t>Fail</t>
        </is>
      </c>
    </row>
    <row r="110">
      <c r="A110" t="inlineStr">
        <is>
          <t>BUG-107</t>
        </is>
      </c>
      <c r="B110" t="inlineStr">
        <is>
          <t>TC-307</t>
        </is>
      </c>
      <c r="C110" t="inlineStr">
        <is>
          <t>[API] Test fail: TC-307-API: RED P0: Commit v?i documentId kh?ng ph?i UUID ? 
Error: Error: expect(received).toBe(expected) // Object.is equality
Expected: 400
Received: 403
  1351 |           data: { docume</t>
        </is>
      </c>
      <c r="D110" t="inlineStr">
        <is>
          <t>Medium</t>
        </is>
      </c>
      <c r="E110" t="inlineStr">
        <is>
          <t>Reopened</t>
        </is>
      </c>
      <c r="F110" t="inlineStr">
        <is>
          <t>25/05/2026</t>
        </is>
      </c>
      <c r="H110" t="inlineStr">
        <is>
          <t>Fail</t>
        </is>
      </c>
    </row>
    <row r="111">
      <c r="A111" t="inlineStr">
        <is>
          <t>BUG-108</t>
        </is>
      </c>
      <c r="B111" t="inlineStr">
        <is>
          <t>TC-308</t>
        </is>
      </c>
      <c r="C111" t="inlineStr">
        <is>
          <t>[API] Test fail: TC-308-API: RED P0: POST /reset-counter v?i templateId kh?ng
Error: Error: expect(received).toBe(expected) // Object.is equality
Expected: 404
Received: 201
  1361 |           headers: auth(</t>
        </is>
      </c>
      <c r="D111" t="inlineStr">
        <is>
          <t>Medium</t>
        </is>
      </c>
      <c r="E111" t="inlineStr">
        <is>
          <t>Reopened</t>
        </is>
      </c>
      <c r="F111" t="inlineStr">
        <is>
          <t>25/05/2026</t>
        </is>
      </c>
      <c r="H111" t="inlineStr">
        <is>
          <t>Fail</t>
        </is>
      </c>
    </row>
    <row r="112">
      <c r="A112" t="inlineStr">
        <is>
          <t>BUG-109</t>
        </is>
      </c>
      <c r="B112" t="inlineStr">
        <is>
          <t>TC-309</t>
        </is>
      </c>
      <c r="C112" t="inlineStr">
        <is>
          <t>[API] Test fail: TC-309-API: RED P0: Commit khi Template kh?ng c? COUNTER seg
Error: Error: expect(received).toContain(expected) // indexOf
Expected value: 403
Received array: [200, 201]
  1372 |           d</t>
        </is>
      </c>
      <c r="D112" t="inlineStr">
        <is>
          <t>Medium</t>
        </is>
      </c>
      <c r="E112" t="inlineStr">
        <is>
          <t>Reopened</t>
        </is>
      </c>
      <c r="F112" t="inlineStr">
        <is>
          <t>25/05/2026</t>
        </is>
      </c>
      <c r="H112" t="inlineStr">
        <is>
          <t>Fail</t>
        </is>
      </c>
    </row>
    <row r="113">
      <c r="A113" t="inlineStr">
        <is>
          <t>BUG-110</t>
        </is>
      </c>
      <c r="B113" t="inlineStr">
        <is>
          <t>TC-312</t>
        </is>
      </c>
      <c r="C113" t="inlineStr">
        <is>
          <t>[API] Test fail: TC-312-API: SECURITY P0: SQL injection trong pagination para
Error: Error: expect(received).toBe(expected) // Object.is equality
Expected: 400
Received: 200
  1400 |           data: { docume</t>
        </is>
      </c>
      <c r="D113" t="inlineStr">
        <is>
          <t>Medium</t>
        </is>
      </c>
      <c r="E113" t="inlineStr">
        <is>
          <t>Reopened</t>
        </is>
      </c>
      <c r="F113" t="inlineStr">
        <is>
          <t>25/05/2026</t>
        </is>
      </c>
      <c r="H113" t="inlineStr">
        <is>
          <t>Fail</t>
        </is>
      </c>
    </row>
    <row r="114">
      <c r="A114" t="inlineStr">
        <is>
          <t>BUG-111</t>
        </is>
      </c>
      <c r="B114" t="inlineStr">
        <is>
          <t>TC-313</t>
        </is>
      </c>
      <c r="C114" t="inlineStr">
        <is>
          <t>[API] Test fail: TC-313-API: SECURITY P0: JWT algorithm confusion ? token v?i
Error: Error: Login admin@pc02.local: 429 after 4 retries
  17 |     return { token: d.accessToken || b.accessToken, userId: d.user?.id || b.user?.id || d.sub || '' };
  18 |   }
&gt; 19 |   throw new Error(`L</t>
        </is>
      </c>
      <c r="D114" t="inlineStr">
        <is>
          <t>Medium</t>
        </is>
      </c>
      <c r="E114" t="inlineStr">
        <is>
          <t>Reopened</t>
        </is>
      </c>
      <c r="F114" t="inlineStr">
        <is>
          <t>25/05/2026</t>
        </is>
      </c>
      <c r="H114" t="inlineStr">
        <is>
          <t>Fail</t>
        </is>
      </c>
    </row>
    <row r="115">
      <c r="A115" t="inlineStr">
        <is>
          <t>BUG-112</t>
        </is>
      </c>
      <c r="B115" t="inlineStr">
        <is>
          <t>TC-314</t>
        </is>
      </c>
      <c r="C115" t="inlineStr">
        <is>
          <t>[API] Test fail: TC-314-API: SECURITY P0: Mass DELETE ? officer g?i DELETE /t
Error: Error: Login admin@pc02.local: 429 after 4 retries
  17 |     return { token: d.accessToken || b.accessToken, userId: d.user?.id || b.user?.id || d.sub || '' };
  18 |   }
&gt; 19 |   throw new Error(`L</t>
        </is>
      </c>
      <c r="D115" t="inlineStr">
        <is>
          <t>Medium</t>
        </is>
      </c>
      <c r="E115" t="inlineStr">
        <is>
          <t>Reopened</t>
        </is>
      </c>
      <c r="F115" t="inlineStr">
        <is>
          <t>25/05/2026</t>
        </is>
      </c>
      <c r="H115" t="inlineStr">
        <is>
          <t>Fail</t>
        </is>
      </c>
    </row>
    <row r="116">
      <c r="A116" t="inlineStr">
        <is>
          <t>BUG-113</t>
        </is>
      </c>
      <c r="B116" t="inlineStr">
        <is>
          <t>TC-316</t>
        </is>
      </c>
      <c r="C116" t="inlineStr">
        <is>
          <t>[API] Test fail: TC-316-API: SECURITY P0: Replay old commit request ? counter
Error: Error: expect(received).toContain(expected) // indexOf
Expected value: 403
Received array: [200, 201]
  1444 |           d</t>
        </is>
      </c>
      <c r="D116" t="inlineStr">
        <is>
          <t>Medium</t>
        </is>
      </c>
      <c r="E116" t="inlineStr">
        <is>
          <t>Reopened</t>
        </is>
      </c>
      <c r="F116" t="inlineStr">
        <is>
          <t>25/05/2026</t>
        </is>
      </c>
      <c r="H116" t="inlineStr">
        <is>
          <t>Fail</t>
        </is>
      </c>
    </row>
    <row r="117">
      <c r="A117" t="inlineStr">
        <is>
          <t>BUG-114</t>
        </is>
      </c>
      <c r="B117" t="inlineStr">
        <is>
          <t>TC-318</t>
        </is>
      </c>
      <c r="C117" t="inlineStr">
        <is>
          <t>[API] Test fail: TC-318-API: SECURITY P0: Admin x?a account officer ?ang c? a
Error: Error: expect(received).toBe(expected) // Object.is equality
Expected: 401
Received: 404
  1464 |           data: { docume</t>
        </is>
      </c>
      <c r="D117" t="inlineStr">
        <is>
          <t>Medium</t>
        </is>
      </c>
      <c r="E117" t="inlineStr">
        <is>
          <t>Reopened</t>
        </is>
      </c>
      <c r="F117" t="inlineStr">
        <is>
          <t>25/05/2026</t>
        </is>
      </c>
      <c r="H117" t="inlineStr">
        <is>
          <t>Fail</t>
        </is>
      </c>
    </row>
    <row r="118">
      <c r="A118" t="inlineStr">
        <is>
          <t>BUG-115</t>
        </is>
      </c>
      <c r="B118" t="inlineStr">
        <is>
          <t>TC-036</t>
        </is>
      </c>
      <c r="C118" t="inlineStr">
        <is>
          <t>[API] Test fail: TC-036-API: POST /incidents vẫn tạo được, code format VV-YYY
Error: Error: expect(received).toContain(expected) // indexOf
Expected value: 500
Received array: [200, 201]
  569 |       data:</t>
        </is>
      </c>
      <c r="D118" t="inlineStr">
        <is>
          <t>Medium</t>
        </is>
      </c>
      <c r="E118" t="inlineStr">
        <is>
          <t>Reopened</t>
        </is>
      </c>
      <c r="F118" t="inlineStr">
        <is>
          <t>25/05/2026</t>
        </is>
      </c>
      <c r="H118" t="inlineStr">
        <is>
          <t>Fail</t>
        </is>
      </c>
    </row>
    <row r="119">
      <c r="A119" t="inlineStr">
        <is>
          <t>BUG-116</t>
        </is>
      </c>
      <c r="B119" t="inlineStr">
        <is>
          <t>TC-108</t>
        </is>
      </c>
      <c r="C119" t="inlineStr">
        <is>
          <t>[E2E] Test fail: TC-DN-E2E-108: A11Y — nút Nhập tay focusable bằng keyboard
Error: TimeoutError: page.waitForURL: Timeout 10000ms exceeded.
=========================== logs ===========================
waiting for navigation until "load"
==============================================</t>
        </is>
      </c>
      <c r="D119" t="inlineStr">
        <is>
          <t>Medium</t>
        </is>
      </c>
      <c r="E119" t="inlineStr">
        <is>
          <t>Open</t>
        </is>
      </c>
      <c r="F119" t="inlineStr">
        <is>
          <t>25/05/2026</t>
        </is>
      </c>
    </row>
    <row r="120">
      <c r="A120" t="inlineStr">
        <is>
          <t>BUG-117</t>
        </is>
      </c>
      <c r="B120" t="inlineStr">
        <is>
          <t>TC-109</t>
        </is>
      </c>
      <c r="C120" t="inlineStr">
        <is>
          <t>[E2E] Test fail: TC-DN-E2E-109: A11Y — modal TemplateFormModal trap focus khi
Error: Error: expect(received).toBe(expected) // Object.is equality
Expected: false
Received: true
  87 |     await page.waitForT</t>
        </is>
      </c>
      <c r="D120" t="inlineStr">
        <is>
          <t>Medium</t>
        </is>
      </c>
      <c r="E120" t="inlineStr">
        <is>
          <t>Open</t>
        </is>
      </c>
      <c r="F120" t="inlineStr">
        <is>
          <t>25/05/2026</t>
        </is>
      </c>
    </row>
    <row r="121">
      <c r="A121" t="inlineStr">
        <is>
          <t>BUG-118</t>
        </is>
      </c>
      <c r="B121" t="inlineStr">
        <is>
          <t>TC-110</t>
        </is>
      </c>
      <c r="C121" t="inlineStr">
        <is>
          <t>[E2E] Test fail: TC-DN-E2E-110: A11Y — Escape key đóng modal TemplateFormModa
Error: TimeoutError: page.waitForURL: Timeout 10000ms exceeded.
=========================== logs ===========================
waiting for navigation until "load"
==============================================</t>
        </is>
      </c>
      <c r="D121" t="inlineStr">
        <is>
          <t>Medium</t>
        </is>
      </c>
      <c r="E121" t="inlineStr">
        <is>
          <t>Open</t>
        </is>
      </c>
      <c r="F121" t="inlineStr">
        <is>
          <t>25/05/2026</t>
        </is>
      </c>
    </row>
    <row r="122">
      <c r="A122" t="inlineStr">
        <is>
          <t>BUG-119</t>
        </is>
      </c>
      <c r="B122" t="inlineStr">
        <is>
          <t>TC-111</t>
        </is>
      </c>
      <c r="C122" t="inlineStr">
        <is>
          <t>[E2E] Test fail: TC-DN-E2E-111: A11Y — badge inputMode có contrast đủ (không 
Error: TimeoutError: page.waitForURL: Timeout 10000ms exceeded.
=========================== logs ===========================
waiting for navigation until "load"
==============================================</t>
        </is>
      </c>
      <c r="D122" t="inlineStr">
        <is>
          <t>Medium</t>
        </is>
      </c>
      <c r="E122" t="inlineStr">
        <is>
          <t>Open</t>
        </is>
      </c>
      <c r="F122" t="inlineStr">
        <is>
          <t>25/05/2026</t>
        </is>
      </c>
    </row>
    <row r="123">
      <c r="A123" t="inlineStr">
        <is>
          <t>BUG-120</t>
        </is>
      </c>
      <c r="B123" t="inlineStr">
        <is>
          <t>TC-112</t>
        </is>
      </c>
      <c r="C123" t="inlineStr">
        <is>
          <t>[E2E] Test fail: TC-DN-E2E-112: A11Y — Settings page table có role markup
Error: TimeoutError: page.waitForURL: Timeout 10000ms exceeded.
=========================== logs ===========================
waiting for navigation until "load"
==============================================</t>
        </is>
      </c>
      <c r="D123" t="inlineStr">
        <is>
          <t>Medium</t>
        </is>
      </c>
      <c r="E123" t="inlineStr">
        <is>
          <t>Open</t>
        </is>
      </c>
      <c r="F123" t="inlineStr">
        <is>
          <t>25/05/2026</t>
        </is>
      </c>
    </row>
    <row r="124">
      <c r="A124" t="inlineStr">
        <is>
          <t>BUG-121</t>
        </is>
      </c>
      <c r="B124" t="inlineStr">
        <is>
          <t>TC-117</t>
        </is>
      </c>
      <c r="C124" t="inlineStr">
        <is>
          <t>[E2E] Test fail: TC-DN-E2E-117: COMPAT — mobile 375px viewport
Error: Error: expect(locator).toBeVisible() failed
Locator:  locator('h1, h2').first()
Expected: visible
Received: hidden
Timeout:  8000ms
Call log:
  - Ex</t>
        </is>
      </c>
      <c r="D124" t="inlineStr">
        <is>
          <t>Medium</t>
        </is>
      </c>
      <c r="E124" t="inlineStr">
        <is>
          <t>Open</t>
        </is>
      </c>
      <c r="F124" t="inlineStr">
        <is>
          <t>25/05/2026</t>
        </is>
      </c>
    </row>
    <row r="125">
      <c r="A125" t="inlineStr">
        <is>
          <t>BUG-122</t>
        </is>
      </c>
      <c r="B125" t="inlineStr">
        <is>
          <t>TC-118</t>
        </is>
      </c>
      <c r="C125" t="inlineStr">
        <is>
          <t>[E2E] Test fail: TC-DN-E2E-118: COMPAT — tablet 768px viewport
Error: Error: expect(locator).toBeVisible() failed
Locator:  locator('h1, h2').first()
Expected: visible
Received: hidden
Timeout:  8000ms
Call log:
  - Ex</t>
        </is>
      </c>
      <c r="D125" t="inlineStr">
        <is>
          <t>Medium</t>
        </is>
      </c>
      <c r="E125" t="inlineStr">
        <is>
          <t>Open</t>
        </is>
      </c>
      <c r="F125" t="inlineStr">
        <is>
          <t>25/05/2026</t>
        </is>
      </c>
    </row>
    <row r="126">
      <c r="A126" t="inlineStr">
        <is>
          <t>BUG-123</t>
        </is>
      </c>
      <c r="B126" t="inlineStr">
        <is>
          <t>TC-119</t>
        </is>
      </c>
      <c r="C126" t="inlineStr">
        <is>
          <t>[E2E] Test fail: TC-DN-E2E-119: COMPAT — 200% text zoom
Error: TimeoutError: page.waitForURL: Timeout 10000ms exceeded.
=========================== logs ===========================
waiting for navigation until "load"
==============================================</t>
        </is>
      </c>
      <c r="D126" t="inlineStr">
        <is>
          <t>Medium</t>
        </is>
      </c>
      <c r="E126" t="inlineStr">
        <is>
          <t>Reopened</t>
        </is>
      </c>
      <c r="F126" t="inlineStr">
        <is>
          <t>25/05/2026</t>
        </is>
      </c>
      <c r="H126" t="inlineStr">
        <is>
          <t>Fail</t>
        </is>
      </c>
    </row>
  </sheetData>
  <autoFilter ref="A3:I53"/>
  <mergeCells count="2">
    <mergeCell ref="A1:I1"/>
    <mergeCell ref="A2:I2"/>
  </mergeCells>
  <conditionalFormatting sqref="E4:E54">
    <cfRule type="cellIs" priority="1" operator="equal" dxfId="3">
      <formula>"Open"</formula>
    </cfRule>
    <cfRule type="cellIs" priority="2" operator="equal" dxfId="4">
      <formula>"Fixing"</formula>
    </cfRule>
    <cfRule type="cellIs" priority="3" operator="equal" dxfId="7">
      <formula>"Fixed"</formula>
    </cfRule>
    <cfRule type="cellIs" priority="4" operator="equal" dxfId="2">
      <formula>"Verified"</formula>
    </cfRule>
    <cfRule type="cellIs" priority="5" operator="equal" dxfId="5">
      <formula>"Closed"</formula>
    </cfRule>
    <cfRule type="cellIs" priority="6" operator="equal" dxfId="8">
      <formula>"Reopened"</formula>
    </cfRule>
  </conditionalFormatting>
  <conditionalFormatting sqref="D4:D54">
    <cfRule type="cellIs" priority="7" operator="equal" dxfId="0">
      <formula>"Critical"</formula>
    </cfRule>
    <cfRule type="cellIs" priority="8" operator="equal" dxfId="9">
      <formula>"High"</formula>
    </cfRule>
    <cfRule type="cellIs" priority="9" operator="equal" dxfId="10">
      <formula>"Medium"</formula>
    </cfRule>
    <cfRule type="cellIs" priority="10" operator="equal" dxfId="11">
      <formula>"Low"</formula>
    </cfRule>
  </conditionalFormatting>
  <dataValidations count="3">
    <dataValidation sqref="D4:D54" showDropDown="0" showInputMessage="0" showErrorMessage="0" allowBlank="1" type="list">
      <formula1>"Critical,High,Medium,Low"</formula1>
    </dataValidation>
    <dataValidation sqref="E4:E54" showDropDown="0" showInputMessage="0" showErrorMessage="0" allowBlank="1" prompt="Open → Fixing → Fixed → Verified → Closed" type="list">
      <formula1>"Open,Fixing,Fixed,Verified,Closed,Reopened,Cannot Reproduce,Wont Fix"</formula1>
    </dataValidation>
    <dataValidation sqref="H4:H54" showDropDown="0" showInputMessage="0" showErrorMessage="0" allowBlank="1" type="list">
      <formula1>"Pass,Fail,Pending"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6" customWidth="1" min="4" max="4"/>
    <col width="22" customWidth="1" min="5" max="5"/>
    <col width="18" customWidth="1" min="6" max="6"/>
    <col width="18" customWidth="1" min="7" max="7"/>
    <col width="14" customWidth="1" min="8" max="8"/>
    <col width="18" customWidth="1" min="9" max="9"/>
    <col width="50" customWidth="1" min="10" max="10"/>
    <col width="12" customWidth="1" min="11" max="11"/>
    <col width="16" customWidth="1" min="12" max="12"/>
    <col width="30" customWidth="1" min="13" max="13"/>
  </cols>
  <sheetData>
    <row r="1" ht="30" customHeight="1">
      <c r="A1" s="64" t="inlineStr">
        <is>
          <t>⚠️ REGRESSION LOG — Theo dõi lỗi level down (TC từng Đạt nay Không đạt)</t>
        </is>
      </c>
    </row>
    <row r="2" ht="35" customHeight="1">
      <c r="A2" s="61" t="inlineStr">
        <is>
          <t>Auto-generated bởi runner khi phát hiện TC từng Đạt giờ Không đạt sau khi fix bug khác. Severity tự động ESCALATE +1 level (High→Critical, Medium→High...). BẤT KỲ regression nào còn open đều BLOCK release.</t>
        </is>
      </c>
    </row>
    <row r="3" ht="35" customHeight="1">
      <c r="A3" s="65" t="inlineStr">
        <is>
          <t>Reg ID</t>
        </is>
      </c>
      <c r="B3" s="65" t="inlineStr">
        <is>
          <t>TC ID</t>
        </is>
      </c>
      <c r="C3" s="65" t="inlineStr">
        <is>
          <t>Module</t>
        </is>
      </c>
      <c r="D3" s="65" t="inlineStr">
        <is>
          <t>Lần phát hiện</t>
        </is>
      </c>
      <c r="E3" s="65" t="inlineStr">
        <is>
          <t>Bug gốc gây regression</t>
        </is>
      </c>
      <c r="F3" s="65" t="inlineStr">
        <is>
          <t>Status trước retest</t>
        </is>
      </c>
      <c r="G3" s="65" t="inlineStr">
        <is>
          <t>Status sau retest</t>
        </is>
      </c>
      <c r="H3" s="65" t="inlineStr">
        <is>
          <t>Severity gốc</t>
        </is>
      </c>
      <c r="I3" s="65" t="inlineStr">
        <is>
          <t>Severity regression</t>
        </is>
      </c>
      <c r="J3" s="65" t="inlineStr">
        <is>
          <t>Mô tả regression</t>
        </is>
      </c>
      <c r="K3" s="65" t="inlineStr">
        <is>
          <t>Đã fix?</t>
        </is>
      </c>
      <c r="L3" s="65" t="inlineStr">
        <is>
          <t>Ngày verify lại</t>
        </is>
      </c>
      <c r="M3" s="65" t="inlineStr">
        <is>
          <t>Ghi chú</t>
        </is>
      </c>
    </row>
    <row r="4" ht="35" customHeight="1">
      <c r="A4" s="41" t="inlineStr"/>
      <c r="B4" s="41" t="inlineStr"/>
      <c r="C4" s="44" t="inlineStr"/>
      <c r="D4" s="41" t="inlineStr"/>
      <c r="E4" s="44" t="inlineStr"/>
      <c r="F4" s="41" t="inlineStr"/>
      <c r="G4" s="41" t="inlineStr"/>
      <c r="H4" s="41" t="inlineStr"/>
      <c r="I4" s="41" t="inlineStr"/>
      <c r="J4" s="44" t="inlineStr"/>
      <c r="K4" s="41" t="inlineStr"/>
      <c r="L4" s="41" t="inlineStr"/>
      <c r="M4" s="44" t="inlineStr"/>
    </row>
    <row r="5" ht="35" customHeight="1">
      <c r="A5" s="41" t="inlineStr"/>
      <c r="B5" s="41" t="inlineStr"/>
      <c r="C5" s="44" t="inlineStr"/>
      <c r="D5" s="41" t="inlineStr"/>
      <c r="E5" s="44" t="inlineStr"/>
      <c r="F5" s="41" t="inlineStr"/>
      <c r="G5" s="41" t="inlineStr"/>
      <c r="H5" s="41" t="inlineStr"/>
      <c r="I5" s="41" t="inlineStr"/>
      <c r="J5" s="44" t="inlineStr"/>
      <c r="K5" s="41" t="inlineStr"/>
      <c r="L5" s="41" t="inlineStr"/>
      <c r="M5" s="44" t="inlineStr"/>
    </row>
    <row r="6" ht="35" customHeight="1">
      <c r="A6" s="41" t="inlineStr"/>
      <c r="B6" s="41" t="inlineStr"/>
      <c r="C6" s="44" t="inlineStr"/>
      <c r="D6" s="41" t="inlineStr"/>
      <c r="E6" s="44" t="inlineStr"/>
      <c r="F6" s="41" t="inlineStr"/>
      <c r="G6" s="41" t="inlineStr"/>
      <c r="H6" s="41" t="inlineStr"/>
      <c r="I6" s="41" t="inlineStr"/>
      <c r="J6" s="44" t="inlineStr"/>
      <c r="K6" s="41" t="inlineStr"/>
      <c r="L6" s="41" t="inlineStr"/>
      <c r="M6" s="44" t="inlineStr"/>
    </row>
    <row r="7" ht="35" customHeight="1">
      <c r="A7" s="41" t="inlineStr"/>
      <c r="B7" s="41" t="inlineStr"/>
      <c r="C7" s="44" t="inlineStr"/>
      <c r="D7" s="41" t="inlineStr"/>
      <c r="E7" s="44" t="inlineStr"/>
      <c r="F7" s="41" t="inlineStr"/>
      <c r="G7" s="41" t="inlineStr"/>
      <c r="H7" s="41" t="inlineStr"/>
      <c r="I7" s="41" t="inlineStr"/>
      <c r="J7" s="44" t="inlineStr"/>
      <c r="K7" s="41" t="inlineStr"/>
      <c r="L7" s="41" t="inlineStr"/>
      <c r="M7" s="44" t="inlineStr"/>
    </row>
    <row r="8" ht="35" customHeight="1">
      <c r="A8" s="41" t="inlineStr"/>
      <c r="B8" s="41" t="inlineStr"/>
      <c r="C8" s="44" t="inlineStr"/>
      <c r="D8" s="41" t="inlineStr"/>
      <c r="E8" s="44" t="inlineStr"/>
      <c r="F8" s="41" t="inlineStr"/>
      <c r="G8" s="41" t="inlineStr"/>
      <c r="H8" s="41" t="inlineStr"/>
      <c r="I8" s="41" t="inlineStr"/>
      <c r="J8" s="44" t="inlineStr"/>
      <c r="K8" s="41" t="inlineStr"/>
      <c r="L8" s="41" t="inlineStr"/>
      <c r="M8" s="44" t="inlineStr"/>
    </row>
    <row r="9" ht="35" customHeight="1">
      <c r="A9" s="41" t="inlineStr"/>
      <c r="B9" s="41" t="inlineStr"/>
      <c r="C9" s="44" t="inlineStr"/>
      <c r="D9" s="41" t="inlineStr"/>
      <c r="E9" s="44" t="inlineStr"/>
      <c r="F9" s="41" t="inlineStr"/>
      <c r="G9" s="41" t="inlineStr"/>
      <c r="H9" s="41" t="inlineStr"/>
      <c r="I9" s="41" t="inlineStr"/>
      <c r="J9" s="44" t="inlineStr"/>
      <c r="K9" s="41" t="inlineStr"/>
      <c r="L9" s="41" t="inlineStr"/>
      <c r="M9" s="44" t="inlineStr"/>
    </row>
    <row r="10" ht="35" customHeight="1">
      <c r="A10" s="41" t="inlineStr"/>
      <c r="B10" s="41" t="inlineStr"/>
      <c r="C10" s="44" t="inlineStr"/>
      <c r="D10" s="41" t="inlineStr"/>
      <c r="E10" s="44" t="inlineStr"/>
      <c r="F10" s="41" t="inlineStr"/>
      <c r="G10" s="41" t="inlineStr"/>
      <c r="H10" s="41" t="inlineStr"/>
      <c r="I10" s="41" t="inlineStr"/>
      <c r="J10" s="44" t="inlineStr"/>
      <c r="K10" s="41" t="inlineStr"/>
      <c r="L10" s="41" t="inlineStr"/>
      <c r="M10" s="44" t="inlineStr"/>
    </row>
    <row r="11" ht="35" customHeight="1">
      <c r="A11" s="41" t="inlineStr"/>
      <c r="B11" s="41" t="inlineStr"/>
      <c r="C11" s="44" t="inlineStr"/>
      <c r="D11" s="41" t="inlineStr"/>
      <c r="E11" s="44" t="inlineStr"/>
      <c r="F11" s="41" t="inlineStr"/>
      <c r="G11" s="41" t="inlineStr"/>
      <c r="H11" s="41" t="inlineStr"/>
      <c r="I11" s="41" t="inlineStr"/>
      <c r="J11" s="44" t="inlineStr"/>
      <c r="K11" s="41" t="inlineStr"/>
      <c r="L11" s="41" t="inlineStr"/>
      <c r="M11" s="44" t="inlineStr"/>
    </row>
    <row r="12" ht="35" customHeight="1">
      <c r="A12" s="41" t="inlineStr"/>
      <c r="B12" s="41" t="inlineStr"/>
      <c r="C12" s="44" t="inlineStr"/>
      <c r="D12" s="41" t="inlineStr"/>
      <c r="E12" s="44" t="inlineStr"/>
      <c r="F12" s="41" t="inlineStr"/>
      <c r="G12" s="41" t="inlineStr"/>
      <c r="H12" s="41" t="inlineStr"/>
      <c r="I12" s="41" t="inlineStr"/>
      <c r="J12" s="44" t="inlineStr"/>
      <c r="K12" s="41" t="inlineStr"/>
      <c r="L12" s="41" t="inlineStr"/>
      <c r="M12" s="44" t="inlineStr"/>
    </row>
    <row r="13" ht="35" customHeight="1">
      <c r="A13" s="41" t="inlineStr"/>
      <c r="B13" s="41" t="inlineStr"/>
      <c r="C13" s="44" t="inlineStr"/>
      <c r="D13" s="41" t="inlineStr"/>
      <c r="E13" s="44" t="inlineStr"/>
      <c r="F13" s="41" t="inlineStr"/>
      <c r="G13" s="41" t="inlineStr"/>
      <c r="H13" s="41" t="inlineStr"/>
      <c r="I13" s="41" t="inlineStr"/>
      <c r="J13" s="44" t="inlineStr"/>
      <c r="K13" s="41" t="inlineStr"/>
      <c r="L13" s="41" t="inlineStr"/>
      <c r="M13" s="44" t="inlineStr"/>
    </row>
    <row r="14" ht="35" customHeight="1">
      <c r="A14" s="41" t="inlineStr"/>
      <c r="B14" s="41" t="inlineStr"/>
      <c r="C14" s="44" t="inlineStr"/>
      <c r="D14" s="41" t="inlineStr"/>
      <c r="E14" s="44" t="inlineStr"/>
      <c r="F14" s="41" t="inlineStr"/>
      <c r="G14" s="41" t="inlineStr"/>
      <c r="H14" s="41" t="inlineStr"/>
      <c r="I14" s="41" t="inlineStr"/>
      <c r="J14" s="44" t="inlineStr"/>
      <c r="K14" s="41" t="inlineStr"/>
      <c r="L14" s="41" t="inlineStr"/>
      <c r="M14" s="44" t="inlineStr"/>
    </row>
    <row r="15" ht="35" customHeight="1">
      <c r="A15" s="41" t="inlineStr"/>
      <c r="B15" s="41" t="inlineStr"/>
      <c r="C15" s="44" t="inlineStr"/>
      <c r="D15" s="41" t="inlineStr"/>
      <c r="E15" s="44" t="inlineStr"/>
      <c r="F15" s="41" t="inlineStr"/>
      <c r="G15" s="41" t="inlineStr"/>
      <c r="H15" s="41" t="inlineStr"/>
      <c r="I15" s="41" t="inlineStr"/>
      <c r="J15" s="44" t="inlineStr"/>
      <c r="K15" s="41" t="inlineStr"/>
      <c r="L15" s="41" t="inlineStr"/>
      <c r="M15" s="44" t="inlineStr"/>
    </row>
    <row r="16" ht="35" customHeight="1">
      <c r="A16" s="41" t="inlineStr"/>
      <c r="B16" s="41" t="inlineStr"/>
      <c r="C16" s="44" t="inlineStr"/>
      <c r="D16" s="41" t="inlineStr"/>
      <c r="E16" s="44" t="inlineStr"/>
      <c r="F16" s="41" t="inlineStr"/>
      <c r="G16" s="41" t="inlineStr"/>
      <c r="H16" s="41" t="inlineStr"/>
      <c r="I16" s="41" t="inlineStr"/>
      <c r="J16" s="44" t="inlineStr"/>
      <c r="K16" s="41" t="inlineStr"/>
      <c r="L16" s="41" t="inlineStr"/>
      <c r="M16" s="44" t="inlineStr"/>
    </row>
    <row r="17" ht="35" customHeight="1">
      <c r="A17" s="41" t="inlineStr"/>
      <c r="B17" s="41" t="inlineStr"/>
      <c r="C17" s="44" t="inlineStr"/>
      <c r="D17" s="41" t="inlineStr"/>
      <c r="E17" s="44" t="inlineStr"/>
      <c r="F17" s="41" t="inlineStr"/>
      <c r="G17" s="41" t="inlineStr"/>
      <c r="H17" s="41" t="inlineStr"/>
      <c r="I17" s="41" t="inlineStr"/>
      <c r="J17" s="44" t="inlineStr"/>
      <c r="K17" s="41" t="inlineStr"/>
      <c r="L17" s="41" t="inlineStr"/>
      <c r="M17" s="44" t="inlineStr"/>
    </row>
    <row r="18" ht="35" customHeight="1">
      <c r="A18" s="41" t="inlineStr"/>
      <c r="B18" s="41" t="inlineStr"/>
      <c r="C18" s="44" t="inlineStr"/>
      <c r="D18" s="41" t="inlineStr"/>
      <c r="E18" s="44" t="inlineStr"/>
      <c r="F18" s="41" t="inlineStr"/>
      <c r="G18" s="41" t="inlineStr"/>
      <c r="H18" s="41" t="inlineStr"/>
      <c r="I18" s="41" t="inlineStr"/>
      <c r="J18" s="44" t="inlineStr"/>
      <c r="K18" s="41" t="inlineStr"/>
      <c r="L18" s="41" t="inlineStr"/>
      <c r="M18" s="44" t="inlineStr"/>
    </row>
    <row r="19" ht="35" customHeight="1">
      <c r="A19" s="41" t="inlineStr"/>
      <c r="B19" s="41" t="inlineStr"/>
      <c r="C19" s="44" t="inlineStr"/>
      <c r="D19" s="41" t="inlineStr"/>
      <c r="E19" s="44" t="inlineStr"/>
      <c r="F19" s="41" t="inlineStr"/>
      <c r="G19" s="41" t="inlineStr"/>
      <c r="H19" s="41" t="inlineStr"/>
      <c r="I19" s="41" t="inlineStr"/>
      <c r="J19" s="44" t="inlineStr"/>
      <c r="K19" s="41" t="inlineStr"/>
      <c r="L19" s="41" t="inlineStr"/>
      <c r="M19" s="44" t="inlineStr"/>
    </row>
    <row r="20" ht="35" customHeight="1">
      <c r="A20" s="41" t="inlineStr"/>
      <c r="B20" s="41" t="inlineStr"/>
      <c r="C20" s="44" t="inlineStr"/>
      <c r="D20" s="41" t="inlineStr"/>
      <c r="E20" s="44" t="inlineStr"/>
      <c r="F20" s="41" t="inlineStr"/>
      <c r="G20" s="41" t="inlineStr"/>
      <c r="H20" s="41" t="inlineStr"/>
      <c r="I20" s="41" t="inlineStr"/>
      <c r="J20" s="44" t="inlineStr"/>
      <c r="K20" s="41" t="inlineStr"/>
      <c r="L20" s="41" t="inlineStr"/>
      <c r="M20" s="44" t="inlineStr"/>
    </row>
    <row r="21" ht="35" customHeight="1">
      <c r="A21" s="41" t="inlineStr"/>
      <c r="B21" s="41" t="inlineStr"/>
      <c r="C21" s="44" t="inlineStr"/>
      <c r="D21" s="41" t="inlineStr"/>
      <c r="E21" s="44" t="inlineStr"/>
      <c r="F21" s="41" t="inlineStr"/>
      <c r="G21" s="41" t="inlineStr"/>
      <c r="H21" s="41" t="inlineStr"/>
      <c r="I21" s="41" t="inlineStr"/>
      <c r="J21" s="44" t="inlineStr"/>
      <c r="K21" s="41" t="inlineStr"/>
      <c r="L21" s="41" t="inlineStr"/>
      <c r="M21" s="44" t="inlineStr"/>
    </row>
    <row r="22" ht="35" customHeight="1">
      <c r="A22" s="41" t="inlineStr"/>
      <c r="B22" s="41" t="inlineStr"/>
      <c r="C22" s="44" t="inlineStr"/>
      <c r="D22" s="41" t="inlineStr"/>
      <c r="E22" s="44" t="inlineStr"/>
      <c r="F22" s="41" t="inlineStr"/>
      <c r="G22" s="41" t="inlineStr"/>
      <c r="H22" s="41" t="inlineStr"/>
      <c r="I22" s="41" t="inlineStr"/>
      <c r="J22" s="44" t="inlineStr"/>
      <c r="K22" s="41" t="inlineStr"/>
      <c r="L22" s="41" t="inlineStr"/>
      <c r="M22" s="44" t="inlineStr"/>
    </row>
    <row r="23" ht="35" customHeight="1">
      <c r="A23" s="41" t="inlineStr"/>
      <c r="B23" s="41" t="inlineStr"/>
      <c r="C23" s="44" t="inlineStr"/>
      <c r="D23" s="41" t="inlineStr"/>
      <c r="E23" s="44" t="inlineStr"/>
      <c r="F23" s="41" t="inlineStr"/>
      <c r="G23" s="41" t="inlineStr"/>
      <c r="H23" s="41" t="inlineStr"/>
      <c r="I23" s="41" t="inlineStr"/>
      <c r="J23" s="44" t="inlineStr"/>
      <c r="K23" s="41" t="inlineStr"/>
      <c r="L23" s="41" t="inlineStr"/>
      <c r="M23" s="44" t="inlineStr"/>
    </row>
    <row r="24" ht="35" customHeight="1">
      <c r="A24" s="41" t="inlineStr"/>
      <c r="B24" s="41" t="inlineStr"/>
      <c r="C24" s="44" t="inlineStr"/>
      <c r="D24" s="41" t="inlineStr"/>
      <c r="E24" s="44" t="inlineStr"/>
      <c r="F24" s="41" t="inlineStr"/>
      <c r="G24" s="41" t="inlineStr"/>
      <c r="H24" s="41" t="inlineStr"/>
      <c r="I24" s="41" t="inlineStr"/>
      <c r="J24" s="44" t="inlineStr"/>
      <c r="K24" s="41" t="inlineStr"/>
      <c r="L24" s="41" t="inlineStr"/>
      <c r="M24" s="44" t="inlineStr"/>
    </row>
    <row r="25" ht="35" customHeight="1">
      <c r="A25" s="41" t="inlineStr"/>
      <c r="B25" s="41" t="inlineStr"/>
      <c r="C25" s="44" t="inlineStr"/>
      <c r="D25" s="41" t="inlineStr"/>
      <c r="E25" s="44" t="inlineStr"/>
      <c r="F25" s="41" t="inlineStr"/>
      <c r="G25" s="41" t="inlineStr"/>
      <c r="H25" s="41" t="inlineStr"/>
      <c r="I25" s="41" t="inlineStr"/>
      <c r="J25" s="44" t="inlineStr"/>
      <c r="K25" s="41" t="inlineStr"/>
      <c r="L25" s="41" t="inlineStr"/>
      <c r="M25" s="44" t="inlineStr"/>
    </row>
    <row r="26" ht="35" customHeight="1">
      <c r="A26" s="41" t="inlineStr"/>
      <c r="B26" s="41" t="inlineStr"/>
      <c r="C26" s="44" t="inlineStr"/>
      <c r="D26" s="41" t="inlineStr"/>
      <c r="E26" s="44" t="inlineStr"/>
      <c r="F26" s="41" t="inlineStr"/>
      <c r="G26" s="41" t="inlineStr"/>
      <c r="H26" s="41" t="inlineStr"/>
      <c r="I26" s="41" t="inlineStr"/>
      <c r="J26" s="44" t="inlineStr"/>
      <c r="K26" s="41" t="inlineStr"/>
      <c r="L26" s="41" t="inlineStr"/>
      <c r="M26" s="44" t="inlineStr"/>
    </row>
    <row r="27" ht="35" customHeight="1">
      <c r="A27" s="41" t="inlineStr"/>
      <c r="B27" s="41" t="inlineStr"/>
      <c r="C27" s="44" t="inlineStr"/>
      <c r="D27" s="41" t="inlineStr"/>
      <c r="E27" s="44" t="inlineStr"/>
      <c r="F27" s="41" t="inlineStr"/>
      <c r="G27" s="41" t="inlineStr"/>
      <c r="H27" s="41" t="inlineStr"/>
      <c r="I27" s="41" t="inlineStr"/>
      <c r="J27" s="44" t="inlineStr"/>
      <c r="K27" s="41" t="inlineStr"/>
      <c r="L27" s="41" t="inlineStr"/>
      <c r="M27" s="44" t="inlineStr"/>
    </row>
    <row r="28" ht="35" customHeight="1">
      <c r="A28" s="41" t="inlineStr"/>
      <c r="B28" s="41" t="inlineStr"/>
      <c r="C28" s="44" t="inlineStr"/>
      <c r="D28" s="41" t="inlineStr"/>
      <c r="E28" s="44" t="inlineStr"/>
      <c r="F28" s="41" t="inlineStr"/>
      <c r="G28" s="41" t="inlineStr"/>
      <c r="H28" s="41" t="inlineStr"/>
      <c r="I28" s="41" t="inlineStr"/>
      <c r="J28" s="44" t="inlineStr"/>
      <c r="K28" s="41" t="inlineStr"/>
      <c r="L28" s="41" t="inlineStr"/>
      <c r="M28" s="44" t="inlineStr"/>
    </row>
    <row r="29" ht="35" customHeight="1">
      <c r="A29" s="41" t="inlineStr"/>
      <c r="B29" s="41" t="inlineStr"/>
      <c r="C29" s="44" t="inlineStr"/>
      <c r="D29" s="41" t="inlineStr"/>
      <c r="E29" s="44" t="inlineStr"/>
      <c r="F29" s="41" t="inlineStr"/>
      <c r="G29" s="41" t="inlineStr"/>
      <c r="H29" s="41" t="inlineStr"/>
      <c r="I29" s="41" t="inlineStr"/>
      <c r="J29" s="44" t="inlineStr"/>
      <c r="K29" s="41" t="inlineStr"/>
      <c r="L29" s="41" t="inlineStr"/>
      <c r="M29" s="44" t="inlineStr"/>
    </row>
    <row r="30" ht="35" customHeight="1">
      <c r="A30" s="41" t="inlineStr"/>
      <c r="B30" s="41" t="inlineStr"/>
      <c r="C30" s="44" t="inlineStr"/>
      <c r="D30" s="41" t="inlineStr"/>
      <c r="E30" s="44" t="inlineStr"/>
      <c r="F30" s="41" t="inlineStr"/>
      <c r="G30" s="41" t="inlineStr"/>
      <c r="H30" s="41" t="inlineStr"/>
      <c r="I30" s="41" t="inlineStr"/>
      <c r="J30" s="44" t="inlineStr"/>
      <c r="K30" s="41" t="inlineStr"/>
      <c r="L30" s="41" t="inlineStr"/>
      <c r="M30" s="44" t="inlineStr"/>
    </row>
    <row r="31" ht="35" customHeight="1">
      <c r="A31" s="41" t="inlineStr"/>
      <c r="B31" s="41" t="inlineStr"/>
      <c r="C31" s="44" t="inlineStr"/>
      <c r="D31" s="41" t="inlineStr"/>
      <c r="E31" s="44" t="inlineStr"/>
      <c r="F31" s="41" t="inlineStr"/>
      <c r="G31" s="41" t="inlineStr"/>
      <c r="H31" s="41" t="inlineStr"/>
      <c r="I31" s="41" t="inlineStr"/>
      <c r="J31" s="44" t="inlineStr"/>
      <c r="K31" s="41" t="inlineStr"/>
      <c r="L31" s="41" t="inlineStr"/>
      <c r="M31" s="44" t="inlineStr"/>
    </row>
    <row r="32" ht="35" customHeight="1">
      <c r="A32" s="41" t="inlineStr"/>
      <c r="B32" s="41" t="inlineStr"/>
      <c r="C32" s="44" t="inlineStr"/>
      <c r="D32" s="41" t="inlineStr"/>
      <c r="E32" s="44" t="inlineStr"/>
      <c r="F32" s="41" t="inlineStr"/>
      <c r="G32" s="41" t="inlineStr"/>
      <c r="H32" s="41" t="inlineStr"/>
      <c r="I32" s="41" t="inlineStr"/>
      <c r="J32" s="44" t="inlineStr"/>
      <c r="K32" s="41" t="inlineStr"/>
      <c r="L32" s="41" t="inlineStr"/>
      <c r="M32" s="44" t="inlineStr"/>
    </row>
    <row r="33" ht="35" customHeight="1">
      <c r="A33" s="41" t="inlineStr"/>
      <c r="B33" s="41" t="inlineStr"/>
      <c r="C33" s="44" t="inlineStr"/>
      <c r="D33" s="41" t="inlineStr"/>
      <c r="E33" s="44" t="inlineStr"/>
      <c r="F33" s="41" t="inlineStr"/>
      <c r="G33" s="41" t="inlineStr"/>
      <c r="H33" s="41" t="inlineStr"/>
      <c r="I33" s="41" t="inlineStr"/>
      <c r="J33" s="44" t="inlineStr"/>
      <c r="K33" s="41" t="inlineStr"/>
      <c r="L33" s="41" t="inlineStr"/>
      <c r="M33" s="44" t="inlineStr"/>
    </row>
  </sheetData>
  <autoFilter ref="A3:M33"/>
  <mergeCells count="2">
    <mergeCell ref="A2:M2"/>
    <mergeCell ref="A1:M1"/>
  </mergeCells>
  <conditionalFormatting sqref="I4:I34">
    <cfRule type="cellIs" priority="1" operator="equal" dxfId="0">
      <formula>"Critical"</formula>
    </cfRule>
    <cfRule type="cellIs" priority="2" operator="equal" dxfId="9">
      <formula>"High"</formula>
    </cfRule>
    <cfRule type="cellIs" priority="3" operator="equal" dxfId="10">
      <formula>"Medium"</formula>
    </cfRule>
  </conditionalFormatting>
  <conditionalFormatting sqref="K4:K34">
    <cfRule type="cellIs" priority="4" operator="equal" dxfId="3">
      <formula>"No"</formula>
    </cfRule>
    <cfRule type="cellIs" priority="5" operator="equal" dxfId="2">
      <formula>"Yes"</formula>
    </cfRule>
    <cfRule type="cellIs" priority="6" operator="equal" dxfId="4">
      <formula>"Verifying"</formula>
    </cfRule>
  </conditionalFormatting>
  <dataValidations count="3">
    <dataValidation sqref="H4:H34" showDropDown="0" showInputMessage="0" showErrorMessage="0" allowBlank="1" type="list">
      <formula1>"Critical,High,Medium,Low"</formula1>
    </dataValidation>
    <dataValidation sqref="I4:I34" showDropDown="0" showInputMessage="0" showErrorMessage="0" allowBlank="1" type="list">
      <formula1>"Critical,High,Medium,Low"</formula1>
    </dataValidation>
    <dataValidation sqref="K4:K34" showDropDown="0" showInputMessage="0" showErrorMessage="0" allowBlank="1" type="list">
      <formula1>"Yes,No,Verifying"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2026-05-25T05:07:43Z</dcterms:created>
  <dcterms:modified xmlns:dcterms="http://purl.org/dc/terms/" xmlns:xsi="http://www.w3.org/2001/XMLSchema-instance" xsi:type="dcterms:W3CDTF">2026-05-25T19:10:45Z</dcterms:modified>
</cp:coreProperties>
</file>