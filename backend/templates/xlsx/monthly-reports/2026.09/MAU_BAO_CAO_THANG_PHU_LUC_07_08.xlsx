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M VIEC PC02\DATA PC02\CHUYEN DE TAM DINH CHI\4 BAO CAO THANG CHO PC01\MẪU BC\phu luc tam dinh chi moi\Mẫu BC tháng\"/>
    </mc:Choice>
  </mc:AlternateContent>
  <xr:revisionPtr revIDLastSave="0" documentId="13_ncr:1_{A95B5B40-6625-4713-8F8F-00FC7AEB209B}" xr6:coauthVersionLast="36" xr6:coauthVersionMax="47" xr10:uidLastSave="{00000000-0000-0000-0000-000000000000}"/>
  <bookViews>
    <workbookView xWindow="-105" yWindow="-105" windowWidth="23250" windowHeight="12450" activeTab="1" xr2:uid="{00000000-000D-0000-FFFF-FFFF00000000}"/>
  </bookViews>
  <sheets>
    <sheet name="Thống kê sl vụ việc" sheetId="6" r:id="rId1"/>
    <sheet name="Thống kê sl vụ án" sheetId="7" r:id="rId2"/>
  </sheets>
  <definedNames>
    <definedName name="_xlnm.Print_Titles" localSheetId="1">'Thống kê sl vụ án'!$4:$5</definedName>
    <definedName name="_xlnm.Print_Titles" localSheetId="0">'Thống kê sl vụ việc'!$4:$4</definedName>
  </definedNames>
  <calcPr calcId="191029"/>
</workbook>
</file>

<file path=xl/calcChain.xml><?xml version="1.0" encoding="utf-8"?>
<calcChain xmlns="http://schemas.openxmlformats.org/spreadsheetml/2006/main">
  <c r="H29" i="7" l="1"/>
  <c r="G34" i="6" l="1"/>
  <c r="G9" i="6"/>
  <c r="H35" i="7"/>
  <c r="I35" i="7"/>
  <c r="I9" i="7"/>
  <c r="H9" i="7"/>
  <c r="H20" i="6" l="1"/>
  <c r="G20" i="6"/>
  <c r="G27" i="6"/>
  <c r="I22" i="7" l="1"/>
  <c r="H22" i="7"/>
  <c r="I29" i="7"/>
  <c r="K22" i="7"/>
  <c r="J22" i="7"/>
</calcChain>
</file>

<file path=xl/sharedStrings.xml><?xml version="1.0" encoding="utf-8"?>
<sst xmlns="http://schemas.openxmlformats.org/spreadsheetml/2006/main" count="154" uniqueCount="99">
  <si>
    <t>Danh mục thống kê</t>
  </si>
  <si>
    <t>Tổng số</t>
  </si>
  <si>
    <t>Ghi chú</t>
  </si>
  <si>
    <t>Căn cứ tạm đình chỉ khác</t>
  </si>
  <si>
    <t>Quyết định khởi tố VAHS</t>
  </si>
  <si>
    <t>Quyết định không khởi tố VAHS</t>
  </si>
  <si>
    <t xml:space="preserve">Tạm đình chỉ vụ việc được phục hồi </t>
  </si>
  <si>
    <t>Đang xác minh vụ việc được phục hồi</t>
  </si>
  <si>
    <t xml:space="preserve"> </t>
  </si>
  <si>
    <t>CÁN BỘ THỐNG KÊ</t>
  </si>
  <si>
    <t>(Phụ lục số 08)</t>
  </si>
  <si>
    <t>Vụ</t>
  </si>
  <si>
    <t>Bc</t>
  </si>
  <si>
    <t>Kết luận điều tra đề nghị truy tố</t>
  </si>
  <si>
    <t>Đình chỉ điều tra</t>
  </si>
  <si>
    <t>Tạm đình chỉ điều tra vụ án được phục hồi</t>
  </si>
  <si>
    <t>Đang điều tra, xác minh vụ án được phục hồi</t>
  </si>
  <si>
    <t>Chuyển Cơ quan điều tra khác</t>
  </si>
  <si>
    <t>Kiểm tra số liệu của toàn tỉnh</t>
  </si>
  <si>
    <t>STT</t>
  </si>
  <si>
    <t>2.1</t>
  </si>
  <si>
    <t>2.2</t>
  </si>
  <si>
    <t>2.3</t>
  </si>
  <si>
    <t>2.4</t>
  </si>
  <si>
    <t>Số ra QĐ phục hồi trong kỳ thống kê</t>
  </si>
  <si>
    <t>Số ra QĐ không khởi tố do hết thời hiệu truy cứu TNHS</t>
  </si>
  <si>
    <t>Số vụ việc TĐC, TDGQ đầu kỳ</t>
  </si>
  <si>
    <t>THỐNG KÊ SỐ LIỆU VỤ ÁN TẠM ĐÌNH CHỈ ĐIỀU TRA</t>
  </si>
  <si>
    <t>Số tạm đình chỉ đầu kỳ</t>
  </si>
  <si>
    <t>2.5</t>
  </si>
  <si>
    <t>Số ra QĐ đình chỉ do hết thời hiệu truy cứu TNHS</t>
  </si>
  <si>
    <t>(Phụ lục số 07)</t>
  </si>
  <si>
    <t>3.3.1</t>
  </si>
  <si>
    <t>3.3.2</t>
  </si>
  <si>
    <t>3.3.3</t>
  </si>
  <si>
    <t>3.3.4</t>
  </si>
  <si>
    <t>3.3.5</t>
  </si>
  <si>
    <r>
      <t xml:space="preserve">Kết quả giải quyết
</t>
    </r>
    <r>
      <rPr>
        <sz val="10"/>
        <rFont val="Times New Roman"/>
        <family val="1"/>
      </rPr>
      <t>(3.3= 3+ 3.1+ 3.2)
(3.3= 3.3.1 + 3.3.2+ 3.3.3+ 3.3.4+ 3.3.5)</t>
    </r>
  </si>
  <si>
    <t>KT 3.3= 3.3.1+ 3.3.2+…</t>
  </si>
  <si>
    <t>KT 3.3= 3+ 3.1+ 3.2</t>
  </si>
  <si>
    <t>KT 5= 1+2-3-4</t>
  </si>
  <si>
    <t>KT 3.3= 3.3.1+ 3.3.2+ 3.3.3+ 3.3.4+ 3.3.5</t>
  </si>
  <si>
    <t>Giải quyết vụ việc TDGQ, TĐC phục hồi</t>
  </si>
  <si>
    <t>Giải quyết vụ án TĐC phục hồi</t>
  </si>
  <si>
    <t>Cơ quan điều tra khác chuyển đến các vụ án phục hồi giải quyết</t>
  </si>
  <si>
    <t>Cơ quan điều tra khác chuyển đến các vụ việc phục hồi giải quyết</t>
  </si>
  <si>
    <t>Trong đó, số vụ "Công nghệ cao"</t>
  </si>
  <si>
    <t>Số vụ việc TĐC, TDGQ cuối kỳ
(5= 1+2-3-4)</t>
  </si>
  <si>
    <t>Số tạm đình chỉ cuối kỳ
(5= 1+2-3-4)</t>
  </si>
  <si>
    <t>Trong đó, số hồ sơ đã rà soát, kiểm danh, kiểm diện</t>
  </si>
  <si>
    <t>Trong đó, số tạm dừng giải quyết</t>
  </si>
  <si>
    <t>Trong đó, số hết thời hiệu</t>
  </si>
  <si>
    <t>Trong đó, số hết thời hiệu chưa giải quyết</t>
  </si>
  <si>
    <t>5.7.1</t>
  </si>
  <si>
    <t>5.7.2</t>
  </si>
  <si>
    <t>5.7.3</t>
  </si>
  <si>
    <t>5.7.4</t>
  </si>
  <si>
    <t>Trong đó, số vụ bảo đảm thực hiện biện pháp, tiến độ khắc phục lý do TĐC theo báo cáo, kế hoạch</t>
  </si>
  <si>
    <t>Trong đó, số hết thời hiệu đầu kỳ</t>
  </si>
  <si>
    <t>5.6.1</t>
  </si>
  <si>
    <t>5.6.2</t>
  </si>
  <si>
    <t>5.6.3</t>
  </si>
  <si>
    <t>5.6.4</t>
  </si>
  <si>
    <t>5.6.5</t>
  </si>
  <si>
    <t>Số đang điều tra vụ án được phục hồi kỳ trước chuyển sang 
(mục 3.3.4 của kỳ trước)</t>
  </si>
  <si>
    <t>THỐNG KÊ SỐ LIỆU VỤ VIỆC TẠM ĐÌNH CHỈ</t>
  </si>
  <si>
    <t>Số đang điều tra vụ việc được phục hồi kỳ trước chuyển sang 
(mục 3.3.4 của kỳ trước)</t>
  </si>
  <si>
    <t>Trong đó, số vụ có biên bản trao đổi với VKS, có báo cáo, kế hoạch khắc phục lý do TĐC (số vụ đã kiểm tra, đánh giá)</t>
  </si>
  <si>
    <t>Trong đó, số vụ có biên bản trao đổi với VKS, báo cáo, kế hoạch khắc phục lý do TĐC (số vụ đã kiểm tra, đánh giá)</t>
  </si>
  <si>
    <t>Khi chưa xác định được bị can</t>
  </si>
  <si>
    <t>Khi không biết rõ bị can đang ở đâu nhưng đã hết thời hạn điều tra vụ án</t>
  </si>
  <si>
    <t>Khi có kết luận giám định tư pháp xác định bị can bị bệnh tâm thần hoặc hiểm nghèo</t>
  </si>
  <si>
    <t>2.6</t>
  </si>
  <si>
    <t>Do chưa có kết quả trưng cầu giám định</t>
  </si>
  <si>
    <t>2.7</t>
  </si>
  <si>
    <t>Do chưa có kết quả yêu cầu định giá tài sản</t>
  </si>
  <si>
    <t>2.8</t>
  </si>
  <si>
    <t>Do chưa có kết quả yêu cầu nước ngoài tương trợ tư pháp</t>
  </si>
  <si>
    <t>Do bất khả kháng do thiên tai, dịch bệnh</t>
  </si>
  <si>
    <t>Lý do khác</t>
  </si>
  <si>
    <t>5.6.6</t>
  </si>
  <si>
    <t>5.6.7</t>
  </si>
  <si>
    <t>5.6.8</t>
  </si>
  <si>
    <t>KT 5.6= 5= 5.6.1+ 5.6.2+ 5.6.3+ 5.6.4+ 5.6.5+ 5.6.6+ 5.6.7+ 5.6.8</t>
  </si>
  <si>
    <t>KT 2= 2.1+ 2.2+ 2.3+ 2.4+ 2.5+ 2.6+ 2.7+ 2.8</t>
  </si>
  <si>
    <t>Đã yêu cầu cơ quan, tổ chức, cá nhân cung cấp tài liệu, đồ vật quan trọng có ý nghĩa quyết định đối với vụ việc nhưng chưa có kết quả</t>
  </si>
  <si>
    <t>5.7.5</t>
  </si>
  <si>
    <t>5.7.6</t>
  </si>
  <si>
    <t>KT 2= 2.1+ 2.2+ 2.3+ 2.4+ 2.5+ 2.6</t>
  </si>
  <si>
    <t>KT 5.7= 5= 5.7.1+ 5.7.2+ 5.7.3+ 5.7.4+ 5.7.5+ 5.7.6</t>
  </si>
  <si>
    <r>
      <t xml:space="preserve">Số ra QĐ tạm đình chỉ trong kỳ </t>
    </r>
    <r>
      <rPr>
        <sz val="11"/>
        <rFont val="Times New Roman"/>
        <family val="1"/>
      </rPr>
      <t>(gồm cả tạm đình chỉ vụ việc được phục hồi; 2= 2.1+ 2.2+ 2.3+ 2.4+ 2.5+ 2.6)</t>
    </r>
  </si>
  <si>
    <t>Trong đó lý do tạm đình chỉ
(5.7= 5= 5.7.1+ 5.7.2+ 5.7.3+ 5.7.4+ 5.7.5+ 5.7.6)</t>
  </si>
  <si>
    <r>
      <t xml:space="preserve">Số ra QĐ tạm đình chỉ trong kỳ </t>
    </r>
    <r>
      <rPr>
        <sz val="11"/>
        <rFont val="Times New Roman"/>
        <family val="1"/>
      </rPr>
      <t>(gồm cả tạm đình chỉ vụ án được phục hồi; 2= 2.1+ 2.2+ 2.3+ 2.4+ 2.5+ 2.6+ 2.7+ 2.8)</t>
    </r>
  </si>
  <si>
    <t>Trong đó lý do tạm đình chỉ 
(5.6= 5= 5.6.1+ 5.6.2+ 5.6.3+ 5.6.4+ 5.6.5+ 5.6.6+ 5.6.7+ 5.6.8)</t>
  </si>
  <si>
    <t>………., ngày …... tháng …...năm ……</t>
  </si>
  <si>
    <t>P.THỦ TRƯỞNG ĐƠN VỊ</t>
  </si>
  <si>
    <t>(Ký, ghi rõ họ tên)</t>
  </si>
  <si>
    <t xml:space="preserve">Mốc thời gian:  từ ngày               /2026 đến ngày             /2026  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</si>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</sst>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3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  <charset val="163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3"/>
      <name val="Times New Roman"/>
      <family val="1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sz val="9"/>
      <color theme="1"/>
      <name val="Times New Roman"/>
      <family val="1"/>
      <charset val="163"/>
    </font>
    <font>
      <sz val="10"/>
      <name val="Times New Roman"/>
      <family val="1"/>
      <charset val="163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  <charset val="163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/>
    <xf numFmtId="0" fontId="14" fillId="0" borderId="0" xfId="0" applyFont="1"/>
    <xf numFmtId="0" fontId="11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/>
    <xf numFmtId="0" fontId="20" fillId="0" borderId="1" xfId="0" applyFont="1" applyBorder="1" applyAlignment="1">
      <alignment horizontal="center" vertical="center" wrapText="1"/>
    </xf>
    <xf numFmtId="0" fontId="22" fillId="0" borderId="0" xfId="0" applyFont="1"/>
    <xf numFmtId="0" fontId="22" fillId="3" borderId="0" xfId="0" applyFont="1" applyFill="1"/>
    <xf numFmtId="0" fontId="22" fillId="4" borderId="0" xfId="0" applyFont="1" applyFill="1"/>
    <xf numFmtId="0" fontId="5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vertical="center" wrapText="1"/>
    </xf>
    <xf numFmtId="0" fontId="0" fillId="0" borderId="0" xfId="0" applyAlignment="1">
      <alignment horizontal="right"/>
    </xf>
    <xf numFmtId="0" fontId="24" fillId="0" borderId="0" xfId="0" applyFont="1"/>
    <xf numFmtId="0" fontId="1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 applyAlignment="1">
      <alignment horizontal="center"/>
    </xf>
    <xf numFmtId="0" fontId="24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0" xfId="0" applyFont="1"/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22" fillId="0" borderId="0" xfId="0" applyFont="1"/>
    <xf numFmtId="0" fontId="5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showZeros="0" zoomScale="80" zoomScaleNormal="80" workbookViewId="0">
      <selection sqref="A1:B1"/>
    </sheetView>
  </sheetViews>
  <sheetFormatPr defaultRowHeight="18.75" x14ac:dyDescent="0.3"/>
  <cols>
    <col min="1" max="1" width="6.42578125" customWidth="1"/>
    <col min="2" max="2" width="28.7109375" customWidth="1"/>
    <col min="3" max="3" width="31.42578125" customWidth="1"/>
    <col min="4" max="4" width="10.7109375" style="32" customWidth="1"/>
    <col min="5" max="5" width="11.42578125" customWidth="1"/>
    <col min="6" max="6" width="6.28515625" customWidth="1"/>
    <col min="7" max="7" width="11.140625" customWidth="1"/>
    <col min="8" max="8" width="10.7109375" customWidth="1"/>
    <col min="15" max="15" width="17.7109375" customWidth="1"/>
    <col min="18" max="18" width="22.85546875" style="27" customWidth="1"/>
    <col min="19" max="19" width="31.28515625" customWidth="1"/>
  </cols>
  <sheetData>
    <row r="1" spans="1:17" ht="44.25" customHeight="1" x14ac:dyDescent="0.3">
      <c r="A1" s="53" t="s">
        <v>98</v>
      </c>
      <c r="B1" s="53"/>
      <c r="C1" s="53" t="s">
        <v>65</v>
      </c>
      <c r="D1" s="53"/>
      <c r="E1" s="53"/>
      <c r="F1" s="20"/>
      <c r="G1" s="1"/>
      <c r="H1" s="1"/>
    </row>
    <row r="2" spans="1:17" ht="21.75" customHeight="1" x14ac:dyDescent="0.3">
      <c r="A2" s="2"/>
      <c r="B2" s="60" t="s">
        <v>97</v>
      </c>
      <c r="C2" s="60"/>
      <c r="D2" s="60"/>
      <c r="E2" s="60"/>
      <c r="F2" s="21"/>
      <c r="G2" s="3"/>
      <c r="H2" s="3"/>
    </row>
    <row r="3" spans="1:17" ht="14.25" customHeight="1" x14ac:dyDescent="0.3">
      <c r="A3" s="4"/>
      <c r="B3" s="4"/>
      <c r="C3" s="4"/>
      <c r="D3" s="62" t="s">
        <v>31</v>
      </c>
      <c r="E3" s="62"/>
      <c r="F3" s="5"/>
      <c r="G3" s="61" t="s">
        <v>18</v>
      </c>
      <c r="H3" s="61"/>
    </row>
    <row r="4" spans="1:17" x14ac:dyDescent="0.3">
      <c r="A4" s="6" t="s">
        <v>19</v>
      </c>
      <c r="B4" s="63" t="s">
        <v>0</v>
      </c>
      <c r="C4" s="64"/>
      <c r="D4" s="6" t="s">
        <v>1</v>
      </c>
      <c r="E4" s="6" t="s">
        <v>2</v>
      </c>
    </row>
    <row r="5" spans="1:17" ht="15" customHeight="1" x14ac:dyDescent="0.3">
      <c r="A5" s="6">
        <v>1</v>
      </c>
      <c r="B5" s="56" t="s">
        <v>26</v>
      </c>
      <c r="C5" s="57"/>
      <c r="D5" s="28"/>
      <c r="E5" s="7"/>
    </row>
    <row r="6" spans="1:17" x14ac:dyDescent="0.3">
      <c r="A6" s="15">
        <v>1.1000000000000001</v>
      </c>
      <c r="B6" s="46" t="s">
        <v>46</v>
      </c>
      <c r="C6" s="47"/>
      <c r="D6" s="29"/>
      <c r="E6" s="7"/>
    </row>
    <row r="7" spans="1:17" ht="23.25" customHeight="1" x14ac:dyDescent="0.3">
      <c r="A7" s="15">
        <v>1.2</v>
      </c>
      <c r="B7" s="46" t="s">
        <v>50</v>
      </c>
      <c r="C7" s="50"/>
      <c r="D7" s="29"/>
      <c r="E7" s="7"/>
    </row>
    <row r="8" spans="1:17" ht="15" customHeight="1" x14ac:dyDescent="0.3">
      <c r="A8" s="15">
        <v>1.3</v>
      </c>
      <c r="B8" s="46" t="s">
        <v>51</v>
      </c>
      <c r="C8" s="50"/>
      <c r="D8" s="29"/>
      <c r="E8" s="7"/>
      <c r="G8" s="16" t="s">
        <v>88</v>
      </c>
      <c r="H8" s="16"/>
    </row>
    <row r="9" spans="1:17" ht="35.25" customHeight="1" x14ac:dyDescent="0.3">
      <c r="A9" s="6">
        <v>2</v>
      </c>
      <c r="B9" s="56" t="s">
        <v>90</v>
      </c>
      <c r="C9" s="57"/>
      <c r="D9" s="29"/>
      <c r="E9" s="7"/>
      <c r="G9" s="17" t="b">
        <f>IF(D9=D10+D11+D12+D13+D14+D15,TRUE,FALSE)</f>
        <v>1</v>
      </c>
      <c r="H9" s="16"/>
    </row>
    <row r="10" spans="1:17" x14ac:dyDescent="0.3">
      <c r="A10" s="15" t="s">
        <v>20</v>
      </c>
      <c r="B10" s="51" t="s">
        <v>73</v>
      </c>
      <c r="C10" s="51"/>
      <c r="D10" s="29"/>
      <c r="E10" s="7"/>
      <c r="H10" s="16"/>
    </row>
    <row r="11" spans="1:17" x14ac:dyDescent="0.3">
      <c r="A11" s="15" t="s">
        <v>21</v>
      </c>
      <c r="B11" s="51" t="s">
        <v>75</v>
      </c>
      <c r="C11" s="51"/>
      <c r="D11" s="29"/>
      <c r="E11" s="7"/>
      <c r="H11" s="16"/>
    </row>
    <row r="12" spans="1:17" x14ac:dyDescent="0.3">
      <c r="A12" s="15" t="s">
        <v>22</v>
      </c>
      <c r="B12" s="51" t="s">
        <v>77</v>
      </c>
      <c r="C12" s="51"/>
      <c r="D12" s="29"/>
      <c r="E12" s="7"/>
      <c r="H12" s="16"/>
    </row>
    <row r="13" spans="1:17" ht="30.75" customHeight="1" x14ac:dyDescent="0.3">
      <c r="A13" s="15" t="s">
        <v>23</v>
      </c>
      <c r="B13" s="52" t="s">
        <v>85</v>
      </c>
      <c r="C13" s="52"/>
      <c r="D13" s="29"/>
      <c r="E13" s="7"/>
      <c r="H13" s="16"/>
      <c r="P13" s="25"/>
      <c r="Q13" s="25"/>
    </row>
    <row r="14" spans="1:17" x14ac:dyDescent="0.3">
      <c r="A14" s="15" t="s">
        <v>29</v>
      </c>
      <c r="B14" s="51" t="s">
        <v>78</v>
      </c>
      <c r="C14" s="51"/>
      <c r="D14" s="29"/>
      <c r="E14" s="7"/>
      <c r="H14" s="16"/>
      <c r="O14" s="24"/>
      <c r="P14" s="25"/>
      <c r="Q14" s="25"/>
    </row>
    <row r="15" spans="1:17" x14ac:dyDescent="0.3">
      <c r="A15" s="15" t="s">
        <v>72</v>
      </c>
      <c r="B15" s="51" t="s">
        <v>3</v>
      </c>
      <c r="C15" s="51"/>
      <c r="D15" s="29"/>
      <c r="E15" s="7"/>
      <c r="H15" s="16"/>
    </row>
    <row r="16" spans="1:17" ht="15" customHeight="1" x14ac:dyDescent="0.3">
      <c r="A16" s="6">
        <v>3</v>
      </c>
      <c r="B16" s="56" t="s">
        <v>24</v>
      </c>
      <c r="C16" s="57"/>
      <c r="D16" s="29"/>
      <c r="E16" s="7"/>
      <c r="G16" s="16"/>
      <c r="H16" s="16"/>
      <c r="O16" s="24"/>
      <c r="P16" s="25"/>
      <c r="Q16" s="25"/>
    </row>
    <row r="17" spans="1:17" ht="19.5" customHeight="1" x14ac:dyDescent="0.3">
      <c r="A17" s="6"/>
      <c r="B17" s="65" t="s">
        <v>42</v>
      </c>
      <c r="C17" s="66"/>
      <c r="D17" s="30"/>
      <c r="E17" s="7"/>
      <c r="G17" s="16"/>
      <c r="H17" s="16"/>
      <c r="P17" s="25"/>
      <c r="Q17" s="25"/>
    </row>
    <row r="18" spans="1:17" ht="39.75" customHeight="1" x14ac:dyDescent="0.3">
      <c r="A18" s="15">
        <v>3.1</v>
      </c>
      <c r="B18" s="54" t="s">
        <v>66</v>
      </c>
      <c r="C18" s="55"/>
      <c r="D18" s="29"/>
      <c r="E18" s="7"/>
      <c r="G18" s="16"/>
      <c r="H18" s="16"/>
      <c r="P18" s="25"/>
      <c r="Q18" s="25"/>
    </row>
    <row r="19" spans="1:17" ht="15" customHeight="1" x14ac:dyDescent="0.3">
      <c r="A19" s="15">
        <v>3.2</v>
      </c>
      <c r="B19" s="54" t="s">
        <v>45</v>
      </c>
      <c r="C19" s="55"/>
      <c r="D19" s="29"/>
      <c r="E19" s="7"/>
      <c r="G19" s="16" t="s">
        <v>38</v>
      </c>
      <c r="H19" s="16" t="s">
        <v>39</v>
      </c>
    </row>
    <row r="20" spans="1:17" ht="43.5" customHeight="1" x14ac:dyDescent="0.3">
      <c r="A20" s="15">
        <v>3.3</v>
      </c>
      <c r="B20" s="56" t="s">
        <v>37</v>
      </c>
      <c r="C20" s="57"/>
      <c r="D20" s="29"/>
      <c r="E20" s="7"/>
      <c r="G20" s="17" t="b">
        <f>IF(D20=D21+D22+D23+D24+D25,TRUE,FALSE)</f>
        <v>1</v>
      </c>
      <c r="H20" s="18" t="b">
        <f>IF(D20=D16+D18+D19,TRUE,FALSE)</f>
        <v>1</v>
      </c>
    </row>
    <row r="21" spans="1:17" ht="15" customHeight="1" x14ac:dyDescent="0.3">
      <c r="A21" s="15" t="s">
        <v>32</v>
      </c>
      <c r="B21" s="58" t="s">
        <v>4</v>
      </c>
      <c r="C21" s="59"/>
      <c r="D21" s="29"/>
      <c r="E21" s="7"/>
      <c r="G21" s="16"/>
      <c r="H21" s="16"/>
    </row>
    <row r="22" spans="1:17" ht="15" customHeight="1" x14ac:dyDescent="0.3">
      <c r="A22" s="15" t="s">
        <v>33</v>
      </c>
      <c r="B22" s="58" t="s">
        <v>5</v>
      </c>
      <c r="C22" s="59"/>
      <c r="D22" s="29"/>
      <c r="E22" s="7"/>
      <c r="G22" s="16"/>
      <c r="H22" s="16"/>
    </row>
    <row r="23" spans="1:17" ht="15" customHeight="1" x14ac:dyDescent="0.3">
      <c r="A23" s="15" t="s">
        <v>34</v>
      </c>
      <c r="B23" s="58" t="s">
        <v>6</v>
      </c>
      <c r="C23" s="59"/>
      <c r="D23" s="29"/>
      <c r="E23" s="7"/>
      <c r="G23" s="16"/>
      <c r="H23" s="16"/>
    </row>
    <row r="24" spans="1:17" ht="15" customHeight="1" x14ac:dyDescent="0.3">
      <c r="A24" s="15" t="s">
        <v>35</v>
      </c>
      <c r="B24" s="58" t="s">
        <v>7</v>
      </c>
      <c r="C24" s="59"/>
      <c r="D24" s="29"/>
      <c r="E24" s="7"/>
      <c r="G24" s="16"/>
      <c r="H24" s="16"/>
    </row>
    <row r="25" spans="1:17" ht="15" customHeight="1" x14ac:dyDescent="0.3">
      <c r="A25" s="15" t="s">
        <v>36</v>
      </c>
      <c r="B25" s="58" t="s">
        <v>17</v>
      </c>
      <c r="C25" s="59"/>
      <c r="D25" s="29"/>
      <c r="E25" s="7"/>
      <c r="G25" s="16"/>
      <c r="H25" s="16"/>
    </row>
    <row r="26" spans="1:17" ht="15" customHeight="1" x14ac:dyDescent="0.3">
      <c r="A26" s="6">
        <v>4</v>
      </c>
      <c r="B26" s="48" t="s">
        <v>25</v>
      </c>
      <c r="C26" s="49"/>
      <c r="D26" s="29"/>
      <c r="E26" s="7"/>
      <c r="G26" s="16" t="s">
        <v>40</v>
      </c>
      <c r="H26" s="16"/>
    </row>
    <row r="27" spans="1:17" ht="31.15" customHeight="1" x14ac:dyDescent="0.3">
      <c r="A27" s="6">
        <v>5</v>
      </c>
      <c r="B27" s="48" t="s">
        <v>47</v>
      </c>
      <c r="C27" s="49"/>
      <c r="D27" s="29"/>
      <c r="E27" s="7"/>
      <c r="G27" s="17" t="b">
        <f>IF(D27=D5+D9-D16-D26,TRUE,FALSE)</f>
        <v>1</v>
      </c>
      <c r="H27" s="16"/>
    </row>
    <row r="28" spans="1:17" x14ac:dyDescent="0.3">
      <c r="A28" s="15">
        <v>5.0999999999999996</v>
      </c>
      <c r="B28" s="46" t="s">
        <v>46</v>
      </c>
      <c r="C28" s="47"/>
      <c r="D28" s="29"/>
      <c r="E28" s="7"/>
      <c r="H28" s="16"/>
    </row>
    <row r="29" spans="1:17" ht="15" customHeight="1" x14ac:dyDescent="0.3">
      <c r="A29" s="15">
        <v>5.2</v>
      </c>
      <c r="B29" s="46" t="s">
        <v>50</v>
      </c>
      <c r="C29" s="50"/>
      <c r="D29" s="29"/>
      <c r="E29" s="7"/>
      <c r="G29" s="16"/>
      <c r="H29" s="16"/>
    </row>
    <row r="30" spans="1:17" ht="15" customHeight="1" x14ac:dyDescent="0.3">
      <c r="A30" s="15">
        <v>5.3</v>
      </c>
      <c r="B30" s="46" t="s">
        <v>52</v>
      </c>
      <c r="C30" s="50"/>
      <c r="D30" s="29"/>
      <c r="E30" s="7"/>
      <c r="H30" s="16"/>
    </row>
    <row r="31" spans="1:17" ht="15" customHeight="1" x14ac:dyDescent="0.3">
      <c r="A31" s="15">
        <v>5.4</v>
      </c>
      <c r="B31" s="46" t="s">
        <v>49</v>
      </c>
      <c r="C31" s="47"/>
      <c r="D31" s="29"/>
      <c r="E31" s="7"/>
      <c r="G31" s="16"/>
      <c r="H31" s="16"/>
    </row>
    <row r="32" spans="1:17" ht="32.25" customHeight="1" x14ac:dyDescent="0.3">
      <c r="A32" s="15">
        <v>5.5</v>
      </c>
      <c r="B32" s="46" t="s">
        <v>67</v>
      </c>
      <c r="C32" s="47"/>
      <c r="D32" s="29"/>
      <c r="E32" s="7"/>
      <c r="G32" s="16"/>
      <c r="H32" s="16"/>
    </row>
    <row r="33" spans="1:18" ht="33" customHeight="1" x14ac:dyDescent="0.25">
      <c r="A33" s="15">
        <v>5.6</v>
      </c>
      <c r="B33" s="46" t="s">
        <v>57</v>
      </c>
      <c r="C33" s="47"/>
      <c r="D33" s="29"/>
      <c r="E33" s="7"/>
      <c r="G33" s="16" t="s">
        <v>89</v>
      </c>
      <c r="H33" s="16"/>
      <c r="R33"/>
    </row>
    <row r="34" spans="1:18" ht="26.45" customHeight="1" x14ac:dyDescent="0.25">
      <c r="A34" s="15">
        <v>5.7</v>
      </c>
      <c r="B34" s="58" t="s">
        <v>91</v>
      </c>
      <c r="C34" s="59"/>
      <c r="D34" s="31"/>
      <c r="E34" s="7"/>
      <c r="G34" s="17" t="b">
        <f>IF(D34=D35+D36+D37+D38+D39+D40,TRUE,FALSE)</f>
        <v>1</v>
      </c>
      <c r="H34" s="16"/>
      <c r="R34"/>
    </row>
    <row r="35" spans="1:18" ht="30" customHeight="1" x14ac:dyDescent="0.25">
      <c r="A35" s="15" t="s">
        <v>53</v>
      </c>
      <c r="B35" s="51" t="s">
        <v>73</v>
      </c>
      <c r="C35" s="51"/>
      <c r="D35" s="31"/>
      <c r="E35" s="7"/>
      <c r="G35" s="16"/>
      <c r="H35" s="16"/>
      <c r="R35"/>
    </row>
    <row r="36" spans="1:18" ht="30.6" customHeight="1" x14ac:dyDescent="0.25">
      <c r="A36" s="15" t="s">
        <v>54</v>
      </c>
      <c r="B36" s="51" t="s">
        <v>75</v>
      </c>
      <c r="C36" s="51"/>
      <c r="D36" s="31"/>
      <c r="E36" s="7"/>
      <c r="G36" s="16"/>
      <c r="H36" s="16"/>
      <c r="R36"/>
    </row>
    <row r="37" spans="1:18" ht="37.9" customHeight="1" x14ac:dyDescent="0.25">
      <c r="A37" s="15" t="s">
        <v>55</v>
      </c>
      <c r="B37" s="51" t="s">
        <v>77</v>
      </c>
      <c r="C37" s="51"/>
      <c r="D37" s="31"/>
      <c r="E37" s="7"/>
      <c r="G37" s="16"/>
      <c r="H37" s="16"/>
      <c r="R37"/>
    </row>
    <row r="38" spans="1:18" ht="45.6" customHeight="1" x14ac:dyDescent="0.25">
      <c r="A38" s="15" t="s">
        <v>56</v>
      </c>
      <c r="B38" s="52" t="s">
        <v>85</v>
      </c>
      <c r="C38" s="52"/>
      <c r="D38" s="31"/>
      <c r="E38" s="7"/>
      <c r="G38" s="16"/>
      <c r="H38" s="16"/>
      <c r="R38"/>
    </row>
    <row r="39" spans="1:18" ht="49.15" customHeight="1" x14ac:dyDescent="0.25">
      <c r="A39" s="15" t="s">
        <v>86</v>
      </c>
      <c r="B39" s="51" t="s">
        <v>78</v>
      </c>
      <c r="C39" s="51"/>
      <c r="D39" s="29"/>
      <c r="E39" s="7"/>
      <c r="G39" s="16"/>
      <c r="H39" s="16"/>
      <c r="R39"/>
    </row>
    <row r="40" spans="1:18" ht="49.9" customHeight="1" x14ac:dyDescent="0.3">
      <c r="A40" s="15" t="s">
        <v>87</v>
      </c>
      <c r="B40" s="51" t="s">
        <v>3</v>
      </c>
      <c r="C40" s="51"/>
      <c r="D40" s="29"/>
      <c r="E40" s="7"/>
      <c r="G40" s="16"/>
      <c r="H40" s="16"/>
    </row>
    <row r="42" spans="1:18" ht="15" customHeight="1" x14ac:dyDescent="0.3">
      <c r="A42" s="8" t="s">
        <v>8</v>
      </c>
      <c r="B42" s="39"/>
      <c r="C42" s="41" t="s">
        <v>94</v>
      </c>
      <c r="D42" s="41"/>
      <c r="E42" s="41"/>
      <c r="F42" s="41"/>
      <c r="G42" s="10"/>
    </row>
    <row r="43" spans="1:18" ht="15" customHeight="1" x14ac:dyDescent="0.3">
      <c r="A43" s="13"/>
      <c r="B43" s="22" t="s">
        <v>9</v>
      </c>
      <c r="C43" s="42" t="s">
        <v>95</v>
      </c>
      <c r="D43" s="42"/>
      <c r="E43" s="42"/>
      <c r="F43" s="42"/>
      <c r="G43" s="11"/>
    </row>
    <row r="44" spans="1:18" ht="15" customHeight="1" x14ac:dyDescent="0.3">
      <c r="A44" s="13"/>
      <c r="B44" s="39" t="s">
        <v>96</v>
      </c>
      <c r="C44" s="43" t="s">
        <v>96</v>
      </c>
      <c r="D44" s="43"/>
      <c r="E44" s="43"/>
      <c r="F44" s="43"/>
      <c r="G44" s="14"/>
    </row>
    <row r="45" spans="1:18" ht="16.5" customHeight="1" x14ac:dyDescent="0.3">
      <c r="A45" s="44"/>
      <c r="B45" s="44"/>
      <c r="C45" s="44"/>
      <c r="D45" s="44"/>
      <c r="E45" s="44"/>
    </row>
    <row r="46" spans="1:18" ht="16.5" customHeight="1" x14ac:dyDescent="0.3">
      <c r="A46" s="12"/>
      <c r="B46" s="12"/>
      <c r="C46" s="12"/>
      <c r="D46" s="12"/>
      <c r="E46" s="12"/>
    </row>
    <row r="47" spans="1:18" ht="16.5" customHeight="1" x14ac:dyDescent="0.3">
      <c r="A47" s="12"/>
      <c r="B47" s="12"/>
      <c r="C47" s="12"/>
      <c r="D47" s="12"/>
      <c r="E47" s="12"/>
    </row>
    <row r="48" spans="1:18" ht="16.5" customHeight="1" x14ac:dyDescent="0.3">
      <c r="A48" s="12"/>
      <c r="B48" s="12"/>
      <c r="C48" s="12"/>
      <c r="D48" s="12"/>
      <c r="E48" s="12"/>
    </row>
    <row r="49" spans="1:6" ht="16.5" customHeight="1" x14ac:dyDescent="0.3">
      <c r="A49" s="12"/>
      <c r="B49" s="12"/>
      <c r="C49" s="12"/>
      <c r="D49" s="12"/>
      <c r="E49" s="12"/>
    </row>
    <row r="50" spans="1:6" ht="16.5" customHeight="1" x14ac:dyDescent="0.3">
      <c r="A50" s="12"/>
      <c r="B50" s="23"/>
      <c r="C50" s="45"/>
      <c r="D50" s="45"/>
      <c r="E50" s="45"/>
      <c r="F50" s="45"/>
    </row>
    <row r="51" spans="1:6" ht="16.5" customHeight="1" x14ac:dyDescent="0.3">
      <c r="A51" s="12"/>
      <c r="B51" s="12"/>
      <c r="C51" s="12"/>
      <c r="D51" s="12"/>
    </row>
    <row r="52" spans="1:6" ht="16.5" customHeight="1" x14ac:dyDescent="0.3">
      <c r="A52" s="12"/>
      <c r="B52" s="12"/>
      <c r="C52" s="12"/>
      <c r="D52" s="12"/>
    </row>
    <row r="53" spans="1:6" ht="16.5" customHeight="1" x14ac:dyDescent="0.3">
      <c r="A53" s="12"/>
      <c r="B53" s="12"/>
      <c r="C53" s="12"/>
      <c r="D53" s="12"/>
    </row>
    <row r="54" spans="1:6" ht="16.5" customHeight="1" x14ac:dyDescent="0.3">
      <c r="A54" s="12"/>
      <c r="B54" s="12"/>
      <c r="C54" s="12"/>
      <c r="D54" s="12"/>
    </row>
    <row r="55" spans="1:6" ht="16.5" customHeight="1" x14ac:dyDescent="0.3">
      <c r="A55" s="12"/>
      <c r="B55" s="12"/>
      <c r="C55" s="12"/>
      <c r="D55" s="12"/>
    </row>
    <row r="56" spans="1:6" ht="16.5" customHeight="1" x14ac:dyDescent="0.3">
      <c r="A56" s="12"/>
      <c r="B56" s="12"/>
      <c r="C56" s="12"/>
      <c r="D56" s="12"/>
    </row>
    <row r="57" spans="1:6" ht="16.5" customHeight="1" x14ac:dyDescent="0.3">
      <c r="A57" s="12"/>
      <c r="B57" s="12"/>
      <c r="C57" s="12"/>
      <c r="D57" s="12"/>
    </row>
    <row r="58" spans="1:6" ht="16.5" customHeight="1" x14ac:dyDescent="0.3">
      <c r="A58" s="12"/>
      <c r="B58" s="12"/>
      <c r="C58" s="12"/>
      <c r="D58" s="12"/>
    </row>
    <row r="59" spans="1:6" ht="16.5" customHeight="1" x14ac:dyDescent="0.3">
      <c r="A59" s="12"/>
      <c r="B59" s="12"/>
      <c r="C59" s="12"/>
      <c r="D59" s="12"/>
    </row>
    <row r="60" spans="1:6" ht="16.5" customHeight="1" x14ac:dyDescent="0.3">
      <c r="A60" s="12"/>
      <c r="B60" s="12"/>
      <c r="C60" s="12"/>
      <c r="D60" s="12"/>
    </row>
    <row r="61" spans="1:6" ht="16.5" customHeight="1" x14ac:dyDescent="0.3">
      <c r="A61" s="12"/>
      <c r="B61" s="12"/>
      <c r="C61" s="12"/>
      <c r="D61" s="12"/>
    </row>
    <row r="62" spans="1:6" ht="16.5" customHeight="1" x14ac:dyDescent="0.3">
      <c r="A62" s="12"/>
      <c r="B62" s="12"/>
      <c r="C62" s="12"/>
      <c r="D62" s="12"/>
    </row>
  </sheetData>
  <mergeCells count="47">
    <mergeCell ref="B34:C34"/>
    <mergeCell ref="B40:C40"/>
    <mergeCell ref="B35:C35"/>
    <mergeCell ref="B36:C36"/>
    <mergeCell ref="B37:C37"/>
    <mergeCell ref="B38:C38"/>
    <mergeCell ref="B39:C39"/>
    <mergeCell ref="G3:H3"/>
    <mergeCell ref="D3:E3"/>
    <mergeCell ref="B4:C4"/>
    <mergeCell ref="B25:C25"/>
    <mergeCell ref="B5:C5"/>
    <mergeCell ref="B7:C7"/>
    <mergeCell ref="B8:C8"/>
    <mergeCell ref="B9:C9"/>
    <mergeCell ref="B18:C18"/>
    <mergeCell ref="B17:C17"/>
    <mergeCell ref="B16:C16"/>
    <mergeCell ref="A1:B1"/>
    <mergeCell ref="C1:E1"/>
    <mergeCell ref="B19:C19"/>
    <mergeCell ref="B26:C26"/>
    <mergeCell ref="B20:C20"/>
    <mergeCell ref="B21:C21"/>
    <mergeCell ref="B22:C22"/>
    <mergeCell ref="B23:C23"/>
    <mergeCell ref="B24:C24"/>
    <mergeCell ref="B2:E2"/>
    <mergeCell ref="B31:C31"/>
    <mergeCell ref="B32:C32"/>
    <mergeCell ref="B33:C33"/>
    <mergeCell ref="B6:C6"/>
    <mergeCell ref="B28:C28"/>
    <mergeCell ref="B27:C27"/>
    <mergeCell ref="B29:C29"/>
    <mergeCell ref="B30:C30"/>
    <mergeCell ref="B10:C10"/>
    <mergeCell ref="B11:C11"/>
    <mergeCell ref="B12:C12"/>
    <mergeCell ref="B13:C13"/>
    <mergeCell ref="B14:C14"/>
    <mergeCell ref="B15:C15"/>
    <mergeCell ref="C42:F42"/>
    <mergeCell ref="C43:F43"/>
    <mergeCell ref="C44:F44"/>
    <mergeCell ref="A45:E45"/>
    <mergeCell ref="C50:F50"/>
  </mergeCells>
  <conditionalFormatting sqref="G9">
    <cfRule type="cellIs" dxfId="7" priority="8" operator="equal">
      <formula>FALSE</formula>
    </cfRule>
  </conditionalFormatting>
  <conditionalFormatting sqref="G27">
    <cfRule type="cellIs" dxfId="6" priority="4" operator="equal">
      <formula>FALSE</formula>
    </cfRule>
  </conditionalFormatting>
  <conditionalFormatting sqref="G34">
    <cfRule type="cellIs" dxfId="5" priority="1" operator="equal">
      <formula>FALSE</formula>
    </cfRule>
  </conditionalFormatting>
  <conditionalFormatting sqref="G20:H20">
    <cfRule type="cellIs" dxfId="4" priority="5" operator="equal">
      <formula>FALSE</formula>
    </cfRule>
  </conditionalFormatting>
  <printOptions horizontalCentered="1"/>
  <pageMargins left="0.86614173228346458" right="0.19685039370078741" top="0.35433070866141736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"/>
  <sheetViews>
    <sheetView showZeros="0" tabSelected="1" zoomScale="80" zoomScaleNormal="80" workbookViewId="0">
      <selection activeCell="N7" sqref="N7"/>
    </sheetView>
  </sheetViews>
  <sheetFormatPr defaultRowHeight="15" x14ac:dyDescent="0.25"/>
  <cols>
    <col min="1" max="1" width="6.42578125" customWidth="1"/>
    <col min="2" max="2" width="31.85546875" customWidth="1"/>
    <col min="3" max="3" width="29" customWidth="1"/>
    <col min="4" max="5" width="7.85546875" style="32" customWidth="1"/>
    <col min="6" max="6" width="13.5703125" customWidth="1"/>
    <col min="7" max="7" width="6.28515625" customWidth="1"/>
    <col min="8" max="11" width="7.7109375" customWidth="1"/>
    <col min="12" max="12" width="12" customWidth="1"/>
    <col min="13" max="13" width="10.28515625" customWidth="1"/>
    <col min="16" max="16" width="10" customWidth="1"/>
    <col min="17" max="17" width="7.7109375" customWidth="1"/>
    <col min="18" max="18" width="12" customWidth="1"/>
    <col min="19" max="19" width="11.7109375" customWidth="1"/>
  </cols>
  <sheetData>
    <row r="1" spans="1:16" ht="31.5" customHeight="1" x14ac:dyDescent="0.25">
      <c r="A1" s="53" t="s">
        <v>98</v>
      </c>
      <c r="B1" s="53"/>
      <c r="C1" s="53" t="s">
        <v>27</v>
      </c>
      <c r="D1" s="53"/>
      <c r="E1" s="53"/>
      <c r="F1" s="53"/>
      <c r="G1" s="1"/>
      <c r="H1" s="1"/>
    </row>
    <row r="2" spans="1:16" ht="18" customHeight="1" x14ac:dyDescent="0.25">
      <c r="A2" s="2"/>
      <c r="B2" s="2"/>
      <c r="C2" s="60" t="s">
        <v>97</v>
      </c>
      <c r="D2" s="60"/>
      <c r="E2" s="60"/>
      <c r="F2" s="60"/>
      <c r="G2" s="3"/>
      <c r="H2" s="3"/>
      <c r="I2" s="3"/>
      <c r="J2" s="3"/>
    </row>
    <row r="3" spans="1:16" ht="25.5" customHeight="1" x14ac:dyDescent="0.25">
      <c r="A3" s="4"/>
      <c r="B3" s="4"/>
      <c r="C3" s="4"/>
      <c r="D3" s="19"/>
      <c r="E3" s="73" t="s">
        <v>10</v>
      </c>
      <c r="F3" s="73"/>
      <c r="G3" s="5"/>
      <c r="H3" s="74" t="s">
        <v>18</v>
      </c>
      <c r="I3" s="74"/>
      <c r="J3" s="74"/>
      <c r="K3" s="74"/>
    </row>
    <row r="4" spans="1:16" ht="15" customHeight="1" x14ac:dyDescent="0.25">
      <c r="A4" s="76" t="s">
        <v>19</v>
      </c>
      <c r="B4" s="78" t="s">
        <v>0</v>
      </c>
      <c r="C4" s="79"/>
      <c r="D4" s="63" t="s">
        <v>1</v>
      </c>
      <c r="E4" s="82"/>
      <c r="F4" s="6" t="s">
        <v>2</v>
      </c>
    </row>
    <row r="5" spans="1:16" x14ac:dyDescent="0.25">
      <c r="A5" s="77"/>
      <c r="B5" s="80"/>
      <c r="C5" s="81"/>
      <c r="D5" s="9" t="s">
        <v>11</v>
      </c>
      <c r="E5" s="9" t="s">
        <v>12</v>
      </c>
      <c r="F5" s="6"/>
    </row>
    <row r="6" spans="1:16" x14ac:dyDescent="0.25">
      <c r="A6" s="6">
        <v>1</v>
      </c>
      <c r="B6" s="56" t="s">
        <v>28</v>
      </c>
      <c r="C6" s="57"/>
      <c r="D6" s="31"/>
      <c r="E6" s="31"/>
      <c r="F6" s="7"/>
      <c r="M6" s="34"/>
      <c r="N6" s="35"/>
      <c r="O6" s="26"/>
    </row>
    <row r="7" spans="1:16" x14ac:dyDescent="0.25">
      <c r="A7" s="15">
        <v>1.1000000000000001</v>
      </c>
      <c r="B7" s="46" t="s">
        <v>46</v>
      </c>
      <c r="C7" s="47"/>
      <c r="D7" s="29"/>
      <c r="E7" s="29"/>
      <c r="F7" s="7"/>
      <c r="N7" s="26"/>
      <c r="O7" s="26"/>
    </row>
    <row r="8" spans="1:16" ht="15" customHeight="1" x14ac:dyDescent="0.25">
      <c r="A8" s="15">
        <v>1.2</v>
      </c>
      <c r="B8" s="46" t="s">
        <v>58</v>
      </c>
      <c r="C8" s="50"/>
      <c r="D8" s="29"/>
      <c r="E8" s="29"/>
      <c r="F8" s="7"/>
      <c r="H8" s="16" t="s">
        <v>84</v>
      </c>
      <c r="I8" s="16"/>
      <c r="J8" s="16"/>
      <c r="K8" s="16"/>
      <c r="N8" s="26"/>
      <c r="O8" s="26"/>
    </row>
    <row r="9" spans="1:16" ht="39.75" customHeight="1" x14ac:dyDescent="0.25">
      <c r="A9" s="6">
        <v>2</v>
      </c>
      <c r="B9" s="56" t="s">
        <v>92</v>
      </c>
      <c r="C9" s="57"/>
      <c r="D9" s="29"/>
      <c r="E9" s="29"/>
      <c r="F9" s="7"/>
      <c r="H9" s="17" t="b">
        <f>IF(D9=D10+D11+D12+D13+D14+D15+D16+D17,TRUE,FALSE)</f>
        <v>1</v>
      </c>
      <c r="I9" s="17" t="b">
        <f>IF(E9=E10+E11+E12+E13+E14+E15+E16+E17,TRUE,FALSE)</f>
        <v>1</v>
      </c>
      <c r="J9" s="16"/>
      <c r="K9" s="16"/>
      <c r="N9" s="26"/>
      <c r="O9" s="26"/>
    </row>
    <row r="10" spans="1:16" x14ac:dyDescent="0.25">
      <c r="A10" s="15" t="s">
        <v>20</v>
      </c>
      <c r="B10" s="69" t="s">
        <v>69</v>
      </c>
      <c r="C10" s="69"/>
      <c r="D10" s="29"/>
      <c r="E10" s="29"/>
      <c r="F10" s="7"/>
      <c r="J10" s="16"/>
      <c r="K10" s="16"/>
      <c r="N10" s="26"/>
      <c r="O10" s="26"/>
    </row>
    <row r="11" spans="1:16" x14ac:dyDescent="0.25">
      <c r="A11" s="15" t="s">
        <v>21</v>
      </c>
      <c r="B11" s="69" t="s">
        <v>70</v>
      </c>
      <c r="C11" s="69"/>
      <c r="D11" s="29"/>
      <c r="E11" s="29"/>
      <c r="F11" s="7"/>
      <c r="J11" s="16"/>
      <c r="K11" s="16"/>
      <c r="N11" s="26"/>
      <c r="O11" s="26"/>
    </row>
    <row r="12" spans="1:16" ht="28.5" customHeight="1" x14ac:dyDescent="0.25">
      <c r="A12" s="15" t="s">
        <v>22</v>
      </c>
      <c r="B12" s="67" t="s">
        <v>71</v>
      </c>
      <c r="C12" s="68"/>
      <c r="D12" s="29"/>
      <c r="E12" s="29"/>
      <c r="F12" s="7"/>
      <c r="J12" s="16"/>
      <c r="K12" s="16"/>
      <c r="N12" s="26"/>
      <c r="O12" s="26"/>
    </row>
    <row r="13" spans="1:16" x14ac:dyDescent="0.25">
      <c r="A13" s="15" t="s">
        <v>23</v>
      </c>
      <c r="B13" s="67" t="s">
        <v>73</v>
      </c>
      <c r="C13" s="68"/>
      <c r="D13" s="29"/>
      <c r="E13" s="29"/>
      <c r="F13" s="7"/>
      <c r="J13" s="16"/>
      <c r="K13" s="16"/>
      <c r="N13" s="26"/>
      <c r="O13" s="26"/>
      <c r="P13" s="25"/>
    </row>
    <row r="14" spans="1:16" x14ac:dyDescent="0.25">
      <c r="A14" s="15" t="s">
        <v>29</v>
      </c>
      <c r="B14" s="67" t="s">
        <v>75</v>
      </c>
      <c r="C14" s="68"/>
      <c r="D14" s="29"/>
      <c r="E14" s="29"/>
      <c r="F14" s="7"/>
      <c r="J14" s="16"/>
      <c r="K14" s="16"/>
      <c r="N14" s="26"/>
      <c r="O14" s="26"/>
      <c r="P14" s="25"/>
    </row>
    <row r="15" spans="1:16" x14ac:dyDescent="0.25">
      <c r="A15" s="15" t="s">
        <v>72</v>
      </c>
      <c r="B15" s="67" t="s">
        <v>77</v>
      </c>
      <c r="C15" s="68"/>
      <c r="D15" s="29"/>
      <c r="E15" s="29"/>
      <c r="F15" s="7"/>
      <c r="J15" s="16"/>
      <c r="K15" s="16"/>
      <c r="N15" s="26"/>
      <c r="O15" s="26"/>
      <c r="P15" s="25"/>
    </row>
    <row r="16" spans="1:16" x14ac:dyDescent="0.25">
      <c r="A16" s="15" t="s">
        <v>74</v>
      </c>
      <c r="B16" s="69" t="s">
        <v>78</v>
      </c>
      <c r="C16" s="69"/>
      <c r="D16" s="29"/>
      <c r="E16" s="29"/>
      <c r="F16" s="7"/>
      <c r="J16" s="16"/>
      <c r="K16" s="16"/>
      <c r="N16" s="26"/>
      <c r="O16" s="26"/>
      <c r="P16" s="25"/>
    </row>
    <row r="17" spans="1:21" x14ac:dyDescent="0.25">
      <c r="A17" s="15" t="s">
        <v>76</v>
      </c>
      <c r="B17" s="69" t="s">
        <v>79</v>
      </c>
      <c r="C17" s="69"/>
      <c r="D17" s="29"/>
      <c r="E17" s="29"/>
      <c r="F17" s="7"/>
      <c r="J17" s="16"/>
      <c r="K17" s="16"/>
      <c r="N17" s="26"/>
      <c r="O17" s="26"/>
      <c r="P17" s="25"/>
    </row>
    <row r="18" spans="1:21" ht="15" customHeight="1" x14ac:dyDescent="0.25">
      <c r="A18" s="6">
        <v>3</v>
      </c>
      <c r="B18" s="56" t="s">
        <v>24</v>
      </c>
      <c r="C18" s="57"/>
      <c r="D18" s="29"/>
      <c r="E18" s="29"/>
      <c r="F18" s="7"/>
      <c r="H18" s="16"/>
      <c r="I18" s="16"/>
      <c r="J18" s="16"/>
      <c r="K18" s="16"/>
      <c r="N18" s="26"/>
      <c r="O18" s="26"/>
    </row>
    <row r="19" spans="1:21" ht="15" customHeight="1" x14ac:dyDescent="0.25">
      <c r="A19" s="6"/>
      <c r="B19" s="56" t="s">
        <v>43</v>
      </c>
      <c r="C19" s="57"/>
      <c r="D19" s="30"/>
      <c r="E19" s="30"/>
      <c r="F19" s="7"/>
      <c r="H19" s="16"/>
      <c r="I19" s="16"/>
      <c r="J19" s="16"/>
      <c r="K19" s="16"/>
      <c r="N19" s="26"/>
      <c r="O19" s="26"/>
    </row>
    <row r="20" spans="1:21" ht="35.25" customHeight="1" x14ac:dyDescent="0.25">
      <c r="A20" s="15">
        <v>3.1</v>
      </c>
      <c r="B20" s="67" t="s">
        <v>64</v>
      </c>
      <c r="C20" s="75"/>
      <c r="D20" s="29"/>
      <c r="E20" s="29"/>
      <c r="F20" s="7"/>
      <c r="H20" s="16"/>
      <c r="I20" s="16"/>
      <c r="J20" s="16"/>
      <c r="K20" s="16"/>
      <c r="N20" s="26"/>
      <c r="O20" s="26"/>
    </row>
    <row r="21" spans="1:21" ht="15" customHeight="1" x14ac:dyDescent="0.25">
      <c r="A21" s="15">
        <v>3.2</v>
      </c>
      <c r="B21" s="54" t="s">
        <v>44</v>
      </c>
      <c r="C21" s="55"/>
      <c r="D21" s="29"/>
      <c r="E21" s="29"/>
      <c r="F21" s="7"/>
      <c r="H21" s="16" t="s">
        <v>41</v>
      </c>
      <c r="I21" s="16"/>
      <c r="J21" s="16" t="s">
        <v>39</v>
      </c>
      <c r="K21" s="16"/>
      <c r="N21" s="26"/>
      <c r="O21" s="26"/>
    </row>
    <row r="22" spans="1:21" ht="43.5" customHeight="1" x14ac:dyDescent="0.25">
      <c r="A22" s="15">
        <v>3.3</v>
      </c>
      <c r="B22" s="56" t="s">
        <v>37</v>
      </c>
      <c r="C22" s="57"/>
      <c r="D22" s="29"/>
      <c r="E22" s="29"/>
      <c r="F22" s="7"/>
      <c r="H22" s="17" t="b">
        <f>IF(D22=D23+D24+D25+D26+D27,TRUE,FALSE)</f>
        <v>1</v>
      </c>
      <c r="I22" s="17" t="b">
        <f>IF(E22=E23+E24+E25+E26+E27,TRUE,FALSE)</f>
        <v>1</v>
      </c>
      <c r="J22" s="18" t="b">
        <f>IF(D22=D18+D20+D21,TRUE,FALSE)</f>
        <v>1</v>
      </c>
      <c r="K22" s="18" t="b">
        <f>IF(E22=E18+E20+E21,TRUE,FALSE)</f>
        <v>1</v>
      </c>
      <c r="N22" s="26"/>
      <c r="O22" s="26"/>
      <c r="P22" s="36"/>
      <c r="Q22" s="36"/>
      <c r="R22" s="36"/>
      <c r="S22" s="36"/>
      <c r="T22" s="36"/>
      <c r="U22" s="36"/>
    </row>
    <row r="23" spans="1:21" ht="15" customHeight="1" x14ac:dyDescent="0.25">
      <c r="A23" s="15" t="s">
        <v>32</v>
      </c>
      <c r="B23" s="70" t="s">
        <v>13</v>
      </c>
      <c r="C23" s="71"/>
      <c r="D23" s="29"/>
      <c r="E23" s="29"/>
      <c r="F23" s="7"/>
      <c r="H23" s="16"/>
      <c r="I23" s="16"/>
      <c r="J23" s="16"/>
      <c r="K23" s="16"/>
      <c r="N23" s="26"/>
      <c r="O23" s="26"/>
      <c r="P23" s="36"/>
      <c r="Q23" s="37"/>
      <c r="R23" s="37"/>
      <c r="S23" s="37"/>
      <c r="T23" s="37"/>
      <c r="U23" s="37"/>
    </row>
    <row r="24" spans="1:21" ht="15" customHeight="1" x14ac:dyDescent="0.25">
      <c r="A24" s="15" t="s">
        <v>33</v>
      </c>
      <c r="B24" s="70" t="s">
        <v>14</v>
      </c>
      <c r="C24" s="71"/>
      <c r="D24" s="29"/>
      <c r="E24" s="29"/>
      <c r="F24" s="7"/>
      <c r="H24" s="16"/>
      <c r="I24" s="16"/>
      <c r="J24" s="16"/>
      <c r="K24" s="16"/>
      <c r="N24" s="26"/>
      <c r="O24" s="26"/>
      <c r="P24" s="36"/>
      <c r="Q24" s="37"/>
      <c r="R24" s="37"/>
      <c r="S24" s="37"/>
      <c r="T24" s="37"/>
      <c r="U24" s="37"/>
    </row>
    <row r="25" spans="1:21" ht="15" customHeight="1" x14ac:dyDescent="0.25">
      <c r="A25" s="15" t="s">
        <v>34</v>
      </c>
      <c r="B25" s="70" t="s">
        <v>15</v>
      </c>
      <c r="C25" s="71"/>
      <c r="D25" s="29"/>
      <c r="E25" s="29"/>
      <c r="F25" s="7"/>
      <c r="H25" s="16"/>
      <c r="I25" s="16"/>
      <c r="J25" s="16"/>
      <c r="K25" s="16"/>
      <c r="N25" s="26"/>
      <c r="O25" s="26"/>
      <c r="P25" s="36"/>
      <c r="Q25" s="37"/>
      <c r="R25" s="37"/>
      <c r="S25" s="37"/>
      <c r="T25" s="37"/>
      <c r="U25" s="37"/>
    </row>
    <row r="26" spans="1:21" ht="15" customHeight="1" x14ac:dyDescent="0.25">
      <c r="A26" s="15" t="s">
        <v>35</v>
      </c>
      <c r="B26" s="70" t="s">
        <v>16</v>
      </c>
      <c r="C26" s="71"/>
      <c r="D26" s="29"/>
      <c r="E26" s="29"/>
      <c r="F26" s="7"/>
      <c r="H26" s="16"/>
      <c r="I26" s="16"/>
      <c r="J26" s="16"/>
      <c r="K26" s="16"/>
      <c r="N26" s="26"/>
      <c r="O26" s="26"/>
      <c r="P26" s="36"/>
      <c r="Q26" s="37"/>
      <c r="R26" s="37"/>
      <c r="S26" s="37"/>
      <c r="T26" s="37"/>
      <c r="U26" s="37"/>
    </row>
    <row r="27" spans="1:21" ht="15" customHeight="1" x14ac:dyDescent="0.25">
      <c r="A27" s="15" t="s">
        <v>36</v>
      </c>
      <c r="B27" s="70" t="s">
        <v>17</v>
      </c>
      <c r="C27" s="71"/>
      <c r="D27" s="29"/>
      <c r="E27" s="29"/>
      <c r="F27" s="7"/>
      <c r="H27" s="16"/>
      <c r="I27" s="16"/>
      <c r="J27" s="16"/>
      <c r="K27" s="16"/>
      <c r="N27" s="26"/>
      <c r="O27" s="26"/>
      <c r="P27" s="36"/>
      <c r="Q27" s="37"/>
      <c r="R27" s="37"/>
      <c r="S27" s="37"/>
      <c r="T27" s="37"/>
      <c r="U27" s="37"/>
    </row>
    <row r="28" spans="1:21" ht="39" customHeight="1" x14ac:dyDescent="0.25">
      <c r="A28" s="6">
        <v>4</v>
      </c>
      <c r="B28" s="48" t="s">
        <v>30</v>
      </c>
      <c r="C28" s="49"/>
      <c r="D28" s="29"/>
      <c r="E28" s="29"/>
      <c r="F28" s="7"/>
      <c r="H28" s="72" t="s">
        <v>40</v>
      </c>
      <c r="I28" s="72"/>
      <c r="J28" s="16"/>
      <c r="K28" s="16"/>
      <c r="N28" s="26"/>
      <c r="O28" s="26"/>
      <c r="P28" s="36"/>
      <c r="Q28" s="37"/>
      <c r="R28" s="37"/>
      <c r="S28" s="37"/>
      <c r="T28" s="37"/>
      <c r="U28" s="37"/>
    </row>
    <row r="29" spans="1:21" ht="36" customHeight="1" x14ac:dyDescent="0.25">
      <c r="A29" s="6">
        <v>5</v>
      </c>
      <c r="B29" s="48" t="s">
        <v>48</v>
      </c>
      <c r="C29" s="49"/>
      <c r="D29" s="29"/>
      <c r="E29" s="29"/>
      <c r="F29" s="7"/>
      <c r="H29" s="17" t="b">
        <f>IF(D29=D6+D9-D18-D28,TRUE,FALSE)</f>
        <v>1</v>
      </c>
      <c r="I29" s="17" t="b">
        <f>IF(E29=E6+E9-E18-E28,TRUE,FALSE)</f>
        <v>1</v>
      </c>
      <c r="J29" s="16"/>
      <c r="K29" s="16"/>
      <c r="N29" s="26"/>
      <c r="O29" s="26"/>
    </row>
    <row r="30" spans="1:21" x14ac:dyDescent="0.25">
      <c r="A30" s="15">
        <v>5.0999999999999996</v>
      </c>
      <c r="B30" s="46" t="s">
        <v>46</v>
      </c>
      <c r="C30" s="47"/>
      <c r="D30" s="29"/>
      <c r="E30" s="29"/>
      <c r="F30" s="7"/>
      <c r="J30" s="16"/>
      <c r="K30" s="16"/>
      <c r="N30" s="26"/>
      <c r="O30" s="26"/>
    </row>
    <row r="31" spans="1:21" ht="15" customHeight="1" x14ac:dyDescent="0.25">
      <c r="A31" s="15">
        <v>5.2</v>
      </c>
      <c r="B31" s="46" t="s">
        <v>52</v>
      </c>
      <c r="C31" s="50"/>
      <c r="D31" s="33"/>
      <c r="E31" s="29"/>
      <c r="F31" s="7"/>
      <c r="J31" s="16"/>
      <c r="K31" s="16"/>
      <c r="N31" s="26"/>
      <c r="O31" s="26"/>
    </row>
    <row r="32" spans="1:21" ht="15" customHeight="1" x14ac:dyDescent="0.25">
      <c r="A32" s="15">
        <v>5.3</v>
      </c>
      <c r="B32" s="46" t="s">
        <v>49</v>
      </c>
      <c r="C32" s="47"/>
      <c r="D32" s="29"/>
      <c r="E32" s="29"/>
      <c r="F32" s="7"/>
      <c r="H32" s="16"/>
      <c r="I32" s="16"/>
      <c r="J32" s="16"/>
      <c r="K32" s="16"/>
      <c r="N32" s="26"/>
      <c r="O32" s="26"/>
    </row>
    <row r="33" spans="1:15" ht="29.25" customHeight="1" x14ac:dyDescent="0.25">
      <c r="A33" s="15">
        <v>5.4</v>
      </c>
      <c r="B33" s="46" t="s">
        <v>68</v>
      </c>
      <c r="C33" s="47"/>
      <c r="D33" s="29"/>
      <c r="E33" s="29"/>
      <c r="F33" s="7"/>
      <c r="H33" s="16"/>
      <c r="I33" s="16"/>
      <c r="J33" s="16"/>
      <c r="K33" s="16"/>
      <c r="N33" s="26"/>
      <c r="O33" s="40"/>
    </row>
    <row r="34" spans="1:15" ht="30.75" customHeight="1" x14ac:dyDescent="0.25">
      <c r="A34" s="15">
        <v>5.5</v>
      </c>
      <c r="B34" s="46" t="s">
        <v>57</v>
      </c>
      <c r="C34" s="47"/>
      <c r="D34" s="29"/>
      <c r="E34" s="29"/>
      <c r="F34" s="7"/>
      <c r="H34" s="16" t="s">
        <v>83</v>
      </c>
      <c r="I34" s="16"/>
      <c r="J34" s="16"/>
      <c r="K34" s="16"/>
      <c r="N34" s="26"/>
      <c r="O34" s="26"/>
    </row>
    <row r="35" spans="1:15" ht="33.75" customHeight="1" x14ac:dyDescent="0.25">
      <c r="A35" s="15">
        <v>5.6</v>
      </c>
      <c r="B35" s="58" t="s">
        <v>93</v>
      </c>
      <c r="C35" s="59"/>
      <c r="D35" s="31"/>
      <c r="E35" s="31"/>
      <c r="F35" s="7"/>
      <c r="H35" s="17" t="b">
        <f>IF(D35=D36+D37+D38+D39+D40+D41+D42+D43,TRUE,FALSE)</f>
        <v>1</v>
      </c>
      <c r="I35" s="17" t="b">
        <f>IF(E35=E36+E37+E38+E39+E40+E41+E42+E43,TRUE,FALSE)</f>
        <v>1</v>
      </c>
      <c r="J35" s="16"/>
      <c r="K35" s="16"/>
      <c r="N35" s="26"/>
      <c r="O35" s="26"/>
    </row>
    <row r="36" spans="1:15" ht="22.15" customHeight="1" x14ac:dyDescent="0.25">
      <c r="A36" s="15" t="s">
        <v>59</v>
      </c>
      <c r="B36" s="69" t="s">
        <v>69</v>
      </c>
      <c r="C36" s="69"/>
      <c r="D36" s="29"/>
      <c r="E36" s="29"/>
      <c r="F36" s="7"/>
      <c r="J36" s="16"/>
      <c r="K36" s="16"/>
      <c r="N36" s="26"/>
      <c r="O36" s="26"/>
    </row>
    <row r="37" spans="1:15" x14ac:dyDescent="0.25">
      <c r="A37" s="15" t="s">
        <v>60</v>
      </c>
      <c r="B37" s="69" t="s">
        <v>70</v>
      </c>
      <c r="C37" s="69"/>
      <c r="D37" s="29"/>
      <c r="E37" s="29"/>
      <c r="F37" s="7"/>
      <c r="J37" s="16"/>
      <c r="K37" s="16"/>
      <c r="N37" s="26"/>
      <c r="O37" s="26"/>
    </row>
    <row r="38" spans="1:15" ht="29.25" customHeight="1" x14ac:dyDescent="0.25">
      <c r="A38" s="15" t="s">
        <v>61</v>
      </c>
      <c r="B38" s="67" t="s">
        <v>71</v>
      </c>
      <c r="C38" s="68"/>
      <c r="D38" s="29"/>
      <c r="E38" s="29"/>
      <c r="F38" s="7"/>
      <c r="J38" s="16"/>
      <c r="K38" s="16"/>
      <c r="N38" s="26"/>
      <c r="O38" s="26"/>
    </row>
    <row r="39" spans="1:15" x14ac:dyDescent="0.25">
      <c r="A39" s="15" t="s">
        <v>62</v>
      </c>
      <c r="B39" s="67" t="s">
        <v>73</v>
      </c>
      <c r="C39" s="68"/>
      <c r="D39" s="29"/>
      <c r="E39" s="29"/>
      <c r="F39" s="7"/>
      <c r="J39" s="16"/>
      <c r="K39" s="16"/>
      <c r="N39" s="26"/>
      <c r="O39" s="26"/>
    </row>
    <row r="40" spans="1:15" x14ac:dyDescent="0.25">
      <c r="A40" s="15" t="s">
        <v>63</v>
      </c>
      <c r="B40" s="67" t="s">
        <v>75</v>
      </c>
      <c r="C40" s="68"/>
      <c r="D40" s="29"/>
      <c r="E40" s="29"/>
      <c r="F40" s="7"/>
      <c r="J40" s="16"/>
      <c r="K40" s="16"/>
      <c r="N40" s="26"/>
      <c r="O40" s="26"/>
    </row>
    <row r="41" spans="1:15" ht="18.75" x14ac:dyDescent="0.3">
      <c r="A41" s="15" t="s">
        <v>80</v>
      </c>
      <c r="B41" s="67" t="s">
        <v>77</v>
      </c>
      <c r="C41" s="68"/>
      <c r="D41" s="29"/>
      <c r="E41" s="29"/>
      <c r="F41" s="7"/>
      <c r="L41" s="38"/>
      <c r="M41" s="38"/>
      <c r="N41" s="26"/>
      <c r="O41" s="26"/>
    </row>
    <row r="42" spans="1:15" x14ac:dyDescent="0.25">
      <c r="A42" s="15" t="s">
        <v>81</v>
      </c>
      <c r="B42" s="69" t="s">
        <v>78</v>
      </c>
      <c r="C42" s="69"/>
      <c r="D42" s="29"/>
      <c r="E42" s="29"/>
      <c r="F42" s="7"/>
      <c r="N42" s="26"/>
      <c r="O42" s="26"/>
    </row>
    <row r="43" spans="1:15" x14ac:dyDescent="0.25">
      <c r="A43" s="15" t="s">
        <v>82</v>
      </c>
      <c r="B43" s="69" t="s">
        <v>79</v>
      </c>
      <c r="C43" s="69"/>
      <c r="D43" s="29"/>
      <c r="E43" s="29"/>
      <c r="F43" s="7"/>
      <c r="N43" s="26"/>
      <c r="O43" s="26"/>
    </row>
    <row r="45" spans="1:15" ht="15" customHeight="1" x14ac:dyDescent="0.3">
      <c r="A45" s="8" t="s">
        <v>8</v>
      </c>
      <c r="B45" s="39"/>
      <c r="C45" s="41" t="s">
        <v>94</v>
      </c>
      <c r="D45" s="41"/>
      <c r="E45" s="41"/>
      <c r="F45" s="41"/>
      <c r="G45" s="10"/>
      <c r="H45" s="10"/>
      <c r="I45" s="10"/>
    </row>
    <row r="46" spans="1:15" ht="15" customHeight="1" x14ac:dyDescent="0.25">
      <c r="A46" s="13"/>
      <c r="B46" s="22" t="s">
        <v>9</v>
      </c>
      <c r="C46" s="42" t="s">
        <v>95</v>
      </c>
      <c r="D46" s="42"/>
      <c r="E46" s="42"/>
      <c r="F46" s="42"/>
      <c r="G46" s="11"/>
      <c r="H46" s="11"/>
      <c r="I46" s="11"/>
    </row>
    <row r="47" spans="1:15" ht="15" customHeight="1" x14ac:dyDescent="0.25">
      <c r="A47" s="13"/>
      <c r="B47" s="39" t="s">
        <v>96</v>
      </c>
      <c r="C47" s="43" t="s">
        <v>96</v>
      </c>
      <c r="D47" s="43"/>
      <c r="E47" s="43"/>
      <c r="F47" s="43"/>
      <c r="G47" s="14"/>
      <c r="H47" s="14"/>
      <c r="I47" s="14"/>
    </row>
    <row r="48" spans="1:15" ht="16.5" customHeight="1" x14ac:dyDescent="0.25">
      <c r="A48" s="44"/>
      <c r="B48" s="44"/>
      <c r="C48" s="44"/>
      <c r="D48" s="44"/>
      <c r="E48" s="44"/>
    </row>
    <row r="49" spans="1:6" ht="16.5" customHeight="1" x14ac:dyDescent="0.25">
      <c r="A49" s="12"/>
      <c r="B49" s="12"/>
      <c r="C49" s="12"/>
      <c r="D49" s="12"/>
      <c r="E49" s="12"/>
    </row>
    <row r="50" spans="1:6" ht="16.5" customHeight="1" x14ac:dyDescent="0.25">
      <c r="A50" s="12"/>
      <c r="B50" s="12"/>
      <c r="C50" s="12"/>
      <c r="D50" s="12"/>
      <c r="E50" s="12"/>
    </row>
    <row r="51" spans="1:6" ht="16.5" customHeight="1" x14ac:dyDescent="0.25">
      <c r="A51" s="12"/>
      <c r="B51" s="12"/>
      <c r="C51" s="12"/>
      <c r="D51" s="12"/>
      <c r="E51" s="12"/>
    </row>
    <row r="52" spans="1:6" ht="16.5" customHeight="1" x14ac:dyDescent="0.25">
      <c r="A52" s="12"/>
      <c r="B52" s="12"/>
      <c r="C52" s="12"/>
      <c r="D52" s="12"/>
      <c r="E52" s="12"/>
    </row>
    <row r="53" spans="1:6" ht="16.5" customHeight="1" x14ac:dyDescent="0.25">
      <c r="A53" s="12"/>
      <c r="B53" s="23"/>
      <c r="C53" s="45"/>
      <c r="D53" s="45"/>
      <c r="E53" s="45"/>
      <c r="F53" s="45"/>
    </row>
    <row r="54" spans="1:6" ht="16.5" customHeight="1" x14ac:dyDescent="0.25">
      <c r="A54" s="12"/>
      <c r="B54" s="12"/>
      <c r="C54" s="12"/>
      <c r="D54" s="12"/>
      <c r="E54" s="12"/>
    </row>
    <row r="55" spans="1:6" ht="16.5" customHeight="1" x14ac:dyDescent="0.25">
      <c r="A55" s="12"/>
      <c r="B55" s="12"/>
      <c r="C55" s="12"/>
      <c r="D55" s="12"/>
      <c r="E55" s="12"/>
    </row>
    <row r="56" spans="1:6" ht="16.5" customHeight="1" x14ac:dyDescent="0.25">
      <c r="A56" s="12"/>
      <c r="B56" s="12"/>
      <c r="C56" s="12"/>
      <c r="D56" s="12"/>
      <c r="E56" s="12"/>
    </row>
    <row r="57" spans="1:6" ht="16.5" customHeight="1" x14ac:dyDescent="0.25">
      <c r="A57" s="12"/>
      <c r="B57" s="12"/>
      <c r="C57" s="12"/>
      <c r="D57" s="12"/>
      <c r="E57" s="12"/>
    </row>
    <row r="58" spans="1:6" ht="16.5" customHeight="1" x14ac:dyDescent="0.25">
      <c r="A58" s="12"/>
      <c r="B58" s="12"/>
      <c r="C58" s="12"/>
      <c r="D58" s="12"/>
      <c r="E58" s="12"/>
    </row>
    <row r="59" spans="1:6" ht="16.5" customHeight="1" x14ac:dyDescent="0.25">
      <c r="A59" s="12"/>
      <c r="B59" s="12"/>
      <c r="C59" s="12"/>
      <c r="D59" s="12"/>
      <c r="E59" s="12"/>
    </row>
    <row r="60" spans="1:6" ht="16.5" customHeight="1" x14ac:dyDescent="0.25">
      <c r="A60" s="12"/>
      <c r="B60" s="12"/>
      <c r="C60" s="12"/>
      <c r="D60" s="12"/>
      <c r="E60" s="12"/>
    </row>
    <row r="61" spans="1:6" ht="16.5" customHeight="1" x14ac:dyDescent="0.25">
      <c r="A61" s="12"/>
      <c r="B61" s="12"/>
      <c r="C61" s="12"/>
      <c r="D61" s="12"/>
      <c r="E61" s="12"/>
    </row>
    <row r="62" spans="1:6" ht="16.5" customHeight="1" x14ac:dyDescent="0.25">
      <c r="A62" s="12"/>
      <c r="B62" s="12"/>
      <c r="C62" s="12"/>
      <c r="D62" s="12"/>
      <c r="E62" s="12"/>
    </row>
    <row r="63" spans="1:6" ht="16.5" customHeight="1" x14ac:dyDescent="0.25">
      <c r="A63" s="12"/>
      <c r="B63" s="12"/>
      <c r="C63" s="12"/>
      <c r="D63" s="12"/>
      <c r="E63" s="12"/>
    </row>
    <row r="64" spans="1:6" ht="16.5" customHeight="1" x14ac:dyDescent="0.25">
      <c r="A64" s="12"/>
      <c r="B64" s="12"/>
      <c r="C64" s="12"/>
      <c r="D64" s="12"/>
      <c r="E64" s="12"/>
    </row>
    <row r="65" spans="1:5" ht="16.5" customHeight="1" x14ac:dyDescent="0.25">
      <c r="A65" s="12"/>
      <c r="B65" s="12"/>
      <c r="C65" s="12"/>
      <c r="D65" s="12"/>
      <c r="E65" s="12"/>
    </row>
  </sheetData>
  <mergeCells count="52">
    <mergeCell ref="B25:C25"/>
    <mergeCell ref="B23:C23"/>
    <mergeCell ref="A48:E48"/>
    <mergeCell ref="A4:A5"/>
    <mergeCell ref="B4:C5"/>
    <mergeCell ref="D4:E4"/>
    <mergeCell ref="B24:C24"/>
    <mergeCell ref="B42:C42"/>
    <mergeCell ref="B43:C43"/>
    <mergeCell ref="B28:C28"/>
    <mergeCell ref="B29:C29"/>
    <mergeCell ref="B21:C21"/>
    <mergeCell ref="B6:C6"/>
    <mergeCell ref="C47:F47"/>
    <mergeCell ref="C45:F45"/>
    <mergeCell ref="C46:F46"/>
    <mergeCell ref="B22:C22"/>
    <mergeCell ref="H3:K3"/>
    <mergeCell ref="B19:C19"/>
    <mergeCell ref="B7:C7"/>
    <mergeCell ref="B8:C8"/>
    <mergeCell ref="B20:C20"/>
    <mergeCell ref="B10:C10"/>
    <mergeCell ref="B11:C11"/>
    <mergeCell ref="B12:C12"/>
    <mergeCell ref="A1:B1"/>
    <mergeCell ref="C2:F2"/>
    <mergeCell ref="B9:C9"/>
    <mergeCell ref="B18:C18"/>
    <mergeCell ref="E3:F3"/>
    <mergeCell ref="C1:F1"/>
    <mergeCell ref="B40:C40"/>
    <mergeCell ref="B36:C36"/>
    <mergeCell ref="B37:C37"/>
    <mergeCell ref="B38:C38"/>
    <mergeCell ref="H28:I28"/>
    <mergeCell ref="C53:F53"/>
    <mergeCell ref="B13:C13"/>
    <mergeCell ref="B14:C14"/>
    <mergeCell ref="B15:C15"/>
    <mergeCell ref="B16:C16"/>
    <mergeCell ref="B17:C17"/>
    <mergeCell ref="B26:C26"/>
    <mergeCell ref="B27:C27"/>
    <mergeCell ref="B31:C31"/>
    <mergeCell ref="B35:C35"/>
    <mergeCell ref="B41:C41"/>
    <mergeCell ref="B32:C32"/>
    <mergeCell ref="B33:C33"/>
    <mergeCell ref="B34:C34"/>
    <mergeCell ref="B30:C30"/>
    <mergeCell ref="B39:C39"/>
  </mergeCells>
  <conditionalFormatting sqref="H9:I9">
    <cfRule type="cellIs" dxfId="3" priority="6" operator="equal">
      <formula>FALSE</formula>
    </cfRule>
  </conditionalFormatting>
  <conditionalFormatting sqref="H29:I29">
    <cfRule type="cellIs" dxfId="2" priority="3" operator="equal">
      <formula>FALSE</formula>
    </cfRule>
  </conditionalFormatting>
  <conditionalFormatting sqref="H35:I35">
    <cfRule type="cellIs" dxfId="1" priority="1" operator="equal">
      <formula>FALSE</formula>
    </cfRule>
  </conditionalFormatting>
  <conditionalFormatting sqref="H22:K22">
    <cfRule type="cellIs" dxfId="0" priority="4" operator="equal">
      <formula>FALSE</formula>
    </cfRule>
  </conditionalFormatting>
  <printOptions horizontalCentered="1"/>
  <pageMargins left="0.683070866" right="0.196850393700787" top="0.761811024" bottom="0.73622047199999996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Thống kê sl vụ việc</vt:lpstr>
      <vt:lpstr>Thống kê sl vụ án</vt:lpstr>
      <vt:lpstr>'Thống kê sl vụ án'!Print_Titles</vt:lpstr>
      <vt:lpstr>'Thống kê sl vụ việc'!Print_Titles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2026-04-08T04:35:55Z</cp:lastPrinted>
  <dcterms:created xsi:type="dcterms:W3CDTF">2022-06-02T10:06:54Z</dcterms:created>
  <dcterms:modified xsi:type="dcterms:W3CDTF">2026-09-20T09:19:30Z</dcterms:modified>
</cp:coreProperties>
</file>