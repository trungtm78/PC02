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2DC20EC-9CBC-4E87-BD76-6E38B00EB8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ống kê sl vụ việc" sheetId="6" r:id="rId1"/>
  </sheets>
  <definedNames>
    <definedName name="_xlnm.Print_Titles" localSheetId="0">'Thống kê sl vụ việc'!$5:$5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6" l="1"/>
  <c r="G10" i="6"/>
  <c r="H21" i="6" l="1"/>
  <c r="G21" i="6"/>
  <c r="G28" i="6"/>
</calcChain>
</file>

<file path=xl/sharedStrings.xml><?xml version="1.0" encoding="utf-8"?>
<sst xmlns="http://schemas.openxmlformats.org/spreadsheetml/2006/main" count="74" uniqueCount="66">
  <si>
    <t>Danh mục thống kê</t>
  </si>
  <si>
    <t>Tổng số</t>
  </si>
  <si>
    <t>Ghi chú</t>
  </si>
  <si>
    <t>Căn cứ tạm đình chỉ khác</t>
  </si>
  <si>
    <t>Quyết định khởi tố VAHS</t>
  </si>
  <si>
    <t>Quyết định không khởi tố VAHS</t>
  </si>
  <si>
    <t xml:space="preserve">Tạm đình chỉ vụ việc được phục hồi </t>
  </si>
  <si>
    <t>Đang xác minh vụ việc được phục hồi</t>
  </si>
  <si>
    <t xml:space="preserve"> </t>
  </si>
  <si>
    <t>CÁN BỘ THỐNG KÊ</t>
  </si>
  <si>
    <t>(Ký, ghi rõ họ tên)</t>
  </si>
  <si>
    <t>Chuyển Cơ quan điều tra khác</t>
  </si>
  <si>
    <t>………., ngày …... tháng …...năm ……</t>
  </si>
  <si>
    <t xml:space="preserve">Mốc thời gian:  từ ngày                  đến ngày     </t>
  </si>
  <si>
    <t>Kiểm tra số liệu của toàn tỉnh</t>
  </si>
  <si>
    <t>STT</t>
  </si>
  <si>
    <t>2.1</t>
  </si>
  <si>
    <t>2.2</t>
  </si>
  <si>
    <t>2.3</t>
  </si>
  <si>
    <t>2.4</t>
  </si>
  <si>
    <t>Số ra QĐ phục hồi trong kỳ thống kê</t>
  </si>
  <si>
    <t>Số ra QĐ không khởi tố do hết thời hiệu truy cứu TNHS</t>
  </si>
  <si>
    <t>Số vụ việc TĐC, TDGQ đầu kỳ</t>
  </si>
  <si>
    <t>2.5</t>
  </si>
  <si>
    <t>(Phụ lục số 07)</t>
  </si>
  <si>
    <t>3.3.1</t>
  </si>
  <si>
    <t>3.3.2</t>
  </si>
  <si>
    <t>3.3.3</t>
  </si>
  <si>
    <t>3.3.4</t>
  </si>
  <si>
    <t>3.3.5</t>
  </si>
  <si>
    <r>
      <t xml:space="preserve">Kết quả giải quyết
</t>
    </r>
    <r>
      <rPr>
        <sz val="10"/>
        <rFont val="Times New Roman"/>
        <family val="1"/>
      </rPr>
      <t>(3.3= 3+ 3.1+ 3.2)
(3.3= 3.3.1 + 3.3.2+ 3.3.3+ 3.3.4+ 3.3.5)</t>
    </r>
  </si>
  <si>
    <t>KT 3.3= 3.3.1+ 3.3.2+…</t>
  </si>
  <si>
    <t>KT 3.3= 3+ 3.1+ 3.2</t>
  </si>
  <si>
    <t>KT 5= 1+2-3-4</t>
  </si>
  <si>
    <t>Giải quyết vụ việc TDGQ, TĐC phục hồi</t>
  </si>
  <si>
    <t>Cơ quan điều tra khác chuyển đến các vụ việc phục hồi giải quyết</t>
  </si>
  <si>
    <t>Trong đó, số vụ "Công nghệ cao"</t>
  </si>
  <si>
    <t>Số vụ việc TĐC, TDGQ cuối kỳ
(5= 1+2-3-4)</t>
  </si>
  <si>
    <t>Trong đó, số hồ sơ đã rà soát, kiểm danh, kiểm diện</t>
  </si>
  <si>
    <t>Trong đó, số tạm dừng giải quyết</t>
  </si>
  <si>
    <t>Trong đó, số hết thời hiệu</t>
  </si>
  <si>
    <t>Trong đó, số hết thời hiệu chưa giải quyết</t>
  </si>
  <si>
    <t>5.7.1</t>
  </si>
  <si>
    <t>5.7.2</t>
  </si>
  <si>
    <t>5.7.3</t>
  </si>
  <si>
    <t>5.7.4</t>
  </si>
  <si>
    <t>Trong đó, số vụ bảo đảm thực hiện biện pháp, tiến độ khắc phục lý do TĐC theo báo cáo, kế hoạch</t>
  </si>
  <si>
    <t>THỐNG KÊ SỐ LIỆU VỤ VIỆC TẠM ĐÌNH CHỈ</t>
  </si>
  <si>
    <t>Số đang điều tra vụ việc được phục hồi kỳ trước chuyển sang 
(mục 3.3.4 của kỳ trước)</t>
  </si>
  <si>
    <t>Trong đó, số vụ có biên bản trao đổi với VKS, có báo cáo, kế hoạch khắc phục lý do TĐC (số vụ đã kiểm tra, đánh giá)</t>
  </si>
  <si>
    <t>2.6</t>
  </si>
  <si>
    <t>Do chưa có kết quả trưng cầu giám định</t>
  </si>
  <si>
    <t>Do chưa có kết quả yêu cầu định giá tài sản</t>
  </si>
  <si>
    <t>Do chưa có kết quả yêu cầu nước ngoài tương trợ tư pháp</t>
  </si>
  <si>
    <t>Do bất khả kháng do thiên tai, dịch bệnh</t>
  </si>
  <si>
    <t>Đã yêu cầu cơ quan, tổ chức, cá nhân cung cấp tài liệu, đồ vật quan trọng có ý nghĩa quyết định đối với vụ việc nhưng chưa có kết quả</t>
  </si>
  <si>
    <t>5.7.5</t>
  </si>
  <si>
    <t>5.7.6</t>
  </si>
  <si>
    <t>KT 2= 2.1+ 2.2+ 2.3+ 2.4+ 2.5+ 2.6</t>
  </si>
  <si>
    <t>KT 5.7= 5= 5.7.1+ 5.7.2+ 5.7.3+ 5.7.4+ 5.7.5+ 5.7.6</t>
  </si>
  <si>
    <r>
      <t xml:space="preserve">Số ra QĐ tạm đình chỉ trong kỳ </t>
    </r>
    <r>
      <rPr>
        <sz val="11"/>
        <rFont val="Times New Roman"/>
        <family val="1"/>
      </rPr>
      <t>(gồm cả tạm đình chỉ vụ việc được phục hồi; 2= 2.1+ 2.2+ 2.3+ 2.4+ 2.5+ 2.6)</t>
    </r>
  </si>
  <si>
    <t>Trong đó lý do tạm đình chỉ
(5.7= 5= 5.7.1+ 5.7.2+ 5.7.3+ 5.7.4+ 5.7.5+ 5.7.6)</t>
  </si>
  <si>
    <t>KT. TRƯỞNG PHÒNG</t>
  </si>
  <si>
    <t>PHÓ TRƯỞNG PHÒNG</t>
  </si>
  <si>
    <t>PC02</t>
  </si>
  <si>
    <t>CÔNG AN TPHCM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</si>
</sst>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163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3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3"/>
      <name val="Times New Roman"/>
      <family val="1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sz val="9"/>
      <color theme="1"/>
      <name val="Times New Roman"/>
      <family val="1"/>
      <charset val="163"/>
    </font>
    <font>
      <sz val="1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4" fillId="0" borderId="0" xfId="0" applyFont="1"/>
    <xf numFmtId="0" fontId="13" fillId="0" borderId="0" xfId="0" applyFont="1"/>
    <xf numFmtId="0" fontId="11" fillId="0" borderId="0" xfId="0" quotePrefix="1" applyFont="1" applyAlignment="1">
      <alignment horizontal="left" vertical="center" wrapText="1"/>
    </xf>
    <xf numFmtId="0" fontId="12" fillId="0" borderId="6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/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0" xfId="0" applyFont="1"/>
    <xf numFmtId="0" fontId="21" fillId="2" borderId="0" xfId="0" applyFont="1" applyFill="1"/>
    <xf numFmtId="0" fontId="21" fillId="3" borderId="0" xfId="0" applyFont="1" applyFill="1"/>
    <xf numFmtId="0" fontId="6" fillId="0" borderId="0" xfId="0" applyFont="1" applyAlignment="1">
      <alignment vertical="center" wrapText="1"/>
    </xf>
    <xf numFmtId="0" fontId="15" fillId="0" borderId="0" xfId="0" applyFont="1" applyAlignment="1">
      <alignment vertical="top" wrapText="1"/>
    </xf>
    <xf numFmtId="0" fontId="18" fillId="0" borderId="0" xfId="0" applyFont="1"/>
    <xf numFmtId="0" fontId="16" fillId="0" borderId="0" xfId="0" applyFont="1"/>
    <xf numFmtId="0" fontId="19" fillId="0" borderId="2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0" xfId="0" quotePrefix="1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Zeros="0" tabSelected="1" zoomScale="80" zoomScaleNormal="80" workbookViewId="0">
      <selection activeCell="J13" sqref="J13"/>
    </sheetView>
  </sheetViews>
  <sheetFormatPr defaultRowHeight="15" x14ac:dyDescent="0.25"/>
  <cols>
    <col min="1" max="1" width="6.42578125" customWidth="1"/>
    <col min="2" max="2" width="28.7109375" customWidth="1"/>
    <col min="3" max="3" width="31.42578125" customWidth="1"/>
    <col min="4" max="4" width="10.7109375" customWidth="1"/>
    <col min="5" max="5" width="11.42578125" customWidth="1"/>
    <col min="6" max="6" width="6.28515625" customWidth="1"/>
    <col min="7" max="7" width="11.140625" customWidth="1"/>
    <col min="8" max="8" width="10.7109375" customWidth="1"/>
  </cols>
  <sheetData>
    <row r="1" spans="1:8" ht="27" customHeight="1" x14ac:dyDescent="0.25">
      <c r="A1" s="52" t="s">
        <v>65</v>
      </c>
      <c r="B1" s="34"/>
      <c r="C1" s="34" t="s">
        <v>47</v>
      </c>
      <c r="D1" s="34"/>
      <c r="E1" s="34"/>
      <c r="F1" s="23"/>
      <c r="G1" s="1"/>
      <c r="H1" s="1"/>
    </row>
    <row r="2" spans="1:8" ht="16.5" x14ac:dyDescent="0.25">
      <c r="A2" s="34" t="s">
        <v>64</v>
      </c>
      <c r="B2" s="34"/>
      <c r="C2" s="34"/>
      <c r="D2" s="34"/>
      <c r="E2" s="34"/>
      <c r="F2" s="23"/>
      <c r="G2" s="1"/>
      <c r="H2" s="1"/>
    </row>
    <row r="3" spans="1:8" ht="21.75" customHeight="1" x14ac:dyDescent="0.25">
      <c r="A3" s="2"/>
      <c r="B3" s="2"/>
      <c r="C3" s="35" t="s">
        <v>13</v>
      </c>
      <c r="D3" s="35"/>
      <c r="E3" s="35"/>
      <c r="F3" s="24"/>
      <c r="G3" s="3"/>
      <c r="H3" s="3"/>
    </row>
    <row r="4" spans="1:8" ht="14.25" customHeight="1" x14ac:dyDescent="0.25">
      <c r="A4" s="4"/>
      <c r="B4" s="4"/>
      <c r="C4" s="4"/>
      <c r="D4" s="44" t="s">
        <v>24</v>
      </c>
      <c r="E4" s="44"/>
      <c r="F4" s="5"/>
      <c r="G4" s="42" t="s">
        <v>14</v>
      </c>
      <c r="H4" s="42"/>
    </row>
    <row r="5" spans="1:8" x14ac:dyDescent="0.25">
      <c r="A5" s="6" t="s">
        <v>15</v>
      </c>
      <c r="B5" s="45" t="s">
        <v>0</v>
      </c>
      <c r="C5" s="46"/>
      <c r="D5" s="6" t="s">
        <v>1</v>
      </c>
      <c r="E5" s="6" t="s">
        <v>2</v>
      </c>
    </row>
    <row r="6" spans="1:8" ht="15" customHeight="1" x14ac:dyDescent="0.25">
      <c r="A6" s="6">
        <v>1</v>
      </c>
      <c r="B6" s="38" t="s">
        <v>22</v>
      </c>
      <c r="C6" s="39"/>
      <c r="D6" s="9"/>
      <c r="E6" s="7"/>
    </row>
    <row r="7" spans="1:8" x14ac:dyDescent="0.25">
      <c r="A7" s="19">
        <v>1.1000000000000001</v>
      </c>
      <c r="B7" s="27" t="s">
        <v>36</v>
      </c>
      <c r="C7" s="28"/>
      <c r="D7" s="9"/>
      <c r="E7" s="7"/>
    </row>
    <row r="8" spans="1:8" ht="23.25" customHeight="1" x14ac:dyDescent="0.25">
      <c r="A8" s="19">
        <v>1.2</v>
      </c>
      <c r="B8" s="27" t="s">
        <v>39</v>
      </c>
      <c r="C8" s="31"/>
      <c r="D8" s="9"/>
      <c r="E8" s="7"/>
    </row>
    <row r="9" spans="1:8" ht="15" customHeight="1" x14ac:dyDescent="0.25">
      <c r="A9" s="19">
        <v>1.3</v>
      </c>
      <c r="B9" s="27" t="s">
        <v>40</v>
      </c>
      <c r="C9" s="31"/>
      <c r="D9" s="9"/>
      <c r="E9" s="7"/>
      <c r="G9" s="20" t="s">
        <v>58</v>
      </c>
      <c r="H9" s="20"/>
    </row>
    <row r="10" spans="1:8" ht="35.25" customHeight="1" x14ac:dyDescent="0.25">
      <c r="A10" s="6">
        <v>2</v>
      </c>
      <c r="B10" s="38" t="s">
        <v>60</v>
      </c>
      <c r="C10" s="39"/>
      <c r="D10" s="9"/>
      <c r="E10" s="7"/>
      <c r="G10" s="21" t="b">
        <f>IF(D10=D11+D12+D13+D14+D15+D16,TRUE,FALSE)</f>
        <v>1</v>
      </c>
      <c r="H10" s="20"/>
    </row>
    <row r="11" spans="1:8" x14ac:dyDescent="0.25">
      <c r="A11" s="19" t="s">
        <v>16</v>
      </c>
      <c r="B11" s="32" t="s">
        <v>51</v>
      </c>
      <c r="C11" s="32"/>
      <c r="D11" s="9"/>
      <c r="E11" s="7"/>
      <c r="H11" s="20"/>
    </row>
    <row r="12" spans="1:8" x14ac:dyDescent="0.25">
      <c r="A12" s="19" t="s">
        <v>17</v>
      </c>
      <c r="B12" s="32" t="s">
        <v>52</v>
      </c>
      <c r="C12" s="32"/>
      <c r="D12" s="9"/>
      <c r="E12" s="7"/>
      <c r="H12" s="20"/>
    </row>
    <row r="13" spans="1:8" x14ac:dyDescent="0.25">
      <c r="A13" s="19" t="s">
        <v>18</v>
      </c>
      <c r="B13" s="32" t="s">
        <v>53</v>
      </c>
      <c r="C13" s="32"/>
      <c r="D13" s="9"/>
      <c r="E13" s="7"/>
      <c r="H13" s="20"/>
    </row>
    <row r="14" spans="1:8" ht="30.75" customHeight="1" x14ac:dyDescent="0.25">
      <c r="A14" s="19" t="s">
        <v>19</v>
      </c>
      <c r="B14" s="33" t="s">
        <v>55</v>
      </c>
      <c r="C14" s="33"/>
      <c r="D14" s="9"/>
      <c r="E14" s="7"/>
      <c r="H14" s="20"/>
    </row>
    <row r="15" spans="1:8" x14ac:dyDescent="0.25">
      <c r="A15" s="19" t="s">
        <v>23</v>
      </c>
      <c r="B15" s="32" t="s">
        <v>54</v>
      </c>
      <c r="C15" s="32"/>
      <c r="D15" s="9"/>
      <c r="E15" s="7"/>
      <c r="H15" s="20"/>
    </row>
    <row r="16" spans="1:8" x14ac:dyDescent="0.25">
      <c r="A16" s="19" t="s">
        <v>50</v>
      </c>
      <c r="B16" s="32" t="s">
        <v>3</v>
      </c>
      <c r="C16" s="32"/>
      <c r="D16" s="9"/>
      <c r="E16" s="7"/>
      <c r="H16" s="20"/>
    </row>
    <row r="17" spans="1:8" ht="15" customHeight="1" x14ac:dyDescent="0.25">
      <c r="A17" s="6">
        <v>3</v>
      </c>
      <c r="B17" s="38" t="s">
        <v>20</v>
      </c>
      <c r="C17" s="39"/>
      <c r="D17" s="9"/>
      <c r="E17" s="7"/>
      <c r="G17" s="20"/>
      <c r="H17" s="20"/>
    </row>
    <row r="18" spans="1:8" ht="19.5" customHeight="1" x14ac:dyDescent="0.25">
      <c r="A18" s="6"/>
      <c r="B18" s="47" t="s">
        <v>34</v>
      </c>
      <c r="C18" s="48"/>
      <c r="D18" s="13"/>
      <c r="E18" s="7"/>
      <c r="G18" s="20"/>
      <c r="H18" s="20"/>
    </row>
    <row r="19" spans="1:8" ht="39.75" customHeight="1" x14ac:dyDescent="0.25">
      <c r="A19" s="19">
        <v>3.1</v>
      </c>
      <c r="B19" s="36" t="s">
        <v>48</v>
      </c>
      <c r="C19" s="37"/>
      <c r="D19" s="9"/>
      <c r="E19" s="7"/>
      <c r="G19" s="20"/>
      <c r="H19" s="20"/>
    </row>
    <row r="20" spans="1:8" ht="15" customHeight="1" x14ac:dyDescent="0.25">
      <c r="A20" s="19">
        <v>3.2</v>
      </c>
      <c r="B20" s="36" t="s">
        <v>35</v>
      </c>
      <c r="C20" s="37"/>
      <c r="D20" s="9"/>
      <c r="E20" s="7"/>
      <c r="G20" s="20" t="s">
        <v>31</v>
      </c>
      <c r="H20" s="20" t="s">
        <v>32</v>
      </c>
    </row>
    <row r="21" spans="1:8" ht="43.5" customHeight="1" x14ac:dyDescent="0.25">
      <c r="A21" s="19">
        <v>3.3</v>
      </c>
      <c r="B21" s="38" t="s">
        <v>30</v>
      </c>
      <c r="C21" s="39"/>
      <c r="D21" s="9"/>
      <c r="E21" s="7"/>
      <c r="G21" s="21" t="b">
        <f>IF(D21=D22+D23+D24+D25+D26,TRUE,FALSE)</f>
        <v>1</v>
      </c>
      <c r="H21" s="22" t="b">
        <f>IF(D21=D17+D19+D20,TRUE,FALSE)</f>
        <v>1</v>
      </c>
    </row>
    <row r="22" spans="1:8" ht="15" customHeight="1" x14ac:dyDescent="0.25">
      <c r="A22" s="19" t="s">
        <v>25</v>
      </c>
      <c r="B22" s="40" t="s">
        <v>4</v>
      </c>
      <c r="C22" s="41"/>
      <c r="D22" s="9"/>
      <c r="E22" s="7"/>
      <c r="G22" s="20"/>
      <c r="H22" s="20"/>
    </row>
    <row r="23" spans="1:8" ht="15" customHeight="1" x14ac:dyDescent="0.25">
      <c r="A23" s="19" t="s">
        <v>26</v>
      </c>
      <c r="B23" s="40" t="s">
        <v>5</v>
      </c>
      <c r="C23" s="41"/>
      <c r="D23" s="9"/>
      <c r="E23" s="7"/>
      <c r="G23" s="20"/>
      <c r="H23" s="20"/>
    </row>
    <row r="24" spans="1:8" ht="15" customHeight="1" x14ac:dyDescent="0.25">
      <c r="A24" s="19" t="s">
        <v>27</v>
      </c>
      <c r="B24" s="40" t="s">
        <v>6</v>
      </c>
      <c r="C24" s="41"/>
      <c r="D24" s="9"/>
      <c r="E24" s="7"/>
      <c r="G24" s="20"/>
      <c r="H24" s="20"/>
    </row>
    <row r="25" spans="1:8" ht="15" customHeight="1" x14ac:dyDescent="0.25">
      <c r="A25" s="19" t="s">
        <v>28</v>
      </c>
      <c r="B25" s="40" t="s">
        <v>7</v>
      </c>
      <c r="C25" s="41"/>
      <c r="D25" s="9"/>
      <c r="E25" s="7"/>
      <c r="G25" s="20"/>
      <c r="H25" s="20"/>
    </row>
    <row r="26" spans="1:8" ht="15" customHeight="1" x14ac:dyDescent="0.25">
      <c r="A26" s="19" t="s">
        <v>29</v>
      </c>
      <c r="B26" s="40" t="s">
        <v>11</v>
      </c>
      <c r="C26" s="41"/>
      <c r="D26" s="9"/>
      <c r="E26" s="7"/>
      <c r="G26" s="20"/>
      <c r="H26" s="20"/>
    </row>
    <row r="27" spans="1:8" ht="15" customHeight="1" x14ac:dyDescent="0.25">
      <c r="A27" s="6">
        <v>4</v>
      </c>
      <c r="B27" s="29" t="s">
        <v>21</v>
      </c>
      <c r="C27" s="30"/>
      <c r="D27" s="9"/>
      <c r="E27" s="7"/>
      <c r="G27" s="20" t="s">
        <v>33</v>
      </c>
      <c r="H27" s="20"/>
    </row>
    <row r="28" spans="1:8" ht="33" customHeight="1" x14ac:dyDescent="0.25">
      <c r="A28" s="6">
        <v>5</v>
      </c>
      <c r="B28" s="29" t="s">
        <v>37</v>
      </c>
      <c r="C28" s="30"/>
      <c r="D28" s="9"/>
      <c r="E28" s="7"/>
      <c r="G28" s="21" t="b">
        <f>IF(D28=D6+D10-D17-D27,TRUE,FALSE)</f>
        <v>1</v>
      </c>
      <c r="H28" s="20"/>
    </row>
    <row r="29" spans="1:8" x14ac:dyDescent="0.25">
      <c r="A29" s="19">
        <v>5.0999999999999996</v>
      </c>
      <c r="B29" s="27" t="s">
        <v>36</v>
      </c>
      <c r="C29" s="28"/>
      <c r="D29" s="9"/>
      <c r="E29" s="7"/>
      <c r="H29" s="20"/>
    </row>
    <row r="30" spans="1:8" ht="15" customHeight="1" x14ac:dyDescent="0.25">
      <c r="A30" s="19">
        <v>5.2</v>
      </c>
      <c r="B30" s="27" t="s">
        <v>39</v>
      </c>
      <c r="C30" s="31"/>
      <c r="D30" s="9"/>
      <c r="E30" s="7"/>
      <c r="G30" s="20"/>
      <c r="H30" s="20"/>
    </row>
    <row r="31" spans="1:8" ht="15" customHeight="1" x14ac:dyDescent="0.25">
      <c r="A31" s="19">
        <v>5.3</v>
      </c>
      <c r="B31" s="27" t="s">
        <v>41</v>
      </c>
      <c r="C31" s="31"/>
      <c r="D31" s="9"/>
      <c r="E31" s="7"/>
      <c r="H31" s="20"/>
    </row>
    <row r="32" spans="1:8" ht="15" customHeight="1" x14ac:dyDescent="0.25">
      <c r="A32" s="19">
        <v>5.4</v>
      </c>
      <c r="B32" s="27" t="s">
        <v>38</v>
      </c>
      <c r="C32" s="28"/>
      <c r="D32" s="9"/>
      <c r="E32" s="7"/>
      <c r="G32" s="20"/>
      <c r="H32" s="20"/>
    </row>
    <row r="33" spans="1:8" ht="32.25" customHeight="1" x14ac:dyDescent="0.25">
      <c r="A33" s="19">
        <v>5.5</v>
      </c>
      <c r="B33" s="27" t="s">
        <v>49</v>
      </c>
      <c r="C33" s="28"/>
      <c r="D33" s="9"/>
      <c r="E33" s="7"/>
      <c r="G33" s="20"/>
      <c r="H33" s="20"/>
    </row>
    <row r="34" spans="1:8" ht="33" customHeight="1" x14ac:dyDescent="0.25">
      <c r="A34" s="19">
        <v>5.6</v>
      </c>
      <c r="B34" s="27" t="s">
        <v>46</v>
      </c>
      <c r="C34" s="28"/>
      <c r="D34" s="9"/>
      <c r="E34" s="7"/>
      <c r="G34" s="20" t="s">
        <v>59</v>
      </c>
      <c r="H34" s="20"/>
    </row>
    <row r="35" spans="1:8" ht="30.75" customHeight="1" x14ac:dyDescent="0.25">
      <c r="A35" s="19">
        <v>5.7</v>
      </c>
      <c r="B35" s="40" t="s">
        <v>61</v>
      </c>
      <c r="C35" s="41"/>
      <c r="D35" s="9"/>
      <c r="E35" s="7"/>
      <c r="G35" s="21" t="b">
        <f>IF(D35=D36+D37+D38+D39+D40+D41,TRUE,FALSE)</f>
        <v>1</v>
      </c>
      <c r="H35" s="20"/>
    </row>
    <row r="36" spans="1:8" x14ac:dyDescent="0.25">
      <c r="A36" s="19" t="s">
        <v>42</v>
      </c>
      <c r="B36" s="32" t="s">
        <v>51</v>
      </c>
      <c r="C36" s="32"/>
      <c r="D36" s="9"/>
      <c r="E36" s="7"/>
      <c r="G36" s="20"/>
      <c r="H36" s="20"/>
    </row>
    <row r="37" spans="1:8" x14ac:dyDescent="0.25">
      <c r="A37" s="19" t="s">
        <v>43</v>
      </c>
      <c r="B37" s="32" t="s">
        <v>52</v>
      </c>
      <c r="C37" s="32"/>
      <c r="D37" s="9"/>
      <c r="E37" s="7"/>
      <c r="G37" s="20"/>
      <c r="H37" s="20"/>
    </row>
    <row r="38" spans="1:8" x14ac:dyDescent="0.25">
      <c r="A38" s="19" t="s">
        <v>44</v>
      </c>
      <c r="B38" s="32" t="s">
        <v>53</v>
      </c>
      <c r="C38" s="32"/>
      <c r="D38" s="9"/>
      <c r="E38" s="7"/>
      <c r="G38" s="20"/>
      <c r="H38" s="20"/>
    </row>
    <row r="39" spans="1:8" ht="29.25" customHeight="1" x14ac:dyDescent="0.25">
      <c r="A39" s="19" t="s">
        <v>45</v>
      </c>
      <c r="B39" s="33" t="s">
        <v>55</v>
      </c>
      <c r="C39" s="33"/>
      <c r="D39" s="9"/>
      <c r="E39" s="7"/>
      <c r="G39" s="20"/>
      <c r="H39" s="20"/>
    </row>
    <row r="40" spans="1:8" x14ac:dyDescent="0.25">
      <c r="A40" s="19" t="s">
        <v>56</v>
      </c>
      <c r="B40" s="32" t="s">
        <v>54</v>
      </c>
      <c r="C40" s="32"/>
      <c r="D40" s="9"/>
      <c r="E40" s="7"/>
      <c r="G40" s="20"/>
      <c r="H40" s="20"/>
    </row>
    <row r="41" spans="1:8" x14ac:dyDescent="0.25">
      <c r="A41" s="19" t="s">
        <v>57</v>
      </c>
      <c r="B41" s="32" t="s">
        <v>3</v>
      </c>
      <c r="C41" s="32"/>
      <c r="D41" s="9"/>
      <c r="E41" s="7"/>
      <c r="G41" s="20"/>
      <c r="H41" s="20"/>
    </row>
    <row r="43" spans="1:8" ht="15" customHeight="1" x14ac:dyDescent="0.3">
      <c r="A43" s="8" t="s">
        <v>8</v>
      </c>
      <c r="B43" s="16"/>
      <c r="C43" s="49" t="s">
        <v>12</v>
      </c>
      <c r="D43" s="49"/>
      <c r="E43" s="49"/>
      <c r="F43" s="25"/>
      <c r="G43" s="10"/>
    </row>
    <row r="44" spans="1:8" ht="15" customHeight="1" x14ac:dyDescent="0.25">
      <c r="A44" s="14"/>
      <c r="B44" s="17" t="s">
        <v>9</v>
      </c>
      <c r="C44" s="50" t="s">
        <v>62</v>
      </c>
      <c r="D44" s="50"/>
      <c r="E44" s="50"/>
      <c r="F44" s="26"/>
      <c r="G44" s="11"/>
    </row>
    <row r="45" spans="1:8" ht="15" customHeight="1" x14ac:dyDescent="0.25">
      <c r="A45" s="14"/>
      <c r="B45" s="16" t="s">
        <v>10</v>
      </c>
      <c r="C45" s="51" t="s">
        <v>63</v>
      </c>
      <c r="D45" s="51"/>
      <c r="E45" s="51"/>
      <c r="F45" s="18"/>
      <c r="G45" s="15"/>
    </row>
    <row r="46" spans="1:8" ht="16.5" customHeight="1" x14ac:dyDescent="0.25">
      <c r="A46" s="43"/>
      <c r="B46" s="43"/>
      <c r="C46" s="43"/>
      <c r="D46" s="43"/>
    </row>
    <row r="47" spans="1:8" ht="16.5" customHeight="1" x14ac:dyDescent="0.25">
      <c r="A47" s="12"/>
      <c r="B47" s="12"/>
      <c r="C47" s="12"/>
      <c r="D47" s="12"/>
    </row>
    <row r="48" spans="1:8" ht="16.5" customHeight="1" x14ac:dyDescent="0.25">
      <c r="A48" s="12"/>
      <c r="B48" s="12"/>
      <c r="C48" s="12"/>
      <c r="D48" s="12"/>
    </row>
    <row r="49" spans="1:4" ht="16.5" customHeight="1" x14ac:dyDescent="0.25">
      <c r="A49" s="12"/>
      <c r="B49" s="12"/>
      <c r="C49" s="12"/>
      <c r="D49" s="12"/>
    </row>
    <row r="50" spans="1:4" ht="16.5" customHeight="1" x14ac:dyDescent="0.25">
      <c r="A50" s="12"/>
      <c r="B50" s="12"/>
      <c r="C50" s="12"/>
      <c r="D50" s="12"/>
    </row>
    <row r="51" spans="1:4" ht="16.5" customHeight="1" x14ac:dyDescent="0.25">
      <c r="A51" s="12"/>
      <c r="B51" s="12"/>
      <c r="C51" s="12"/>
      <c r="D51" s="12"/>
    </row>
    <row r="52" spans="1:4" ht="16.5" customHeight="1" x14ac:dyDescent="0.25">
      <c r="A52" s="12"/>
      <c r="B52" s="12"/>
      <c r="C52" s="12"/>
      <c r="D52" s="12"/>
    </row>
    <row r="53" spans="1:4" ht="16.5" customHeight="1" x14ac:dyDescent="0.25">
      <c r="A53" s="12"/>
      <c r="B53" s="12"/>
      <c r="C53" s="12"/>
      <c r="D53" s="12"/>
    </row>
    <row r="54" spans="1:4" ht="16.5" customHeight="1" x14ac:dyDescent="0.25">
      <c r="A54" s="12"/>
      <c r="B54" s="12"/>
      <c r="C54" s="12"/>
      <c r="D54" s="12"/>
    </row>
    <row r="55" spans="1:4" ht="16.5" customHeight="1" x14ac:dyDescent="0.25">
      <c r="A55" s="12"/>
      <c r="B55" s="12"/>
      <c r="C55" s="12"/>
      <c r="D55" s="12"/>
    </row>
    <row r="56" spans="1:4" ht="16.5" customHeight="1" x14ac:dyDescent="0.25">
      <c r="A56" s="12"/>
      <c r="B56" s="12"/>
      <c r="C56" s="12"/>
      <c r="D56" s="12"/>
    </row>
    <row r="57" spans="1:4" ht="16.5" customHeight="1" x14ac:dyDescent="0.25">
      <c r="A57" s="12"/>
      <c r="B57" s="12"/>
      <c r="C57" s="12"/>
      <c r="D57" s="12"/>
    </row>
    <row r="58" spans="1:4" ht="16.5" customHeight="1" x14ac:dyDescent="0.25">
      <c r="A58" s="12"/>
      <c r="B58" s="12"/>
      <c r="C58" s="12"/>
      <c r="D58" s="12"/>
    </row>
    <row r="59" spans="1:4" ht="16.5" customHeight="1" x14ac:dyDescent="0.25">
      <c r="A59" s="12"/>
      <c r="B59" s="12"/>
      <c r="C59" s="12"/>
      <c r="D59" s="12"/>
    </row>
    <row r="60" spans="1:4" ht="16.5" customHeight="1" x14ac:dyDescent="0.25">
      <c r="A60" s="12"/>
      <c r="B60" s="12"/>
      <c r="C60" s="12"/>
      <c r="D60" s="12"/>
    </row>
    <row r="61" spans="1:4" ht="16.5" customHeight="1" x14ac:dyDescent="0.25">
      <c r="A61" s="12"/>
      <c r="B61" s="12"/>
      <c r="C61" s="12"/>
      <c r="D61" s="12"/>
    </row>
    <row r="62" spans="1:4" ht="16.5" customHeight="1" x14ac:dyDescent="0.25">
      <c r="A62" s="12"/>
      <c r="B62" s="12"/>
      <c r="C62" s="12"/>
      <c r="D62" s="12"/>
    </row>
    <row r="63" spans="1:4" ht="16.5" customHeight="1" x14ac:dyDescent="0.25">
      <c r="A63" s="12"/>
      <c r="B63" s="12"/>
      <c r="C63" s="12"/>
      <c r="D63" s="12"/>
    </row>
  </sheetData>
  <mergeCells count="47">
    <mergeCell ref="B41:C41"/>
    <mergeCell ref="B36:C36"/>
    <mergeCell ref="B37:C37"/>
    <mergeCell ref="B38:C38"/>
    <mergeCell ref="B39:C39"/>
    <mergeCell ref="B40:C40"/>
    <mergeCell ref="G4:H4"/>
    <mergeCell ref="A46:D46"/>
    <mergeCell ref="D4:E4"/>
    <mergeCell ref="B5:C5"/>
    <mergeCell ref="B26:C26"/>
    <mergeCell ref="B6:C6"/>
    <mergeCell ref="B8:C8"/>
    <mergeCell ref="B9:C9"/>
    <mergeCell ref="B10:C10"/>
    <mergeCell ref="B19:C19"/>
    <mergeCell ref="B18:C18"/>
    <mergeCell ref="B17:C17"/>
    <mergeCell ref="C43:E43"/>
    <mergeCell ref="C44:E44"/>
    <mergeCell ref="C45:E45"/>
    <mergeCell ref="B35:C35"/>
    <mergeCell ref="A1:B1"/>
    <mergeCell ref="C3:E3"/>
    <mergeCell ref="B20:C20"/>
    <mergeCell ref="B27:C27"/>
    <mergeCell ref="B21:C21"/>
    <mergeCell ref="B22:C22"/>
    <mergeCell ref="B23:C23"/>
    <mergeCell ref="B24:C24"/>
    <mergeCell ref="B25:C25"/>
    <mergeCell ref="A2:B2"/>
    <mergeCell ref="C1:E2"/>
    <mergeCell ref="B32:C32"/>
    <mergeCell ref="B33:C33"/>
    <mergeCell ref="B34:C34"/>
    <mergeCell ref="B7:C7"/>
    <mergeCell ref="B29:C29"/>
    <mergeCell ref="B28:C28"/>
    <mergeCell ref="B30:C30"/>
    <mergeCell ref="B31:C31"/>
    <mergeCell ref="B11:C11"/>
    <mergeCell ref="B12:C12"/>
    <mergeCell ref="B13:C13"/>
    <mergeCell ref="B14:C14"/>
    <mergeCell ref="B15:C15"/>
    <mergeCell ref="B16:C16"/>
  </mergeCells>
  <conditionalFormatting sqref="G10">
    <cfRule type="cellIs" dxfId="3" priority="8" operator="equal">
      <formula>FALSE</formula>
    </cfRule>
  </conditionalFormatting>
  <conditionalFormatting sqref="G28">
    <cfRule type="cellIs" dxfId="2" priority="4" operator="equal">
      <formula>FALSE</formula>
    </cfRule>
  </conditionalFormatting>
  <conditionalFormatting sqref="G35">
    <cfRule type="cellIs" dxfId="1" priority="1" operator="equal">
      <formula>FALSE</formula>
    </cfRule>
  </conditionalFormatting>
  <conditionalFormatting sqref="G21:H21">
    <cfRule type="cellIs" dxfId="0" priority="5" operator="equal">
      <formula>FALSE</formula>
    </cfRule>
  </conditionalFormatting>
  <printOptions horizontalCentered="1"/>
  <pageMargins left="0.87992126000000004" right="0.196850393700787" top="0.761811024" bottom="0.73622047199999996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sl vụ việc</vt:lpstr>
      <vt:lpstr>'Thống kê sl vụ việc'!Print_Titles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Nguyen Huy</cp:lastModifiedBy>
  <cp:lastPrinted>2025-02-05T18:34:01Z</cp:lastPrinted>
  <dcterms:created xsi:type="dcterms:W3CDTF">2022-06-02T10:06:54Z</dcterms:created>
  <dcterms:modified xsi:type="dcterms:W3CDTF">2025-07-28T06:43:13Z</dcterms:modified>
</cp:coreProperties>
</file>