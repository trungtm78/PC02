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Zenbook\Downloads\"/>
    </mc:Choice>
  </mc:AlternateContent>
  <xr:revisionPtr revIDLastSave="0" documentId="13_ncr:1_{8DFEDDB1-69F5-4136-9CE0-8B5660E8641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10" sheetId="12" r:id="rId1"/>
  </sheets>
  <definedNames>
    <definedName name="_xlnm.Print_Area" localSheetId="0">'A10'!$A$2:$U$29</definedName>
  </definedNames>
  <calcPr calcId="191029"/>
</workbook>
</file>

<file path=xl/calcChain.xml><?xml version="1.0" encoding="utf-8"?>
<calcChain xmlns="http://schemas.openxmlformats.org/spreadsheetml/2006/main">
  <c r="U20" i="12" l="1"/>
  <c r="T20" i="12"/>
  <c r="S20" i="12"/>
  <c r="R20" i="12"/>
  <c r="R18" i="12" s="1"/>
  <c r="Q20" i="12"/>
  <c r="P20" i="12"/>
  <c r="O20" i="12"/>
  <c r="N20" i="12"/>
  <c r="M20" i="12"/>
  <c r="L20" i="12"/>
  <c r="K20" i="12"/>
  <c r="J20" i="12"/>
  <c r="I20" i="12"/>
  <c r="H20" i="12"/>
  <c r="G20" i="12"/>
  <c r="G18" i="12" s="1"/>
  <c r="F20" i="12"/>
  <c r="E20" i="12"/>
  <c r="E18" i="12" s="1"/>
  <c r="D20" i="12"/>
  <c r="D18" i="12" s="1"/>
  <c r="U18" i="12"/>
  <c r="T18" i="12"/>
  <c r="S18" i="12"/>
  <c r="Q18" i="12"/>
  <c r="P18" i="12"/>
  <c r="O18" i="12"/>
  <c r="N18" i="12"/>
  <c r="M18" i="12"/>
  <c r="L18" i="12"/>
  <c r="K18" i="12"/>
  <c r="J18" i="12"/>
  <c r="I18" i="12"/>
  <c r="H18" i="12"/>
  <c r="F18" i="12"/>
  <c r="Y26" i="12" l="1"/>
  <c r="W26" i="12" s="1"/>
  <c r="X26" i="12"/>
  <c r="C26" i="12"/>
  <c r="Y25" i="12"/>
  <c r="X25" i="12"/>
  <c r="C25" i="12"/>
  <c r="Y24" i="12"/>
  <c r="X24" i="12"/>
  <c r="C24" i="12"/>
  <c r="Y23" i="12"/>
  <c r="X23" i="12"/>
  <c r="C23" i="12"/>
  <c r="Y22" i="12"/>
  <c r="X22" i="12"/>
  <c r="C22" i="12"/>
  <c r="Y21" i="12"/>
  <c r="X21" i="12"/>
  <c r="C21" i="12"/>
  <c r="Y20" i="12"/>
  <c r="X20" i="12"/>
  <c r="Y19" i="12"/>
  <c r="X19" i="12"/>
  <c r="C19" i="12"/>
  <c r="C17" i="12"/>
  <c r="C16" i="12"/>
  <c r="C15" i="12"/>
  <c r="C14" i="12"/>
  <c r="C13" i="12"/>
  <c r="C12" i="12"/>
  <c r="C11" i="12"/>
  <c r="C10" i="12"/>
  <c r="U9" i="12"/>
  <c r="T9" i="12"/>
  <c r="S9" i="12"/>
  <c r="R9" i="12"/>
  <c r="Q9" i="12"/>
  <c r="P9" i="12"/>
  <c r="O9" i="12"/>
  <c r="N9" i="12"/>
  <c r="M9" i="12"/>
  <c r="L9" i="12"/>
  <c r="K9" i="12"/>
  <c r="J9" i="12"/>
  <c r="I9" i="12"/>
  <c r="H9" i="12"/>
  <c r="G9" i="12"/>
  <c r="F9" i="12"/>
  <c r="E9" i="12"/>
  <c r="D9" i="12"/>
  <c r="W22" i="12" l="1"/>
  <c r="C18" i="12"/>
  <c r="W24" i="12"/>
  <c r="C20" i="12"/>
  <c r="W20" i="12"/>
  <c r="C32" i="12"/>
  <c r="W19" i="12"/>
  <c r="W23" i="12"/>
  <c r="W25" i="12"/>
  <c r="W21" i="12"/>
  <c r="C9" i="12"/>
  <c r="C31" i="12"/>
  <c r="C33" i="12" l="1"/>
</calcChain>
</file>

<file path=xl/sharedStrings.xml><?xml version="1.0" encoding="utf-8"?>
<sst xmlns="http://schemas.openxmlformats.org/spreadsheetml/2006/main" count="77" uniqueCount="73">
  <si>
    <t>STT</t>
  </si>
  <si>
    <t>DANH MỤC THỐNG KÊ</t>
  </si>
  <si>
    <t>Tổng số đối tượng (=4+…+10 = 11+…+15)</t>
  </si>
  <si>
    <t>Nghề nghiệp</t>
  </si>
  <si>
    <t>Nhóm tuổi</t>
  </si>
  <si>
    <t>Đối tượng có tiền án, tiền sự</t>
  </si>
  <si>
    <t>Đối tượng có sử dụng chất ma túy</t>
  </si>
  <si>
    <t>Đối tượng trong diện sưu tra</t>
  </si>
  <si>
    <t>Tiêu chí khác</t>
  </si>
  <si>
    <t>Công nhân</t>
  </si>
  <si>
    <t>Nông dân</t>
  </si>
  <si>
    <t>Học sinh, sinh viên</t>
  </si>
  <si>
    <t>Công chức, viên chức</t>
  </si>
  <si>
    <t>Lao động tự do</t>
  </si>
  <si>
    <t>Nghề khác</t>
  </si>
  <si>
    <t>Không có nghề nghiệp</t>
  </si>
  <si>
    <t>Dưới 14 tuổi</t>
  </si>
  <si>
    <t>Từ đủ 14  đến dưới 16 tuổi</t>
  </si>
  <si>
    <t>Từ đủ 16  đến dưới 18 tuổi</t>
  </si>
  <si>
    <t>Từ đủ 18  đến dưới 30 tuổi</t>
  </si>
  <si>
    <t>Từ đủ 30 tuổi trở lên</t>
  </si>
  <si>
    <t>Đảng viên</t>
  </si>
  <si>
    <t>Người nước ngoài</t>
  </si>
  <si>
    <t>Nữ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</si>
  <si>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</si>
  <si>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</si>
  <si>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</si>
  <si>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</si>
  <si>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</si>
  <si>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</si>
  <si>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</si>
  <si>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</si>
  <si>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</si>
  <si>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</si>
  <si>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</si>
  <si>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</si>
  <si>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</si>
  <si>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</si>
  <si>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</si>
  <si>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</si>
  <si>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</si>
  <si>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</si>
  <si>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</si>
  <si>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</si>
  <si>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</si>
  <si>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Tổng số (=2+…+9)</t>
  </si>
  <si>
    <t>An ninh quốc gia</t>
  </si>
  <si>
    <t>Trật tự xã hội</t>
  </si>
  <si>
    <t>Kinh tế, tham nhũng, chức vụ</t>
  </si>
  <si>
    <t>Môi trường, an toàn thực phẩm</t>
  </si>
  <si>
    <t>Ma túy</t>
  </si>
  <si>
    <t>Công nghệ thông tin, mạng viễn thông</t>
  </si>
  <si>
    <t>Giao thông</t>
  </si>
  <si>
    <t>Lĩnh vực khác</t>
  </si>
  <si>
    <t>Kết quả xử lý</t>
  </si>
  <si>
    <t>Khởi tố</t>
  </si>
  <si>
    <t>Xử lý hành chính</t>
  </si>
  <si>
    <t>- Giáo dục tại xã, phường, thị trấn</t>
  </si>
  <si>
    <t>- Đưa vào trường giáo dưỡng</t>
  </si>
  <si>
    <t>- Đưa vào cơ sở giáo dục bắt buộc</t>
  </si>
  <si>
    <t>- Cảnh cáo</t>
  </si>
  <si>
    <t>- Phạt tiền</t>
  </si>
  <si>
    <t>- Trục xuất</t>
  </si>
  <si>
    <t>CÁN BỘ THỐNG KÊ</t>
  </si>
  <si>
    <t>Kiểm tra</t>
  </si>
  <si>
    <t>Độ tuổi</t>
  </si>
  <si>
    <t>TP Hồ Chí Minh, ngày ... tháng ... năm 2023</t>
  </si>
  <si>
    <r>
      <t xml:space="preserve">CÔNG AN TPHCM
</t>
    </r>
    <r>
      <rPr>
        <b/>
        <sz val="12"/>
        <color rgb="FF000000"/>
        <rFont val="Times New Roman"/>
        <family val="1"/>
      </rPr>
      <t>PH</t>
    </r>
    <r>
      <rPr>
        <b/>
        <u/>
        <sz val="12"/>
        <color rgb="FF000000"/>
        <rFont val="Times New Roman"/>
        <family val="1"/>
      </rPr>
      <t>ÒNG CẢNH SÁT HÌNH</t>
    </r>
    <r>
      <rPr>
        <b/>
        <sz val="12"/>
        <color rgb="FF000000"/>
        <rFont val="Times New Roman"/>
        <family val="1"/>
      </rPr>
      <t xml:space="preserve"> SỰ</t>
    </r>
  </si>
  <si>
    <t>Biểu số A10: báo cáo thống kê tháng
Ban hành kèm theo Thông tư số 14/2019/TT-BCA  ngày 21/6/2019</t>
  </si>
  <si>
    <t xml:space="preserve">THỐNG KÊ SỐ LIỆU CỦA LỰC LƯỢNG HÌNH SỰ 
ĐỐI TƯỢNG THỰC HIỆN HÀNH VI PHẠM TỘI </t>
  </si>
  <si>
    <t>(từ ngày 15/ ... /2023 đến ngày 14/ ... /2023)</t>
  </si>
  <si>
    <t>KT. TRƯỞNG PHÒNG</t>
  </si>
  <si>
    <t>PHÓ TRƯỞNG PHÒNG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</si>
</sst>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imes New Roman"/>
      <family val="2"/>
    </font>
    <font>
      <sz val="10"/>
      <name val="Arial"/>
      <family val="2"/>
    </font>
    <font>
      <b/>
      <sz val="12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i/>
      <sz val="12"/>
      <name val="Times New Roman"/>
      <family val="1"/>
      <charset val="163"/>
    </font>
    <font>
      <sz val="8"/>
      <name val="Times New Roman"/>
      <family val="1"/>
    </font>
    <font>
      <i/>
      <sz val="9"/>
      <name val="Times New Roman"/>
      <family val="1"/>
    </font>
    <font>
      <sz val="10"/>
      <name val="Arial"/>
      <family val="2"/>
      <charset val="163"/>
    </font>
    <font>
      <b/>
      <sz val="10"/>
      <color rgb="FF0000CC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  <charset val="163"/>
    </font>
    <font>
      <i/>
      <sz val="12"/>
      <name val="Times New Roman"/>
      <family val="1"/>
    </font>
    <font>
      <b/>
      <sz val="11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7"/>
      <color rgb="FF000000"/>
      <name val="Times New Roman"/>
      <family val="1"/>
    </font>
    <font>
      <b/>
      <u/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9" fontId="1" fillId="0" borderId="0"/>
    <xf numFmtId="0" fontId="8" fillId="0" borderId="0"/>
    <xf numFmtId="49" fontId="8" fillId="0" borderId="0"/>
  </cellStyleXfs>
  <cellXfs count="57">
    <xf numFmtId="0" fontId="0" fillId="0" borderId="0" xfId="0"/>
    <xf numFmtId="0" fontId="6" fillId="0" borderId="1" xfId="2" applyFont="1" applyBorder="1" applyAlignment="1">
      <alignment horizontal="center" vertical="center" wrapText="1"/>
    </xf>
    <xf numFmtId="49" fontId="2" fillId="0" borderId="0" xfId="1" applyFont="1" applyAlignment="1" applyProtection="1">
      <alignment horizontal="center" vertical="top" wrapText="1"/>
      <protection locked="0"/>
    </xf>
    <xf numFmtId="49" fontId="12" fillId="0" borderId="0" xfId="1" applyFont="1" applyAlignment="1" applyProtection="1">
      <alignment vertical="top" wrapText="1"/>
      <protection locked="0"/>
    </xf>
    <xf numFmtId="49" fontId="3" fillId="0" borderId="0" xfId="1" applyFont="1" applyAlignment="1" applyProtection="1">
      <alignment vertical="top" wrapText="1"/>
      <protection locked="0"/>
    </xf>
    <xf numFmtId="49" fontId="3" fillId="0" borderId="0" xfId="1" applyFont="1" applyProtection="1">
      <protection locked="0"/>
    </xf>
    <xf numFmtId="49" fontId="4" fillId="0" borderId="0" xfId="1" applyFont="1" applyAlignment="1" applyProtection="1">
      <alignment horizontal="center" wrapText="1"/>
      <protection locked="0"/>
    </xf>
    <xf numFmtId="49" fontId="3" fillId="0" borderId="0" xfId="1" applyFont="1" applyAlignment="1" applyProtection="1">
      <alignment horizontal="center" wrapText="1"/>
      <protection locked="0"/>
    </xf>
    <xf numFmtId="0" fontId="5" fillId="0" borderId="0" xfId="1" applyNumberFormat="1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49" fontId="4" fillId="0" borderId="0" xfId="1" applyFont="1" applyAlignment="1" applyProtection="1">
      <alignment wrapText="1"/>
      <protection locked="0"/>
    </xf>
    <xf numFmtId="0" fontId="0" fillId="0" borderId="0" xfId="0" applyAlignment="1" applyProtection="1">
      <alignment horizontal="center" vertical="center"/>
      <protection locked="0"/>
    </xf>
    <xf numFmtId="49" fontId="5" fillId="0" borderId="0" xfId="1" applyFont="1" applyAlignment="1" applyProtection="1">
      <alignment horizontal="center" vertical="center" wrapText="1"/>
      <protection locked="0"/>
    </xf>
    <xf numFmtId="49" fontId="5" fillId="0" borderId="0" xfId="1" applyFont="1" applyAlignment="1" applyProtection="1">
      <alignment horizontal="center" wrapText="1"/>
      <protection locked="0"/>
    </xf>
    <xf numFmtId="49" fontId="3" fillId="0" borderId="0" xfId="1" applyFont="1" applyAlignment="1" applyProtection="1">
      <alignment horizontal="center" vertical="top" wrapText="1"/>
      <protection locked="0"/>
    </xf>
    <xf numFmtId="49" fontId="3" fillId="0" borderId="0" xfId="1" applyFont="1" applyAlignment="1" applyProtection="1">
      <alignment horizontal="center" vertical="center" wrapText="1"/>
      <protection locked="0"/>
    </xf>
    <xf numFmtId="49" fontId="6" fillId="0" borderId="0" xfId="1" applyFont="1" applyAlignment="1" applyProtection="1">
      <alignment horizontal="center" vertical="center" wrapText="1"/>
      <protection locked="0"/>
    </xf>
    <xf numFmtId="49" fontId="7" fillId="0" borderId="0" xfId="1" applyFont="1" applyAlignment="1" applyProtection="1">
      <alignment horizontal="center" vertical="center" wrapText="1"/>
      <protection locked="0"/>
    </xf>
    <xf numFmtId="0" fontId="9" fillId="0" borderId="0" xfId="1" applyNumberFormat="1" applyFont="1" applyAlignment="1" applyProtection="1">
      <alignment horizontal="center" vertical="center" shrinkToFit="1"/>
      <protection locked="0"/>
    </xf>
    <xf numFmtId="0" fontId="11" fillId="0" borderId="0" xfId="1" applyNumberFormat="1" applyFont="1" applyAlignment="1" applyProtection="1">
      <alignment horizontal="center" vertical="center" shrinkToFit="1"/>
      <protection locked="0"/>
    </xf>
    <xf numFmtId="49" fontId="2" fillId="0" borderId="0" xfId="1" applyFont="1" applyAlignment="1" applyProtection="1">
      <alignment horizontal="center" wrapText="1"/>
      <protection locked="0"/>
    </xf>
    <xf numFmtId="0" fontId="10" fillId="0" borderId="0" xfId="1" applyNumberFormat="1" applyFont="1" applyAlignment="1" applyProtection="1">
      <alignment horizontal="center" vertical="center" shrinkToFit="1"/>
      <protection locked="0"/>
    </xf>
    <xf numFmtId="49" fontId="7" fillId="0" borderId="1" xfId="1" applyFont="1" applyBorder="1" applyAlignment="1">
      <alignment horizontal="center" vertical="center" wrapText="1"/>
    </xf>
    <xf numFmtId="49" fontId="4" fillId="0" borderId="1" xfId="3" applyFont="1" applyBorder="1" applyAlignment="1">
      <alignment horizontal="left" vertical="center" wrapText="1"/>
    </xf>
    <xf numFmtId="49" fontId="3" fillId="0" borderId="1" xfId="3" applyFont="1" applyBorder="1" applyAlignment="1">
      <alignment horizontal="left" vertical="center" wrapText="1"/>
    </xf>
    <xf numFmtId="49" fontId="3" fillId="0" borderId="1" xfId="1" applyFont="1" applyBorder="1" applyAlignment="1">
      <alignment wrapText="1"/>
    </xf>
    <xf numFmtId="49" fontId="4" fillId="0" borderId="1" xfId="1" applyFont="1" applyBorder="1" applyAlignment="1">
      <alignment horizontal="justify" vertical="center" wrapText="1"/>
    </xf>
    <xf numFmtId="0" fontId="1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3" fillId="0" borderId="1" xfId="1" applyFont="1" applyBorder="1" applyAlignment="1">
      <alignment horizontal="justify" vertical="center" wrapText="1"/>
    </xf>
    <xf numFmtId="49" fontId="3" fillId="0" borderId="1" xfId="3" applyFont="1" applyBorder="1" applyAlignment="1">
      <alignment vertical="center" wrapText="1"/>
    </xf>
    <xf numFmtId="0" fontId="13" fillId="0" borderId="1" xfId="0" applyFont="1" applyBorder="1" applyAlignment="1">
      <alignment horizontal="left" vertical="center" wrapText="1"/>
    </xf>
    <xf numFmtId="0" fontId="13" fillId="3" borderId="1" xfId="0" applyFont="1" applyFill="1" applyBorder="1" applyAlignment="1">
      <alignment horizontal="left" vertical="center" wrapText="1"/>
    </xf>
    <xf numFmtId="0" fontId="4" fillId="0" borderId="1" xfId="1" applyNumberFormat="1" applyFont="1" applyBorder="1" applyAlignment="1">
      <alignment horizontal="center" vertical="center" shrinkToFit="1"/>
    </xf>
    <xf numFmtId="0" fontId="3" fillId="0" borderId="1" xfId="1" applyNumberFormat="1" applyFont="1" applyBorder="1" applyAlignment="1" applyProtection="1">
      <alignment horizontal="center" vertical="center" shrinkToFit="1"/>
      <protection locked="0"/>
    </xf>
    <xf numFmtId="0" fontId="4" fillId="2" borderId="1" xfId="1" applyNumberFormat="1" applyFont="1" applyFill="1" applyBorder="1" applyAlignment="1">
      <alignment horizontal="center" vertical="center" shrinkToFit="1"/>
    </xf>
    <xf numFmtId="49" fontId="14" fillId="0" borderId="0" xfId="0" applyNumberFormat="1" applyFont="1" applyAlignment="1" applyProtection="1">
      <alignment vertical="top" wrapText="1"/>
      <protection locked="0"/>
    </xf>
    <xf numFmtId="0" fontId="15" fillId="0" borderId="0" xfId="0" applyFont="1" applyAlignment="1">
      <alignment vertical="top" wrapText="1"/>
    </xf>
    <xf numFmtId="49" fontId="16" fillId="0" borderId="0" xfId="0" applyNumberFormat="1" applyFont="1" applyAlignment="1">
      <alignment vertical="top" wrapText="1"/>
    </xf>
    <xf numFmtId="49" fontId="6" fillId="0" borderId="1" xfId="1" applyFont="1" applyBorder="1" applyAlignment="1">
      <alignment horizontal="center" vertical="center" wrapText="1"/>
    </xf>
    <xf numFmtId="49" fontId="6" fillId="0" borderId="2" xfId="1" applyFont="1" applyBorder="1" applyAlignment="1">
      <alignment horizontal="center" vertical="center" wrapText="1"/>
    </xf>
    <xf numFmtId="49" fontId="6" fillId="0" borderId="6" xfId="1" applyFont="1" applyBorder="1" applyAlignment="1">
      <alignment horizontal="center" vertical="center" wrapText="1"/>
    </xf>
    <xf numFmtId="49" fontId="6" fillId="0" borderId="7" xfId="1" applyFont="1" applyBorder="1" applyAlignment="1">
      <alignment horizontal="center" vertical="center" wrapText="1"/>
    </xf>
    <xf numFmtId="49" fontId="3" fillId="0" borderId="3" xfId="1" applyFont="1" applyBorder="1" applyAlignment="1">
      <alignment horizontal="center" vertical="center" wrapText="1"/>
    </xf>
    <xf numFmtId="49" fontId="3" fillId="0" borderId="4" xfId="1" applyFont="1" applyBorder="1" applyAlignment="1">
      <alignment horizontal="center" vertical="center" wrapText="1"/>
    </xf>
    <xf numFmtId="49" fontId="3" fillId="0" borderId="5" xfId="1" applyFont="1" applyBorder="1" applyAlignment="1">
      <alignment horizontal="center" vertical="center" wrapText="1"/>
    </xf>
    <xf numFmtId="49" fontId="3" fillId="0" borderId="1" xfId="1" applyFont="1" applyBorder="1" applyAlignment="1">
      <alignment horizontal="center" vertical="center" wrapText="1"/>
    </xf>
    <xf numFmtId="49" fontId="14" fillId="0" borderId="0" xfId="0" applyNumberFormat="1" applyFont="1" applyAlignment="1" applyProtection="1">
      <alignment horizontal="center" vertical="top" wrapText="1"/>
      <protection locked="0"/>
    </xf>
    <xf numFmtId="49" fontId="14" fillId="0" borderId="8" xfId="0" applyNumberFormat="1" applyFont="1" applyBorder="1" applyAlignment="1" applyProtection="1">
      <alignment horizontal="center" vertical="top" wrapText="1"/>
      <protection locked="0"/>
    </xf>
    <xf numFmtId="49" fontId="16" fillId="0" borderId="0" xfId="0" applyNumberFormat="1" applyFont="1" applyAlignment="1">
      <alignment horizontal="center" vertical="top" wrapText="1"/>
    </xf>
    <xf numFmtId="49" fontId="16" fillId="0" borderId="8" xfId="0" applyNumberFormat="1" applyFont="1" applyBorder="1" applyAlignment="1">
      <alignment horizontal="center" vertical="top" wrapText="1"/>
    </xf>
    <xf numFmtId="49" fontId="5" fillId="0" borderId="0" xfId="1" applyFont="1" applyAlignment="1" applyProtection="1">
      <alignment horizontal="center" vertical="center" wrapText="1"/>
      <protection locked="0"/>
    </xf>
    <xf numFmtId="0" fontId="5" fillId="0" borderId="0" xfId="1" applyNumberFormat="1" applyFont="1" applyAlignment="1" applyProtection="1">
      <alignment horizontal="center"/>
      <protection locked="0"/>
    </xf>
    <xf numFmtId="49" fontId="2" fillId="0" borderId="0" xfId="1" applyFont="1" applyAlignment="1" applyProtection="1">
      <alignment horizontal="center" vertical="center" wrapText="1"/>
      <protection locked="0"/>
    </xf>
    <xf numFmtId="49" fontId="2" fillId="0" borderId="0" xfId="1" applyFont="1" applyAlignment="1" applyProtection="1">
      <alignment horizontal="center" wrapText="1"/>
      <protection locked="0"/>
    </xf>
    <xf numFmtId="0" fontId="15" fillId="0" borderId="9" xfId="0" applyFont="1" applyBorder="1" applyAlignment="1">
      <alignment horizontal="center" vertical="top" wrapText="1"/>
    </xf>
    <xf numFmtId="0" fontId="15" fillId="0" borderId="0" xfId="0" applyFont="1" applyAlignment="1">
      <alignment horizontal="center" vertical="center" wrapText="1"/>
    </xf>
  </cellXfs>
  <cellStyles count="4">
    <cellStyle name="Normal" xfId="0" builtinId="0"/>
    <cellStyle name="Normal 2 2" xfId="1" xr:uid="{00000000-0005-0000-0000-000001000000}"/>
    <cellStyle name="Normal 2 2 2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Y33"/>
  <sheetViews>
    <sheetView tabSelected="1" topLeftCell="A13" workbookViewId="0">
      <selection activeCell="M29" sqref="M29:U29"/>
    </sheetView>
  </sheetViews>
  <sheetFormatPr defaultRowHeight="13.9" x14ac:dyDescent="0.4"/>
  <cols>
    <col min="1" max="1" width="4.140625" style="9" customWidth="1"/>
    <col min="2" max="2" width="16" style="9" customWidth="1"/>
    <col min="3" max="3" width="8.28515625" style="9" customWidth="1"/>
    <col min="4" max="4" width="4.85546875" style="9" customWidth="1"/>
    <col min="5" max="5" width="4.5703125" style="9" customWidth="1"/>
    <col min="6" max="7" width="6.42578125" style="9" customWidth="1"/>
    <col min="8" max="8" width="5.42578125" style="9" customWidth="1"/>
    <col min="9" max="9" width="4.42578125" style="9" customWidth="1"/>
    <col min="10" max="10" width="6.42578125" style="9" customWidth="1"/>
    <col min="11" max="11" width="5.28515625" style="9" customWidth="1"/>
    <col min="12" max="12" width="6.85546875" style="9" customWidth="1"/>
    <col min="13" max="13" width="6.42578125" style="9" customWidth="1"/>
    <col min="14" max="14" width="6.28515625" style="9" customWidth="1"/>
    <col min="15" max="15" width="6.140625" style="9" customWidth="1"/>
    <col min="16" max="16" width="6.28515625" style="9" customWidth="1"/>
    <col min="17" max="17" width="7.140625" style="9" customWidth="1"/>
    <col min="18" max="18" width="6.42578125" style="9" customWidth="1"/>
    <col min="19" max="19" width="4.7109375" style="9" customWidth="1"/>
    <col min="20" max="20" width="5.42578125" style="9" customWidth="1"/>
    <col min="21" max="22" width="5.140625" style="9" customWidth="1"/>
    <col min="23" max="24" width="9.140625" style="9"/>
    <col min="25" max="25" width="10.5703125" style="9" customWidth="1"/>
    <col min="26" max="16384" width="9.140625" style="9"/>
  </cols>
  <sheetData>
    <row r="1" spans="1:22" ht="15.4" x14ac:dyDescent="0.4">
      <c r="B1" s="36"/>
      <c r="C1" s="36"/>
      <c r="D1" s="36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S1" s="38"/>
      <c r="T1" s="38"/>
      <c r="U1" s="38"/>
    </row>
    <row r="2" spans="1:22" ht="22.5" customHeight="1" x14ac:dyDescent="0.4">
      <c r="A2" s="47" t="s">
        <v>67</v>
      </c>
      <c r="B2" s="47"/>
      <c r="C2" s="47"/>
      <c r="D2" s="47"/>
      <c r="E2" s="56" t="s">
        <v>69</v>
      </c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49" t="s">
        <v>68</v>
      </c>
      <c r="S2" s="49"/>
      <c r="T2" s="49"/>
      <c r="U2" s="49"/>
      <c r="V2" s="14"/>
    </row>
    <row r="3" spans="1:22" ht="12.75" customHeight="1" x14ac:dyDescent="0.4">
      <c r="A3" s="47"/>
      <c r="B3" s="47"/>
      <c r="C3" s="47"/>
      <c r="D3" s="47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49"/>
      <c r="S3" s="49"/>
      <c r="T3" s="49"/>
      <c r="U3" s="49"/>
      <c r="V3" s="14"/>
    </row>
    <row r="4" spans="1:22" ht="15.4" customHeight="1" x14ac:dyDescent="0.4">
      <c r="A4" s="48"/>
      <c r="B4" s="48"/>
      <c r="C4" s="48"/>
      <c r="D4" s="48"/>
      <c r="E4" s="55" t="s">
        <v>70</v>
      </c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0"/>
      <c r="S4" s="50"/>
      <c r="T4" s="50"/>
      <c r="U4" s="50"/>
      <c r="V4" s="14"/>
    </row>
    <row r="5" spans="1:22" x14ac:dyDescent="0.4">
      <c r="A5" s="39" t="s">
        <v>0</v>
      </c>
      <c r="B5" s="40" t="s">
        <v>1</v>
      </c>
      <c r="C5" s="39" t="s">
        <v>2</v>
      </c>
      <c r="D5" s="43" t="s">
        <v>3</v>
      </c>
      <c r="E5" s="44"/>
      <c r="F5" s="44"/>
      <c r="G5" s="44"/>
      <c r="H5" s="44"/>
      <c r="I5" s="44"/>
      <c r="J5" s="45"/>
      <c r="K5" s="46" t="s">
        <v>4</v>
      </c>
      <c r="L5" s="46"/>
      <c r="M5" s="46"/>
      <c r="N5" s="46"/>
      <c r="O5" s="46"/>
      <c r="P5" s="40" t="s">
        <v>5</v>
      </c>
      <c r="Q5" s="39" t="s">
        <v>6</v>
      </c>
      <c r="R5" s="40" t="s">
        <v>7</v>
      </c>
      <c r="S5" s="46" t="s">
        <v>8</v>
      </c>
      <c r="T5" s="46"/>
      <c r="U5" s="46"/>
      <c r="V5" s="15"/>
    </row>
    <row r="6" spans="1:22" x14ac:dyDescent="0.4">
      <c r="A6" s="39"/>
      <c r="B6" s="41"/>
      <c r="C6" s="39"/>
      <c r="D6" s="40" t="s">
        <v>9</v>
      </c>
      <c r="E6" s="39" t="s">
        <v>10</v>
      </c>
      <c r="F6" s="40" t="s">
        <v>11</v>
      </c>
      <c r="G6" s="39" t="s">
        <v>12</v>
      </c>
      <c r="H6" s="40" t="s">
        <v>13</v>
      </c>
      <c r="I6" s="39" t="s">
        <v>14</v>
      </c>
      <c r="J6" s="40" t="s">
        <v>15</v>
      </c>
      <c r="K6" s="39" t="s">
        <v>16</v>
      </c>
      <c r="L6" s="39" t="s">
        <v>17</v>
      </c>
      <c r="M6" s="39" t="s">
        <v>18</v>
      </c>
      <c r="N6" s="39" t="s">
        <v>19</v>
      </c>
      <c r="O6" s="39" t="s">
        <v>20</v>
      </c>
      <c r="P6" s="41"/>
      <c r="Q6" s="39"/>
      <c r="R6" s="41"/>
      <c r="S6" s="39" t="s">
        <v>21</v>
      </c>
      <c r="T6" s="39" t="s">
        <v>22</v>
      </c>
      <c r="U6" s="39" t="s">
        <v>23</v>
      </c>
      <c r="V6" s="16"/>
    </row>
    <row r="7" spans="1:22" ht="30.75" customHeight="1" x14ac:dyDescent="0.4">
      <c r="A7" s="39"/>
      <c r="B7" s="42"/>
      <c r="C7" s="39"/>
      <c r="D7" s="42"/>
      <c r="E7" s="39"/>
      <c r="F7" s="42"/>
      <c r="G7" s="39"/>
      <c r="H7" s="42"/>
      <c r="I7" s="39"/>
      <c r="J7" s="42"/>
      <c r="K7" s="39"/>
      <c r="L7" s="39"/>
      <c r="M7" s="39"/>
      <c r="N7" s="39"/>
      <c r="O7" s="39"/>
      <c r="P7" s="42"/>
      <c r="Q7" s="39"/>
      <c r="R7" s="42"/>
      <c r="S7" s="39"/>
      <c r="T7" s="39"/>
      <c r="U7" s="39"/>
      <c r="V7" s="16"/>
    </row>
    <row r="8" spans="1:22" x14ac:dyDescent="0.4">
      <c r="A8" s="22" t="s">
        <v>24</v>
      </c>
      <c r="B8" s="22" t="s">
        <v>25</v>
      </c>
      <c r="C8" s="22" t="s">
        <v>26</v>
      </c>
      <c r="D8" s="22" t="s">
        <v>27</v>
      </c>
      <c r="E8" s="22" t="s">
        <v>28</v>
      </c>
      <c r="F8" s="22" t="s">
        <v>29</v>
      </c>
      <c r="G8" s="22" t="s">
        <v>30</v>
      </c>
      <c r="H8" s="22" t="s">
        <v>31</v>
      </c>
      <c r="I8" s="22" t="s">
        <v>32</v>
      </c>
      <c r="J8" s="22" t="s">
        <v>33</v>
      </c>
      <c r="K8" s="22" t="s">
        <v>34</v>
      </c>
      <c r="L8" s="22" t="s">
        <v>35</v>
      </c>
      <c r="M8" s="22" t="s">
        <v>36</v>
      </c>
      <c r="N8" s="22" t="s">
        <v>37</v>
      </c>
      <c r="O8" s="22" t="s">
        <v>38</v>
      </c>
      <c r="P8" s="22" t="s">
        <v>39</v>
      </c>
      <c r="Q8" s="22" t="s">
        <v>40</v>
      </c>
      <c r="R8" s="22" t="s">
        <v>41</v>
      </c>
      <c r="S8" s="22" t="s">
        <v>42</v>
      </c>
      <c r="T8" s="22" t="s">
        <v>43</v>
      </c>
      <c r="U8" s="22" t="s">
        <v>44</v>
      </c>
      <c r="V8" s="17"/>
    </row>
    <row r="9" spans="1:22" ht="25.5" x14ac:dyDescent="0.4">
      <c r="A9" s="1">
        <v>1</v>
      </c>
      <c r="B9" s="23" t="s">
        <v>45</v>
      </c>
      <c r="C9" s="33">
        <f>SUM(C10:C17)</f>
        <v>0</v>
      </c>
      <c r="D9" s="33">
        <f t="shared" ref="D9:U9" si="0">SUM(D10:D17)</f>
        <v>0</v>
      </c>
      <c r="E9" s="33">
        <f t="shared" si="0"/>
        <v>0</v>
      </c>
      <c r="F9" s="33">
        <f t="shared" si="0"/>
        <v>0</v>
      </c>
      <c r="G9" s="33">
        <f t="shared" si="0"/>
        <v>0</v>
      </c>
      <c r="H9" s="33">
        <f t="shared" si="0"/>
        <v>0</v>
      </c>
      <c r="I9" s="33">
        <f t="shared" si="0"/>
        <v>0</v>
      </c>
      <c r="J9" s="33">
        <f t="shared" si="0"/>
        <v>0</v>
      </c>
      <c r="K9" s="33">
        <f t="shared" si="0"/>
        <v>0</v>
      </c>
      <c r="L9" s="33">
        <f t="shared" si="0"/>
        <v>0</v>
      </c>
      <c r="M9" s="33">
        <f t="shared" si="0"/>
        <v>0</v>
      </c>
      <c r="N9" s="33">
        <f t="shared" si="0"/>
        <v>0</v>
      </c>
      <c r="O9" s="33">
        <f t="shared" si="0"/>
        <v>0</v>
      </c>
      <c r="P9" s="33">
        <f t="shared" si="0"/>
        <v>0</v>
      </c>
      <c r="Q9" s="33">
        <f t="shared" si="0"/>
        <v>0</v>
      </c>
      <c r="R9" s="33">
        <f t="shared" si="0"/>
        <v>0</v>
      </c>
      <c r="S9" s="33">
        <f t="shared" si="0"/>
        <v>0</v>
      </c>
      <c r="T9" s="33">
        <f t="shared" si="0"/>
        <v>0</v>
      </c>
      <c r="U9" s="33">
        <f t="shared" si="0"/>
        <v>0</v>
      </c>
      <c r="V9" s="18"/>
    </row>
    <row r="10" spans="1:22" x14ac:dyDescent="0.4">
      <c r="A10" s="1">
        <v>2</v>
      </c>
      <c r="B10" s="24" t="s">
        <v>46</v>
      </c>
      <c r="C10" s="33">
        <f>SUM(D10:J10)</f>
        <v>0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19"/>
    </row>
    <row r="11" spans="1:22" x14ac:dyDescent="0.4">
      <c r="A11" s="1">
        <v>3</v>
      </c>
      <c r="B11" s="24" t="s">
        <v>47</v>
      </c>
      <c r="C11" s="33">
        <f t="shared" ref="C11:C17" si="1">SUM(D11:J11)</f>
        <v>0</v>
      </c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19"/>
    </row>
    <row r="12" spans="1:22" ht="26.25" x14ac:dyDescent="0.4">
      <c r="A12" s="1">
        <v>4</v>
      </c>
      <c r="B12" s="24" t="s">
        <v>48</v>
      </c>
      <c r="C12" s="33">
        <f t="shared" si="1"/>
        <v>0</v>
      </c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19"/>
    </row>
    <row r="13" spans="1:22" ht="26.25" x14ac:dyDescent="0.4">
      <c r="A13" s="1">
        <v>5</v>
      </c>
      <c r="B13" s="24" t="s">
        <v>49</v>
      </c>
      <c r="C13" s="33">
        <f t="shared" si="1"/>
        <v>0</v>
      </c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19"/>
    </row>
    <row r="14" spans="1:22" x14ac:dyDescent="0.4">
      <c r="A14" s="1">
        <v>6</v>
      </c>
      <c r="B14" s="24" t="s">
        <v>50</v>
      </c>
      <c r="C14" s="33">
        <f t="shared" si="1"/>
        <v>0</v>
      </c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19"/>
    </row>
    <row r="15" spans="1:22" ht="39.4" x14ac:dyDescent="0.4">
      <c r="A15" s="1">
        <v>7</v>
      </c>
      <c r="B15" s="25" t="s">
        <v>51</v>
      </c>
      <c r="C15" s="33">
        <f t="shared" si="1"/>
        <v>0</v>
      </c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19"/>
    </row>
    <row r="16" spans="1:22" x14ac:dyDescent="0.4">
      <c r="A16" s="1">
        <v>8</v>
      </c>
      <c r="B16" s="24" t="s">
        <v>52</v>
      </c>
      <c r="C16" s="33">
        <f t="shared" si="1"/>
        <v>0</v>
      </c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19"/>
    </row>
    <row r="17" spans="1:25" x14ac:dyDescent="0.4">
      <c r="A17" s="1">
        <v>9</v>
      </c>
      <c r="B17" s="24" t="s">
        <v>53</v>
      </c>
      <c r="C17" s="33">
        <f t="shared" si="1"/>
        <v>0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19"/>
    </row>
    <row r="18" spans="1:25" x14ac:dyDescent="0.4">
      <c r="A18" s="1">
        <v>10</v>
      </c>
      <c r="B18" s="26" t="s">
        <v>54</v>
      </c>
      <c r="C18" s="35">
        <f>SUM(C19:C20)</f>
        <v>0</v>
      </c>
      <c r="D18" s="35">
        <f t="shared" ref="D18:U18" si="2">SUM(D19:D20)</f>
        <v>0</v>
      </c>
      <c r="E18" s="35">
        <f>SUM(E19:E20)</f>
        <v>0</v>
      </c>
      <c r="F18" s="35">
        <f t="shared" si="2"/>
        <v>0</v>
      </c>
      <c r="G18" s="35">
        <f t="shared" si="2"/>
        <v>0</v>
      </c>
      <c r="H18" s="35">
        <f t="shared" si="2"/>
        <v>0</v>
      </c>
      <c r="I18" s="35">
        <f t="shared" si="2"/>
        <v>0</v>
      </c>
      <c r="J18" s="35">
        <f t="shared" si="2"/>
        <v>0</v>
      </c>
      <c r="K18" s="35">
        <f t="shared" si="2"/>
        <v>0</v>
      </c>
      <c r="L18" s="35">
        <f t="shared" si="2"/>
        <v>0</v>
      </c>
      <c r="M18" s="35">
        <f t="shared" si="2"/>
        <v>0</v>
      </c>
      <c r="N18" s="35">
        <f t="shared" si="2"/>
        <v>0</v>
      </c>
      <c r="O18" s="35">
        <f t="shared" si="2"/>
        <v>0</v>
      </c>
      <c r="P18" s="35">
        <f t="shared" si="2"/>
        <v>0</v>
      </c>
      <c r="Q18" s="35">
        <f t="shared" si="2"/>
        <v>0</v>
      </c>
      <c r="R18" s="35">
        <f t="shared" si="2"/>
        <v>0</v>
      </c>
      <c r="S18" s="35">
        <f t="shared" si="2"/>
        <v>0</v>
      </c>
      <c r="T18" s="35">
        <f t="shared" si="2"/>
        <v>0</v>
      </c>
      <c r="U18" s="35">
        <f t="shared" si="2"/>
        <v>0</v>
      </c>
      <c r="V18" s="21"/>
      <c r="W18" s="27" t="s">
        <v>64</v>
      </c>
      <c r="X18" s="28" t="s">
        <v>65</v>
      </c>
      <c r="Y18" s="28" t="s">
        <v>3</v>
      </c>
    </row>
    <row r="19" spans="1:25" x14ac:dyDescent="0.4">
      <c r="A19" s="1">
        <v>11</v>
      </c>
      <c r="B19" s="29" t="s">
        <v>55</v>
      </c>
      <c r="C19" s="33">
        <f>SUM(D19:J19)</f>
        <v>0</v>
      </c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19"/>
      <c r="W19" s="27" t="str">
        <f>IF(X19=Y19,"Đúng","Sai")</f>
        <v>Đúng</v>
      </c>
      <c r="X19" s="28">
        <f>SUM(D19:J19)</f>
        <v>0</v>
      </c>
      <c r="Y19" s="28">
        <f>SUM(K19:O19)</f>
        <v>0</v>
      </c>
    </row>
    <row r="20" spans="1:25" x14ac:dyDescent="0.4">
      <c r="A20" s="1">
        <v>12</v>
      </c>
      <c r="B20" s="29" t="s">
        <v>56</v>
      </c>
      <c r="C20" s="35">
        <f>SUM(C21:C26)</f>
        <v>0</v>
      </c>
      <c r="D20" s="35">
        <f t="shared" ref="D20:U20" si="3">SUM(D21:D26)</f>
        <v>0</v>
      </c>
      <c r="E20" s="35">
        <f t="shared" si="3"/>
        <v>0</v>
      </c>
      <c r="F20" s="35">
        <f t="shared" si="3"/>
        <v>0</v>
      </c>
      <c r="G20" s="35">
        <f t="shared" si="3"/>
        <v>0</v>
      </c>
      <c r="H20" s="35">
        <f t="shared" si="3"/>
        <v>0</v>
      </c>
      <c r="I20" s="35">
        <f t="shared" si="3"/>
        <v>0</v>
      </c>
      <c r="J20" s="35">
        <f t="shared" si="3"/>
        <v>0</v>
      </c>
      <c r="K20" s="35">
        <f t="shared" si="3"/>
        <v>0</v>
      </c>
      <c r="L20" s="35">
        <f t="shared" si="3"/>
        <v>0</v>
      </c>
      <c r="M20" s="35">
        <f t="shared" si="3"/>
        <v>0</v>
      </c>
      <c r="N20" s="35">
        <f t="shared" si="3"/>
        <v>0</v>
      </c>
      <c r="O20" s="35">
        <f t="shared" si="3"/>
        <v>0</v>
      </c>
      <c r="P20" s="35">
        <f t="shared" si="3"/>
        <v>0</v>
      </c>
      <c r="Q20" s="35">
        <f t="shared" si="3"/>
        <v>0</v>
      </c>
      <c r="R20" s="35">
        <f t="shared" si="3"/>
        <v>0</v>
      </c>
      <c r="S20" s="35">
        <f t="shared" si="3"/>
        <v>0</v>
      </c>
      <c r="T20" s="35">
        <f t="shared" si="3"/>
        <v>0</v>
      </c>
      <c r="U20" s="35">
        <f t="shared" si="3"/>
        <v>0</v>
      </c>
      <c r="V20" s="21"/>
      <c r="W20" s="27" t="str">
        <f t="shared" ref="W20:W26" si="4">IF(X20=Y20,"Đúng","Sai")</f>
        <v>Đúng</v>
      </c>
      <c r="X20" s="28">
        <f t="shared" ref="X20:X26" si="5">SUM(D20:J20)</f>
        <v>0</v>
      </c>
      <c r="Y20" s="28">
        <f t="shared" ref="Y20:Y26" si="6">SUM(K20:O20)</f>
        <v>0</v>
      </c>
    </row>
    <row r="21" spans="1:25" ht="26.25" x14ac:dyDescent="0.4">
      <c r="A21" s="1">
        <v>13</v>
      </c>
      <c r="B21" s="30" t="s">
        <v>57</v>
      </c>
      <c r="C21" s="33">
        <f>SUM(D21:J21)</f>
        <v>0</v>
      </c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19"/>
      <c r="W21" s="27" t="str">
        <f t="shared" si="4"/>
        <v>Đúng</v>
      </c>
      <c r="X21" s="28">
        <f t="shared" si="5"/>
        <v>0</v>
      </c>
      <c r="Y21" s="28">
        <f t="shared" si="6"/>
        <v>0</v>
      </c>
    </row>
    <row r="22" spans="1:25" ht="26.25" x14ac:dyDescent="0.4">
      <c r="A22" s="1">
        <v>14</v>
      </c>
      <c r="B22" s="30" t="s">
        <v>58</v>
      </c>
      <c r="C22" s="33">
        <f t="shared" ref="C22:C26" si="7">SUM(D22:J22)</f>
        <v>0</v>
      </c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19"/>
      <c r="W22" s="27" t="str">
        <f t="shared" si="4"/>
        <v>Đúng</v>
      </c>
      <c r="X22" s="28">
        <f t="shared" si="5"/>
        <v>0</v>
      </c>
      <c r="Y22" s="28">
        <f t="shared" si="6"/>
        <v>0</v>
      </c>
    </row>
    <row r="23" spans="1:25" ht="26.25" x14ac:dyDescent="0.4">
      <c r="A23" s="1">
        <v>15</v>
      </c>
      <c r="B23" s="30" t="s">
        <v>59</v>
      </c>
      <c r="C23" s="33">
        <f t="shared" si="7"/>
        <v>0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19"/>
      <c r="W23" s="27" t="str">
        <f t="shared" si="4"/>
        <v>Đúng</v>
      </c>
      <c r="X23" s="28">
        <f t="shared" si="5"/>
        <v>0</v>
      </c>
      <c r="Y23" s="28">
        <f t="shared" si="6"/>
        <v>0</v>
      </c>
    </row>
    <row r="24" spans="1:25" x14ac:dyDescent="0.4">
      <c r="A24" s="1">
        <v>16</v>
      </c>
      <c r="B24" s="30" t="s">
        <v>60</v>
      </c>
      <c r="C24" s="33">
        <f t="shared" si="7"/>
        <v>0</v>
      </c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19"/>
      <c r="W24" s="27" t="str">
        <f t="shared" si="4"/>
        <v>Đúng</v>
      </c>
      <c r="X24" s="28">
        <f t="shared" si="5"/>
        <v>0</v>
      </c>
      <c r="Y24" s="28">
        <f t="shared" si="6"/>
        <v>0</v>
      </c>
    </row>
    <row r="25" spans="1:25" x14ac:dyDescent="0.4">
      <c r="A25" s="1">
        <v>17</v>
      </c>
      <c r="B25" s="30" t="s">
        <v>61</v>
      </c>
      <c r="C25" s="33">
        <f t="shared" si="7"/>
        <v>0</v>
      </c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19"/>
      <c r="W25" s="27" t="str">
        <f t="shared" si="4"/>
        <v>Đúng</v>
      </c>
      <c r="X25" s="28">
        <f t="shared" si="5"/>
        <v>0</v>
      </c>
      <c r="Y25" s="28">
        <f t="shared" si="6"/>
        <v>0</v>
      </c>
    </row>
    <row r="26" spans="1:25" x14ac:dyDescent="0.4">
      <c r="A26" s="1">
        <v>18</v>
      </c>
      <c r="B26" s="30" t="s">
        <v>62</v>
      </c>
      <c r="C26" s="33">
        <f t="shared" si="7"/>
        <v>0</v>
      </c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19"/>
      <c r="W26" s="27" t="str">
        <f t="shared" si="4"/>
        <v>Đúng</v>
      </c>
      <c r="X26" s="28">
        <f t="shared" si="5"/>
        <v>0</v>
      </c>
      <c r="Y26" s="28">
        <f t="shared" si="6"/>
        <v>0</v>
      </c>
    </row>
    <row r="27" spans="1:25" ht="15.4" x14ac:dyDescent="0.45">
      <c r="A27" s="2"/>
      <c r="B27" s="3"/>
      <c r="C27" s="4"/>
      <c r="D27" s="5"/>
      <c r="E27" s="5"/>
      <c r="F27" s="5"/>
      <c r="G27" s="5"/>
      <c r="H27" s="5"/>
      <c r="I27" s="5"/>
      <c r="J27" s="5"/>
      <c r="K27" s="5"/>
      <c r="L27" s="5"/>
      <c r="M27" s="52" t="s">
        <v>66</v>
      </c>
      <c r="N27" s="52"/>
      <c r="O27" s="52"/>
      <c r="P27" s="52"/>
      <c r="Q27" s="52"/>
      <c r="R27" s="52"/>
      <c r="S27" s="52"/>
      <c r="T27" s="52"/>
      <c r="U27" s="52"/>
      <c r="V27" s="8"/>
    </row>
    <row r="28" spans="1:25" ht="15" x14ac:dyDescent="0.4">
      <c r="A28" s="6"/>
      <c r="B28" s="53" t="s">
        <v>63</v>
      </c>
      <c r="C28" s="53"/>
      <c r="D28" s="53"/>
      <c r="E28" s="53"/>
      <c r="F28" s="53"/>
      <c r="G28" s="10"/>
      <c r="H28" s="10"/>
      <c r="I28" s="10"/>
      <c r="J28" s="10"/>
      <c r="K28" s="10"/>
      <c r="L28" s="10"/>
      <c r="M28" s="54" t="s">
        <v>71</v>
      </c>
      <c r="N28" s="54"/>
      <c r="O28" s="54"/>
      <c r="P28" s="54"/>
      <c r="Q28" s="54"/>
      <c r="R28" s="54"/>
      <c r="S28" s="54"/>
      <c r="T28" s="54"/>
      <c r="U28" s="54"/>
      <c r="V28" s="20"/>
    </row>
    <row r="29" spans="1:25" ht="15.75" x14ac:dyDescent="0.45">
      <c r="A29" s="7"/>
      <c r="B29" s="51"/>
      <c r="C29" s="51"/>
      <c r="D29" s="51"/>
      <c r="E29" s="51"/>
      <c r="F29" s="51"/>
      <c r="G29" s="10"/>
      <c r="H29" s="10"/>
      <c r="I29" s="10"/>
      <c r="J29" s="10"/>
      <c r="K29" s="10"/>
      <c r="L29" s="10"/>
      <c r="M29" s="54" t="s">
        <v>72</v>
      </c>
      <c r="N29" s="54"/>
      <c r="O29" s="54"/>
      <c r="P29" s="54"/>
      <c r="Q29" s="54"/>
      <c r="R29" s="54"/>
      <c r="S29" s="54"/>
      <c r="T29" s="54"/>
      <c r="U29" s="54"/>
      <c r="V29" s="13"/>
    </row>
    <row r="30" spans="1:25" ht="15.4" x14ac:dyDescent="0.45">
      <c r="A30" s="7"/>
      <c r="B30" s="12"/>
      <c r="C30" s="12"/>
      <c r="D30" s="12"/>
      <c r="E30" s="12"/>
      <c r="F30" s="12"/>
      <c r="G30" s="10"/>
      <c r="H30" s="10"/>
      <c r="I30" s="10"/>
      <c r="J30" s="10"/>
      <c r="K30" s="10"/>
      <c r="L30" s="10"/>
      <c r="M30" s="13"/>
      <c r="N30" s="13"/>
      <c r="O30" s="13"/>
      <c r="P30" s="13"/>
      <c r="Q30" s="13"/>
      <c r="R30" s="13"/>
      <c r="S30" s="13"/>
      <c r="T30" s="13"/>
      <c r="U30" s="13"/>
      <c r="V30" s="13"/>
    </row>
    <row r="31" spans="1:25" x14ac:dyDescent="0.4">
      <c r="B31" s="31" t="s">
        <v>3</v>
      </c>
      <c r="C31" s="28">
        <f>SUM(D9:J9)</f>
        <v>0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</row>
    <row r="32" spans="1:25" x14ac:dyDescent="0.4">
      <c r="B32" s="31" t="s">
        <v>65</v>
      </c>
      <c r="C32" s="28">
        <f>SUM(K9:O9)</f>
        <v>0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</row>
    <row r="33" spans="2:22" x14ac:dyDescent="0.4">
      <c r="B33" s="32" t="s">
        <v>64</v>
      </c>
      <c r="C33" s="27" t="str">
        <f>IF(C31=C32,"Đúng","Sai")</f>
        <v>Đúng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</row>
  </sheetData>
  <mergeCells count="33">
    <mergeCell ref="B29:F29"/>
    <mergeCell ref="M29:U29"/>
    <mergeCell ref="S6:S7"/>
    <mergeCell ref="T6:T7"/>
    <mergeCell ref="U6:U7"/>
    <mergeCell ref="M27:U27"/>
    <mergeCell ref="B28:F28"/>
    <mergeCell ref="M28:U28"/>
    <mergeCell ref="J6:J7"/>
    <mergeCell ref="K6:K7"/>
    <mergeCell ref="L6:L7"/>
    <mergeCell ref="M6:M7"/>
    <mergeCell ref="N6:N7"/>
    <mergeCell ref="O6:O7"/>
    <mergeCell ref="P5:P7"/>
    <mergeCell ref="Q5:Q7"/>
    <mergeCell ref="A2:D4"/>
    <mergeCell ref="R2:U4"/>
    <mergeCell ref="R5:R7"/>
    <mergeCell ref="S5:U5"/>
    <mergeCell ref="D6:D7"/>
    <mergeCell ref="E6:E7"/>
    <mergeCell ref="F6:F7"/>
    <mergeCell ref="G6:G7"/>
    <mergeCell ref="H6:H7"/>
    <mergeCell ref="I6:I7"/>
    <mergeCell ref="E2:Q3"/>
    <mergeCell ref="E4:Q4"/>
    <mergeCell ref="A5:A7"/>
    <mergeCell ref="B5:B7"/>
    <mergeCell ref="C5:C7"/>
    <mergeCell ref="D5:J5"/>
    <mergeCell ref="K5:O5"/>
  </mergeCells>
  <dataValidations count="1">
    <dataValidation type="whole" operator="greaterThanOrEqual" allowBlank="1" showInputMessage="1" showErrorMessage="1" sqref="C9:V26" xr:uid="{00000000-0002-0000-0000-000000000000}">
      <formula1>0</formula1>
    </dataValidation>
  </dataValidations>
  <pageMargins left="0.5" right="0.3" top="0.5" bottom="0.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A10</vt:lpstr>
      <vt:lpstr>'A10'!Print_Area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Phan Tuan Anh</cp:lastModifiedBy>
  <cp:lastPrinted>2019-10-09T09:18:49Z</cp:lastPrinted>
  <dcterms:created xsi:type="dcterms:W3CDTF">2019-10-09T08:16:06Z</dcterms:created>
  <dcterms:modified xsi:type="dcterms:W3CDTF">2025-08-26T07:21:17Z</dcterms:modified>
</cp:coreProperties>
</file>