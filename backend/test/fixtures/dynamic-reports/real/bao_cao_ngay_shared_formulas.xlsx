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_Lark\new\"/>
    </mc:Choice>
  </mc:AlternateContent>
  <xr:revisionPtr revIDLastSave="0" documentId="13_ncr:1_{20B31537-7B31-4EB0-8AA8-8D99A6FF15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9" i="1" l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C34" i="1"/>
  <c r="I74" i="1"/>
  <c r="I73" i="1"/>
  <c r="I72" i="1"/>
  <c r="I71" i="1"/>
  <c r="I70" i="1"/>
  <c r="I68" i="1"/>
  <c r="I67" i="1"/>
  <c r="I66" i="1"/>
  <c r="I65" i="1"/>
  <c r="I64" i="1"/>
  <c r="I62" i="1"/>
  <c r="I61" i="1"/>
  <c r="I60" i="1"/>
  <c r="I59" i="1"/>
  <c r="I58" i="1"/>
  <c r="I57" i="1"/>
  <c r="I55" i="1"/>
  <c r="I54" i="1"/>
  <c r="I53" i="1"/>
  <c r="I52" i="1"/>
  <c r="I42" i="1"/>
  <c r="I41" i="1"/>
  <c r="I40" i="1"/>
  <c r="I39" i="1"/>
  <c r="I38" i="1"/>
  <c r="I37" i="1"/>
  <c r="I36" i="1"/>
  <c r="I35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 s="1"/>
  <c r="I49" i="1"/>
  <c r="I48" i="1"/>
  <c r="I47" i="1"/>
  <c r="I46" i="1"/>
  <c r="I45" i="1"/>
  <c r="I44" i="1"/>
  <c r="I51" i="1"/>
  <c r="J65" i="1"/>
  <c r="J66" i="1"/>
  <c r="J67" i="1"/>
  <c r="J68" i="1"/>
  <c r="P10" i="1"/>
  <c r="O10" i="1"/>
  <c r="N10" i="1"/>
  <c r="M10" i="1"/>
  <c r="L10" i="1"/>
  <c r="K10" i="1"/>
  <c r="H10" i="1"/>
  <c r="G10" i="1"/>
  <c r="F10" i="1"/>
  <c r="E10" i="1"/>
  <c r="D10" i="1"/>
  <c r="C10" i="1"/>
  <c r="J10" i="1"/>
  <c r="J71" i="1"/>
  <c r="J72" i="1"/>
  <c r="J73" i="1"/>
  <c r="J74" i="1"/>
  <c r="J70" i="1"/>
  <c r="J64" i="1"/>
  <c r="J58" i="1"/>
  <c r="J59" i="1"/>
  <c r="J60" i="1"/>
  <c r="J61" i="1"/>
  <c r="J62" i="1"/>
  <c r="J57" i="1"/>
  <c r="J52" i="1"/>
  <c r="J53" i="1"/>
  <c r="J54" i="1"/>
  <c r="J55" i="1"/>
  <c r="J51" i="1"/>
  <c r="J49" i="1"/>
  <c r="J48" i="1"/>
  <c r="J47" i="1"/>
  <c r="J46" i="1"/>
  <c r="J45" i="1"/>
  <c r="J44" i="1"/>
  <c r="J42" i="1"/>
  <c r="J41" i="1"/>
  <c r="J40" i="1"/>
  <c r="J39" i="1"/>
  <c r="J38" i="1"/>
  <c r="J37" i="1"/>
  <c r="J36" i="1"/>
  <c r="J35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11" i="1"/>
  <c r="K69" i="1"/>
  <c r="L69" i="1"/>
  <c r="M69" i="1"/>
  <c r="N69" i="1"/>
  <c r="O69" i="1"/>
  <c r="P69" i="1"/>
  <c r="K63" i="1"/>
  <c r="L63" i="1"/>
  <c r="M63" i="1"/>
  <c r="N63" i="1"/>
  <c r="O63" i="1"/>
  <c r="P63" i="1"/>
  <c r="K56" i="1"/>
  <c r="L56" i="1"/>
  <c r="M56" i="1"/>
  <c r="N56" i="1"/>
  <c r="O56" i="1"/>
  <c r="P56" i="1"/>
  <c r="K50" i="1"/>
  <c r="L50" i="1"/>
  <c r="M50" i="1"/>
  <c r="N50" i="1"/>
  <c r="O50" i="1"/>
  <c r="P50" i="1"/>
  <c r="K43" i="1"/>
  <c r="L43" i="1"/>
  <c r="M43" i="1"/>
  <c r="N43" i="1"/>
  <c r="O43" i="1"/>
  <c r="P43" i="1"/>
  <c r="F56" i="1"/>
  <c r="H43" i="1"/>
  <c r="F50" i="1" l="1"/>
  <c r="I56" i="1"/>
  <c r="D56" i="1"/>
  <c r="P9" i="1"/>
  <c r="I63" i="1"/>
  <c r="E43" i="1"/>
  <c r="C56" i="1"/>
  <c r="D43" i="1"/>
  <c r="L9" i="1"/>
  <c r="J43" i="1"/>
  <c r="D63" i="1"/>
  <c r="C43" i="1"/>
  <c r="E63" i="1"/>
  <c r="E69" i="1"/>
  <c r="G50" i="1"/>
  <c r="G63" i="1"/>
  <c r="H50" i="1"/>
  <c r="H63" i="1"/>
  <c r="I50" i="1"/>
  <c r="G56" i="1"/>
  <c r="I69" i="1"/>
  <c r="J63" i="1"/>
  <c r="D50" i="1"/>
  <c r="J50" i="1"/>
  <c r="C50" i="1"/>
  <c r="O9" i="1"/>
  <c r="N9" i="1"/>
  <c r="M9" i="1"/>
  <c r="K9" i="1"/>
  <c r="F63" i="1"/>
  <c r="F43" i="1"/>
  <c r="H69" i="1"/>
  <c r="E56" i="1"/>
  <c r="J69" i="1"/>
  <c r="G43" i="1"/>
  <c r="C69" i="1"/>
  <c r="D69" i="1"/>
  <c r="I43" i="1"/>
  <c r="H56" i="1"/>
  <c r="E50" i="1"/>
  <c r="F69" i="1"/>
  <c r="J56" i="1"/>
  <c r="G69" i="1"/>
  <c r="C63" i="1"/>
  <c r="H9" i="1" l="1"/>
  <c r="G9" i="1"/>
  <c r="F9" i="1"/>
  <c r="E9" i="1"/>
  <c r="I9" i="1"/>
  <c r="D9" i="1"/>
  <c r="J9" i="1"/>
  <c r="C9" i="1"/>
</calcChain>
</file>

<file path=xl/sharedStrings.xml><?xml version="1.0" encoding="utf-8"?>
<sst xmlns="http://schemas.openxmlformats.org/spreadsheetml/2006/main" count="173" uniqueCount="91">
  <si>
    <t xml:space="preserve">                   </t>
  </si>
  <si>
    <t>STT</t>
  </si>
  <si>
    <t>DANH MỤC THỐNG KÊ</t>
  </si>
  <si>
    <t>Nguồn tin</t>
  </si>
  <si>
    <t>Khởi tố</t>
  </si>
  <si>
    <t>Đang xác minh</t>
  </si>
  <si>
    <t>Không khởi tố vụ án</t>
  </si>
  <si>
    <t>Tạm đình chỉ nguồn tin về tội phạm</t>
  </si>
  <si>
    <t>Nhập đơn</t>
  </si>
  <si>
    <t>Chuyển đơn vị khác</t>
  </si>
  <si>
    <t>Phân loại đơn</t>
  </si>
  <si>
    <t>Phục hồi</t>
  </si>
  <si>
    <t>Vụ</t>
  </si>
  <si>
    <t>Đối
 tượng</t>
  </si>
  <si>
    <t xml:space="preserve">Kỳ trước chuyển sang    </t>
  </si>
  <si>
    <t>Phát hiện trong kỳ</t>
  </si>
  <si>
    <t>Bị can</t>
  </si>
  <si>
    <t>I. CÔNG TÁC PHÒNG CHỐNG TỘI PHẠM</t>
  </si>
  <si>
    <t>1. Trật tự xã hội</t>
  </si>
  <si>
    <t>Giết người</t>
  </si>
  <si>
    <t>- Trong đó, Giết thân nhân</t>
  </si>
  <si>
    <t>- Giết người, cướp tài sản</t>
  </si>
  <si>
    <t>- Giết người, hiếp dâm</t>
  </si>
  <si>
    <t>- Giết người, hiếp dâm, cướp tài sản</t>
  </si>
  <si>
    <t>Cướp tài sản</t>
  </si>
  <si>
    <t>Cướp giật tài sản</t>
  </si>
  <si>
    <t>Cưỡng đoạt tài sản</t>
  </si>
  <si>
    <t xml:space="preserve">Lừa đảo, chiếm đoạt tài sản </t>
  </si>
  <si>
    <t>Cố ý gây thương tích</t>
  </si>
  <si>
    <t>Hiếp dâm</t>
  </si>
  <si>
    <t>- Trong đó, hiếp dâm trẻ em</t>
  </si>
  <si>
    <t>Trộm cắp tài sản</t>
  </si>
  <si>
    <t>Hủy hoại hoặc cố ý làm hư hỏng tài sản</t>
  </si>
  <si>
    <t>Chứa chấp hoặc tiêu thụ tài sản do người khác phạm tội mà có</t>
  </si>
  <si>
    <t>Gây rối trật tự công cộng</t>
  </si>
  <si>
    <t>Mua bán người</t>
  </si>
  <si>
    <t>Chống người thi hành công vụ</t>
  </si>
  <si>
    <t>- Trong đó, Chống lại lực lượng Công an</t>
  </si>
  <si>
    <t>Tội phạm và vi phạm đánh bạc, tổ chức đánh bạc hoặc gá bạc</t>
  </si>
  <si>
    <t>Chứa mại dâm, môi giới mại dâm</t>
  </si>
  <si>
    <t>Tội liên quan đến "tín dụng đen"</t>
  </si>
  <si>
    <t>Hành vi khác</t>
  </si>
  <si>
    <t>2. Vi phạm pháp luật về trật tự quản lý kinh tế</t>
  </si>
  <si>
    <t>Tội cho vay nặng lãi trong giao dịch dân sự</t>
  </si>
  <si>
    <t>Buôn lậu</t>
  </si>
  <si>
    <t>- Trong đó, liên quan đến pháo</t>
  </si>
  <si>
    <t>Sản xuất, tàng trữ, vận chuyển, buôn bán hàng cấm</t>
  </si>
  <si>
    <t xml:space="preserve">Sản xuất, buôn bán hàng giả </t>
  </si>
  <si>
    <t xml:space="preserve">Trốn thuế </t>
  </si>
  <si>
    <t>3. Tham nhũng và chức vụ</t>
  </si>
  <si>
    <t>Tham ô tài sản</t>
  </si>
  <si>
    <t>Nhận hối lộ</t>
  </si>
  <si>
    <t>Lạm dụng chức vụ, quyền hạn chiếm đoạt tài sản</t>
  </si>
  <si>
    <t>Lợi dụng chức vụ, quyền hạn trong khi thi hành công vụ</t>
  </si>
  <si>
    <t>Thiếu trách nhiệm gây hậu quả nghiêm trọng</t>
  </si>
  <si>
    <t>4. VPPL về môi trường, an toàn thực phẩm</t>
  </si>
  <si>
    <t xml:space="preserve">Gây ô nhiễm môi trường </t>
  </si>
  <si>
    <t xml:space="preserve">Vi phạm quy định về an toàn thực phẩm </t>
  </si>
  <si>
    <t>Huỷ hoại nguồn lợi thuỷ sản</t>
  </si>
  <si>
    <t>Huỷ hoại rừng</t>
  </si>
  <si>
    <t>5. Ma túy</t>
  </si>
  <si>
    <t>Sản xuất trái phép chất ma túy</t>
  </si>
  <si>
    <t>Tàng trữ trái phép chất ma túy</t>
  </si>
  <si>
    <t>Vận chuyển trái phép chất ma túy</t>
  </si>
  <si>
    <t>Mua bán trái phép chất ma túy</t>
  </si>
  <si>
    <t xml:space="preserve">Tổ chức và chứa chấp sử dụng ma túy trái phép </t>
  </si>
  <si>
    <t>6. Sử dụng công nghệ cao</t>
  </si>
  <si>
    <t>Đưa hoặc sử dụng trái phép thông tin mạng máy tính, mạng viễn thông</t>
  </si>
  <si>
    <t>Xâm nhập trái phép vào mạng máy tính, mạng viễn thông hoặc phương tiện điện tử của người khác</t>
  </si>
  <si>
    <t>Sử dụng máy tính, mạng viễn thông, phương tiện điện tử thực hiện hành vi chiếm đoạt  tài sản</t>
  </si>
  <si>
    <t>Thu thập, tàng trữ, trao đổi, mua bán, công khai hóa trái phép thông tin về tài khoản ngân hàng</t>
  </si>
  <si>
    <t>7. Xâm phạm an toàn giao thông</t>
  </si>
  <si>
    <t>Vi phạm quy định về tham gia giao thông đường bộ</t>
  </si>
  <si>
    <t>Vi phạm quy định về điều khiển phương tiện giao thông đường sắt</t>
  </si>
  <si>
    <t>Vi phạm quy định về điều khiển phương tiện giao thông đường thuỷ</t>
  </si>
  <si>
    <t>Tổ chức, đua xe trái phép</t>
  </si>
  <si>
    <t>II. CÔNG TÁC TRUY NÃ TỘI PHẠM</t>
  </si>
  <si>
    <t>Danh mục</t>
  </si>
  <si>
    <t>Số đối tượng phát sinh trong ngày</t>
  </si>
  <si>
    <t>Số đối tượng bắt, vận động, thanh loại trong ngày</t>
  </si>
  <si>
    <t>Số đối tượng truy nã hiện còn</t>
  </si>
  <si>
    <t>Thành phố Hồ Chí Minh, ngày 25 tháng 5 năm 2025</t>
  </si>
  <si>
    <t xml:space="preserve">                 Cán bộ thống kê
             </t>
  </si>
  <si>
    <t>KT. TRƯỞNG PHÒNG
PHÓ TRƯỞNG PHÒNG</t>
  </si>
  <si>
    <t>CÔNG AN TP HỒ CHÍ MINH</t>
  </si>
  <si>
    <t>PHÒNG CẢNH SÁT HÌNH SỰ</t>
  </si>
  <si>
    <t>PHỤ LỤC</t>
  </si>
  <si>
    <t>Thống kê tội phạm</t>
  </si>
  <si>
    <t>(Ngày 24/05/2025)</t>
  </si>
  <si>
    <t xml:space="preserve">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</si>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</sst>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20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8"/>
      <name val="Times New Roman"/>
      <family val="1"/>
      <charset val="163"/>
    </font>
    <font>
      <b/>
      <sz val="14"/>
      <color indexed="8"/>
      <name val="Times New Roman"/>
      <family val="1"/>
      <charset val="163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i/>
      <sz val="13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  <charset val="163"/>
    </font>
    <font>
      <sz val="10"/>
      <name val="Times New Roman"/>
      <family val="1"/>
    </font>
    <font>
      <i/>
      <sz val="10"/>
      <name val="Times New Roman"/>
      <family val="1"/>
    </font>
    <font>
      <i/>
      <sz val="12"/>
      <color theme="1"/>
      <name val="Times New Roman"/>
      <family val="1"/>
      <charset val="163"/>
    </font>
    <font>
      <sz val="12"/>
      <name val="Times New Roman"/>
      <family val="1"/>
    </font>
    <font>
      <i/>
      <sz val="14"/>
      <name val="Times New Roman"/>
      <family val="1"/>
      <charset val="163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 wrapText="1"/>
    </xf>
    <xf numFmtId="0" fontId="6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/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left" vertical="center" wrapText="1"/>
    </xf>
    <xf numFmtId="1" fontId="11" fillId="0" borderId="1" xfId="1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vertical="center" wrapText="1"/>
    </xf>
    <xf numFmtId="0" fontId="14" fillId="0" borderId="1" xfId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vertical="center" wrapText="1"/>
    </xf>
    <xf numFmtId="0" fontId="16" fillId="0" borderId="1" xfId="0" applyFont="1" applyBorder="1"/>
    <xf numFmtId="49" fontId="16" fillId="0" borderId="1" xfId="0" applyNumberFormat="1" applyFont="1" applyBorder="1"/>
    <xf numFmtId="49" fontId="14" fillId="0" borderId="1" xfId="0" applyNumberFormat="1" applyFont="1" applyBorder="1" applyAlignment="1">
      <alignment horizontal="justify" vertical="justify" wrapText="1"/>
    </xf>
    <xf numFmtId="49" fontId="14" fillId="0" borderId="1" xfId="0" applyNumberFormat="1" applyFont="1" applyBorder="1" applyAlignment="1">
      <alignment horizontal="justify" vertical="center" wrapText="1"/>
    </xf>
    <xf numFmtId="49" fontId="14" fillId="0" borderId="1" xfId="0" applyNumberFormat="1" applyFont="1" applyBorder="1" applyAlignment="1">
      <alignment wrapText="1"/>
    </xf>
    <xf numFmtId="49" fontId="11" fillId="0" borderId="1" xfId="0" applyNumberFormat="1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7" fillId="0" borderId="0" xfId="0" applyFont="1"/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49" fontId="17" fillId="0" borderId="0" xfId="0" applyNumberFormat="1" applyFont="1"/>
    <xf numFmtId="49" fontId="9" fillId="0" borderId="0" xfId="0" applyNumberFormat="1" applyFont="1" applyAlignment="1">
      <alignment horizontal="left" vertical="top" wrapText="1"/>
    </xf>
    <xf numFmtId="49" fontId="11" fillId="0" borderId="1" xfId="0" applyNumberFormat="1" applyFont="1" applyBorder="1" applyAlignment="1">
      <alignment horizontal="justify" vertical="center" wrapText="1"/>
    </xf>
    <xf numFmtId="0" fontId="11" fillId="0" borderId="1" xfId="0" applyFont="1" applyBorder="1" applyAlignment="1">
      <alignment wrapText="1"/>
    </xf>
    <xf numFmtId="164" fontId="11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 2" xfId="1" xr:uid="{897BB764-400E-4B69-8286-852554BC96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1260201</xdr:colOff>
      <xdr:row>2</xdr:row>
      <xdr:rowOff>41956</xdr:rowOff>
    </xdr:from>
    <xdr:to>
      <xdr:col>1</xdr:col>
      <xdr:colOff>2040491</xdr:colOff>
      <xdr:row>2</xdr:row>
      <xdr:rowOff>41956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F3DFFBB-0F8E-44E0-AF99-29AC488C90E4}"/>
            </a:ext>
          </a:extLst>
        </xdr:cNvPr>
        <xdr:cNvCxnSpPr/>
      </xdr:nvCxnSpPr>
      <xdr:spPr>
        <a:xfrm>
          <a:off x="1484039" y="489631"/>
          <a:ext cx="780290" cy="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topLeftCell="A56" zoomScaleNormal="100" zoomScaleSheetLayoutView="100" workbookViewId="0">
      <selection activeCell="D81" sqref="D81:J81"/>
    </sheetView>
  </sheetViews>
  <sheetFormatPr defaultRowHeight="15" x14ac:dyDescent="0.25"/>
  <cols>
    <col min="1" max="1" width="3.140625" bestFit="1" customWidth="1"/>
    <col min="2" max="2" width="53.85546875" bestFit="1" customWidth="1"/>
    <col min="3" max="16" width="8.5703125" customWidth="1"/>
  </cols>
  <sheetData>
    <row r="1" spans="1:16" ht="18.75" x14ac:dyDescent="0.3">
      <c r="A1" s="43" t="s">
        <v>84</v>
      </c>
      <c r="B1" s="43"/>
      <c r="C1" s="43" t="s">
        <v>86</v>
      </c>
      <c r="D1" s="43"/>
      <c r="E1" s="43"/>
      <c r="F1" s="43"/>
      <c r="G1" s="43"/>
      <c r="H1" s="43"/>
      <c r="I1" s="43"/>
      <c r="J1" s="43"/>
    </row>
    <row r="2" spans="1:16" ht="18.75" x14ac:dyDescent="0.25">
      <c r="A2" s="44" t="s">
        <v>85</v>
      </c>
      <c r="B2" s="44"/>
      <c r="C2" s="45" t="s">
        <v>87</v>
      </c>
      <c r="D2" s="46"/>
      <c r="E2" s="46"/>
      <c r="F2" s="46"/>
      <c r="G2" s="46"/>
      <c r="H2" s="46"/>
      <c r="I2" s="46"/>
      <c r="J2" s="46"/>
      <c r="K2" s="2"/>
      <c r="L2" s="2"/>
      <c r="M2" s="2"/>
      <c r="N2" s="2"/>
      <c r="O2" s="2"/>
      <c r="P2" s="2"/>
    </row>
    <row r="3" spans="1:16" ht="18.75" x14ac:dyDescent="0.25">
      <c r="A3" s="1"/>
      <c r="B3" s="1"/>
      <c r="C3" s="41" t="s">
        <v>88</v>
      </c>
      <c r="D3" s="41"/>
      <c r="E3" s="41"/>
      <c r="F3" s="41"/>
      <c r="G3" s="41"/>
      <c r="H3" s="41"/>
      <c r="I3" s="41"/>
      <c r="J3" s="41"/>
      <c r="K3" s="2"/>
      <c r="L3" s="2"/>
      <c r="M3" s="2"/>
      <c r="N3" s="2"/>
      <c r="O3" s="2"/>
      <c r="P3" s="2"/>
    </row>
    <row r="4" spans="1:16" ht="16.5" x14ac:dyDescent="0.25">
      <c r="A4" s="47"/>
      <c r="B4" s="48"/>
      <c r="C4" s="48"/>
      <c r="D4" s="48"/>
      <c r="E4" s="48"/>
      <c r="F4" s="48"/>
      <c r="G4" s="48"/>
      <c r="H4" s="48"/>
      <c r="I4" s="3"/>
      <c r="J4" s="2"/>
      <c r="K4" s="2" t="s">
        <v>0</v>
      </c>
      <c r="L4" s="2"/>
      <c r="M4" s="2"/>
      <c r="N4" s="2"/>
      <c r="O4" s="2"/>
      <c r="P4" s="2"/>
    </row>
    <row r="5" spans="1:16" x14ac:dyDescent="0.25">
      <c r="A5" s="49" t="s">
        <v>1</v>
      </c>
      <c r="B5" s="50" t="s">
        <v>2</v>
      </c>
      <c r="C5" s="42" t="s">
        <v>3</v>
      </c>
      <c r="D5" s="42"/>
      <c r="E5" s="42" t="s">
        <v>4</v>
      </c>
      <c r="F5" s="42"/>
      <c r="G5" s="42"/>
      <c r="H5" s="42"/>
      <c r="I5" s="42" t="s">
        <v>5</v>
      </c>
      <c r="J5" s="42"/>
      <c r="K5" s="39" t="s">
        <v>6</v>
      </c>
      <c r="L5" s="39" t="s">
        <v>7</v>
      </c>
      <c r="M5" s="39" t="s">
        <v>8</v>
      </c>
      <c r="N5" s="39" t="s">
        <v>9</v>
      </c>
      <c r="O5" s="40" t="s">
        <v>10</v>
      </c>
      <c r="P5" s="40" t="s">
        <v>11</v>
      </c>
    </row>
    <row r="6" spans="1:16" ht="23.65" customHeight="1" x14ac:dyDescent="0.25">
      <c r="A6" s="49"/>
      <c r="B6" s="50"/>
      <c r="C6" s="49" t="s">
        <v>12</v>
      </c>
      <c r="D6" s="49" t="s">
        <v>13</v>
      </c>
      <c r="E6" s="42" t="s">
        <v>14</v>
      </c>
      <c r="F6" s="42"/>
      <c r="G6" s="42" t="s">
        <v>15</v>
      </c>
      <c r="H6" s="42"/>
      <c r="I6" s="42"/>
      <c r="J6" s="42"/>
      <c r="K6" s="39"/>
      <c r="L6" s="39"/>
      <c r="M6" s="39"/>
      <c r="N6" s="39"/>
      <c r="O6" s="40"/>
      <c r="P6" s="40"/>
    </row>
    <row r="7" spans="1:16" ht="21" x14ac:dyDescent="0.25">
      <c r="A7" s="49"/>
      <c r="B7" s="50"/>
      <c r="C7" s="49"/>
      <c r="D7" s="49"/>
      <c r="E7" s="4" t="s">
        <v>12</v>
      </c>
      <c r="F7" s="4" t="s">
        <v>16</v>
      </c>
      <c r="G7" s="4" t="s">
        <v>12</v>
      </c>
      <c r="H7" s="4" t="s">
        <v>16</v>
      </c>
      <c r="I7" s="4" t="s">
        <v>12</v>
      </c>
      <c r="J7" s="4" t="s">
        <v>13</v>
      </c>
      <c r="K7" s="7" t="s">
        <v>12</v>
      </c>
      <c r="L7" s="7" t="s">
        <v>12</v>
      </c>
      <c r="M7" s="7" t="s">
        <v>12</v>
      </c>
      <c r="N7" s="7" t="s">
        <v>12</v>
      </c>
      <c r="O7" s="7" t="s">
        <v>12</v>
      </c>
      <c r="P7" s="7" t="s">
        <v>12</v>
      </c>
    </row>
    <row r="8" spans="1:16" ht="15.75" x14ac:dyDescent="0.25">
      <c r="A8" s="6"/>
      <c r="B8" s="5"/>
      <c r="C8" s="6"/>
      <c r="D8" s="6"/>
      <c r="E8" s="6"/>
      <c r="F8" s="6"/>
      <c r="G8" s="6"/>
      <c r="H8" s="6"/>
      <c r="I8" s="6"/>
      <c r="J8" s="6"/>
      <c r="K8" s="8"/>
      <c r="L8" s="8"/>
      <c r="M8" s="8"/>
      <c r="N8" s="8"/>
      <c r="O8" s="9"/>
      <c r="P8" s="9"/>
    </row>
    <row r="9" spans="1:16" x14ac:dyDescent="0.25">
      <c r="A9" s="10">
        <v>1</v>
      </c>
      <c r="B9" s="11" t="s">
        <v>17</v>
      </c>
      <c r="C9" s="12">
        <f>C10+C34+C43+C50+C56+C69+C63</f>
        <v>0</v>
      </c>
      <c r="D9" s="12">
        <f>D10+D34+D43+D50+D56+D69+D63</f>
        <v>0</v>
      </c>
      <c r="E9" s="12">
        <f>E10+E34+E43+E50+E56+E63+E69</f>
        <v>0</v>
      </c>
      <c r="F9" s="12">
        <f>F10+F34+F43+F50+F56+F63+F69</f>
        <v>0</v>
      </c>
      <c r="G9" s="12">
        <f>G10+G34+G43+G50+G56+G63+G69</f>
        <v>0</v>
      </c>
      <c r="H9" s="12">
        <f>H10+H34+H43+H50+H56+H63+H69</f>
        <v>0</v>
      </c>
      <c r="I9" s="13">
        <f>I10+I34+I50+I56+I63+I69+I43</f>
        <v>0</v>
      </c>
      <c r="J9" s="13">
        <f>J10+J34+J50+J56+J63+J69</f>
        <v>0</v>
      </c>
      <c r="K9" s="13">
        <f t="shared" ref="K9:P9" si="0">K10+K34+K50+K56+K63+K69</f>
        <v>0</v>
      </c>
      <c r="L9" s="13">
        <f t="shared" si="0"/>
        <v>0</v>
      </c>
      <c r="M9" s="13">
        <f t="shared" si="0"/>
        <v>0</v>
      </c>
      <c r="N9" s="13">
        <f t="shared" si="0"/>
        <v>0</v>
      </c>
      <c r="O9" s="13">
        <f t="shared" si="0"/>
        <v>0</v>
      </c>
      <c r="P9" s="13">
        <f t="shared" si="0"/>
        <v>0</v>
      </c>
    </row>
    <row r="10" spans="1:16" x14ac:dyDescent="0.25">
      <c r="A10" s="10">
        <v>2</v>
      </c>
      <c r="B10" s="14" t="s">
        <v>18</v>
      </c>
      <c r="C10" s="13">
        <f t="shared" ref="C10:I10" si="1">C11+C16+C17+C18+C19+C20+C21+C23+C24+C25+C26+C27+C28+C30+C31+C32+C33</f>
        <v>0</v>
      </c>
      <c r="D10" s="13">
        <f t="shared" si="1"/>
        <v>0</v>
      </c>
      <c r="E10" s="13">
        <f t="shared" si="1"/>
        <v>0</v>
      </c>
      <c r="F10" s="13">
        <f t="shared" si="1"/>
        <v>0</v>
      </c>
      <c r="G10" s="13">
        <f t="shared" si="1"/>
        <v>0</v>
      </c>
      <c r="H10" s="13">
        <f t="shared" si="1"/>
        <v>0</v>
      </c>
      <c r="I10" s="13">
        <f t="shared" si="1"/>
        <v>0</v>
      </c>
      <c r="J10" s="13">
        <f>J11+J16+J17+J18+J19+J20+J21+J23+J24+J25+J26+J27+J28+J30+J31+J32+J33</f>
        <v>0</v>
      </c>
      <c r="K10" s="13">
        <f t="shared" ref="K10:P10" si="2">K11+K16+K17+K18+K19+K20+K21+K23+K24+K25+K26+K27+K28+K30+K31+K32+K33</f>
        <v>0</v>
      </c>
      <c r="L10" s="13">
        <f t="shared" si="2"/>
        <v>0</v>
      </c>
      <c r="M10" s="13">
        <f t="shared" si="2"/>
        <v>0</v>
      </c>
      <c r="N10" s="13">
        <f t="shared" si="2"/>
        <v>0</v>
      </c>
      <c r="O10" s="13">
        <f t="shared" si="2"/>
        <v>0</v>
      </c>
      <c r="P10" s="13">
        <f t="shared" si="2"/>
        <v>0</v>
      </c>
    </row>
    <row r="11" spans="1:16" ht="15.75" x14ac:dyDescent="0.25">
      <c r="A11" s="15">
        <v>3</v>
      </c>
      <c r="B11" s="16" t="s">
        <v>19</v>
      </c>
      <c r="C11" s="17"/>
      <c r="D11" s="17"/>
      <c r="E11" s="17"/>
      <c r="F11" s="17"/>
      <c r="G11" s="17"/>
      <c r="H11" s="17"/>
      <c r="I11" s="17">
        <f t="shared" ref="I11:I42" si="3">C11-E11-G11-K11-L11-M11-N11-O11+P11</f>
        <v>0</v>
      </c>
      <c r="J11" s="17">
        <f>D11-F11-H11</f>
        <v>0</v>
      </c>
      <c r="K11" s="9"/>
      <c r="L11" s="9"/>
      <c r="M11" s="9"/>
      <c r="N11" s="9"/>
      <c r="O11" s="9"/>
      <c r="P11" s="9"/>
    </row>
    <row r="12" spans="1:16" ht="15.75" x14ac:dyDescent="0.25">
      <c r="A12" s="18">
        <v>4</v>
      </c>
      <c r="B12" s="19" t="s">
        <v>20</v>
      </c>
      <c r="C12" s="17"/>
      <c r="D12" s="17"/>
      <c r="E12" s="17"/>
      <c r="F12" s="17"/>
      <c r="G12" s="17"/>
      <c r="H12" s="17"/>
      <c r="I12" s="17">
        <f t="shared" si="3"/>
        <v>0</v>
      </c>
      <c r="J12" s="17">
        <f t="shared" ref="J12:J74" si="4">D12-F12-H12</f>
        <v>0</v>
      </c>
      <c r="K12" s="20"/>
      <c r="L12" s="20"/>
      <c r="M12" s="20"/>
      <c r="N12" s="20"/>
      <c r="O12" s="20"/>
      <c r="P12" s="20"/>
    </row>
    <row r="13" spans="1:16" ht="15.75" x14ac:dyDescent="0.25">
      <c r="A13" s="18">
        <v>5</v>
      </c>
      <c r="B13" s="19" t="s">
        <v>21</v>
      </c>
      <c r="C13" s="17"/>
      <c r="D13" s="17"/>
      <c r="E13" s="17"/>
      <c r="F13" s="17"/>
      <c r="G13" s="17"/>
      <c r="H13" s="17"/>
      <c r="I13" s="17">
        <f t="shared" si="3"/>
        <v>0</v>
      </c>
      <c r="J13" s="17">
        <f t="shared" si="4"/>
        <v>0</v>
      </c>
      <c r="K13" s="20"/>
      <c r="L13" s="20"/>
      <c r="M13" s="20"/>
      <c r="N13" s="20"/>
      <c r="O13" s="20"/>
      <c r="P13" s="20"/>
    </row>
    <row r="14" spans="1:16" ht="15.75" x14ac:dyDescent="0.25">
      <c r="A14" s="18">
        <v>6</v>
      </c>
      <c r="B14" s="19" t="s">
        <v>22</v>
      </c>
      <c r="C14" s="17"/>
      <c r="D14" s="17"/>
      <c r="E14" s="17"/>
      <c r="F14" s="17"/>
      <c r="G14" s="17"/>
      <c r="H14" s="17"/>
      <c r="I14" s="17">
        <f t="shared" si="3"/>
        <v>0</v>
      </c>
      <c r="J14" s="17">
        <f t="shared" si="4"/>
        <v>0</v>
      </c>
      <c r="K14" s="20"/>
      <c r="L14" s="20"/>
      <c r="M14" s="20"/>
      <c r="N14" s="20"/>
      <c r="O14" s="20"/>
      <c r="P14" s="20"/>
    </row>
    <row r="15" spans="1:16" ht="15.75" x14ac:dyDescent="0.25">
      <c r="A15" s="18">
        <v>7</v>
      </c>
      <c r="B15" s="19" t="s">
        <v>23</v>
      </c>
      <c r="C15" s="17"/>
      <c r="D15" s="17"/>
      <c r="E15" s="17"/>
      <c r="F15" s="17"/>
      <c r="G15" s="17"/>
      <c r="H15" s="17"/>
      <c r="I15" s="17">
        <f t="shared" si="3"/>
        <v>0</v>
      </c>
      <c r="J15" s="17">
        <f t="shared" si="4"/>
        <v>0</v>
      </c>
      <c r="K15" s="20"/>
      <c r="L15" s="20"/>
      <c r="M15" s="20"/>
      <c r="N15" s="20"/>
      <c r="O15" s="20"/>
      <c r="P15" s="20"/>
    </row>
    <row r="16" spans="1:16" ht="15.75" x14ac:dyDescent="0.25">
      <c r="A16" s="15">
        <v>8</v>
      </c>
      <c r="B16" s="16" t="s">
        <v>24</v>
      </c>
      <c r="C16" s="17"/>
      <c r="D16" s="17"/>
      <c r="E16" s="17"/>
      <c r="F16" s="17"/>
      <c r="G16" s="17"/>
      <c r="H16" s="17"/>
      <c r="I16" s="17">
        <f t="shared" si="3"/>
        <v>0</v>
      </c>
      <c r="J16" s="17">
        <f t="shared" si="4"/>
        <v>0</v>
      </c>
      <c r="K16" s="9"/>
      <c r="L16" s="9"/>
      <c r="M16" s="9"/>
      <c r="N16" s="9"/>
      <c r="O16" s="9"/>
      <c r="P16" s="9"/>
    </row>
    <row r="17" spans="1:16" ht="15.75" x14ac:dyDescent="0.25">
      <c r="A17" s="15">
        <v>9</v>
      </c>
      <c r="B17" s="16" t="s">
        <v>25</v>
      </c>
      <c r="C17" s="17"/>
      <c r="D17" s="17"/>
      <c r="E17" s="17"/>
      <c r="F17" s="17"/>
      <c r="G17" s="17"/>
      <c r="H17" s="17"/>
      <c r="I17" s="17">
        <f t="shared" si="3"/>
        <v>0</v>
      </c>
      <c r="J17" s="17">
        <f t="shared" si="4"/>
        <v>0</v>
      </c>
      <c r="K17" s="9"/>
      <c r="L17" s="9"/>
      <c r="M17" s="9"/>
      <c r="N17" s="9"/>
      <c r="O17" s="9"/>
      <c r="P17" s="9"/>
    </row>
    <row r="18" spans="1:16" ht="15.75" x14ac:dyDescent="0.25">
      <c r="A18" s="15">
        <v>10</v>
      </c>
      <c r="B18" s="16" t="s">
        <v>26</v>
      </c>
      <c r="C18" s="17"/>
      <c r="D18" s="17"/>
      <c r="E18" s="17"/>
      <c r="F18" s="17"/>
      <c r="G18" s="17"/>
      <c r="H18" s="17"/>
      <c r="I18" s="17">
        <f t="shared" si="3"/>
        <v>0</v>
      </c>
      <c r="J18" s="17">
        <f t="shared" si="4"/>
        <v>0</v>
      </c>
      <c r="K18" s="9"/>
      <c r="L18" s="9"/>
      <c r="M18" s="9"/>
      <c r="N18" s="9"/>
      <c r="O18" s="9"/>
      <c r="P18" s="9"/>
    </row>
    <row r="19" spans="1:16" ht="15.75" x14ac:dyDescent="0.25">
      <c r="A19" s="15">
        <v>11</v>
      </c>
      <c r="B19" s="16" t="s">
        <v>27</v>
      </c>
      <c r="C19" s="17"/>
      <c r="D19" s="17"/>
      <c r="E19" s="17"/>
      <c r="F19" s="17"/>
      <c r="G19" s="17"/>
      <c r="H19" s="17"/>
      <c r="I19" s="17">
        <f t="shared" si="3"/>
        <v>0</v>
      </c>
      <c r="J19" s="17">
        <f t="shared" si="4"/>
        <v>0</v>
      </c>
      <c r="K19" s="9"/>
      <c r="L19" s="9"/>
      <c r="M19" s="9"/>
      <c r="N19" s="9"/>
      <c r="O19" s="9"/>
      <c r="P19" s="9"/>
    </row>
    <row r="20" spans="1:16" ht="15.75" x14ac:dyDescent="0.25">
      <c r="A20" s="15">
        <v>12</v>
      </c>
      <c r="B20" s="16" t="s">
        <v>28</v>
      </c>
      <c r="C20" s="17"/>
      <c r="D20" s="17"/>
      <c r="E20" s="17"/>
      <c r="F20" s="17"/>
      <c r="G20" s="17"/>
      <c r="H20" s="17"/>
      <c r="I20" s="17">
        <f t="shared" si="3"/>
        <v>0</v>
      </c>
      <c r="J20" s="17">
        <f t="shared" si="4"/>
        <v>0</v>
      </c>
      <c r="K20" s="9"/>
      <c r="L20" s="9"/>
      <c r="M20" s="9"/>
      <c r="N20" s="9"/>
      <c r="O20" s="9"/>
      <c r="P20" s="9"/>
    </row>
    <row r="21" spans="1:16" ht="15.75" x14ac:dyDescent="0.25">
      <c r="A21" s="15">
        <v>13</v>
      </c>
      <c r="B21" s="16" t="s">
        <v>29</v>
      </c>
      <c r="C21" s="17"/>
      <c r="D21" s="17"/>
      <c r="E21" s="17"/>
      <c r="F21" s="17"/>
      <c r="G21" s="17"/>
      <c r="H21" s="17"/>
      <c r="I21" s="17">
        <f t="shared" si="3"/>
        <v>0</v>
      </c>
      <c r="J21" s="17">
        <f t="shared" si="4"/>
        <v>0</v>
      </c>
      <c r="K21" s="9"/>
      <c r="L21" s="9"/>
      <c r="M21" s="9"/>
      <c r="N21" s="9"/>
      <c r="O21" s="9"/>
      <c r="P21" s="9"/>
    </row>
    <row r="22" spans="1:16" ht="15.75" x14ac:dyDescent="0.25">
      <c r="A22" s="18">
        <v>14</v>
      </c>
      <c r="B22" s="19" t="s">
        <v>30</v>
      </c>
      <c r="C22" s="17"/>
      <c r="D22" s="17"/>
      <c r="E22" s="17"/>
      <c r="F22" s="17"/>
      <c r="G22" s="17"/>
      <c r="H22" s="17"/>
      <c r="I22" s="17">
        <f t="shared" si="3"/>
        <v>0</v>
      </c>
      <c r="J22" s="17">
        <f t="shared" si="4"/>
        <v>0</v>
      </c>
      <c r="K22" s="20"/>
      <c r="L22" s="20"/>
      <c r="M22" s="20"/>
      <c r="N22" s="20"/>
      <c r="O22" s="20"/>
      <c r="P22" s="20"/>
    </row>
    <row r="23" spans="1:16" ht="15.75" x14ac:dyDescent="0.25">
      <c r="A23" s="15">
        <v>15</v>
      </c>
      <c r="B23" s="16" t="s">
        <v>31</v>
      </c>
      <c r="C23" s="17"/>
      <c r="D23" s="17"/>
      <c r="E23" s="17"/>
      <c r="F23" s="17"/>
      <c r="G23" s="17"/>
      <c r="H23" s="17"/>
      <c r="I23" s="17">
        <f t="shared" si="3"/>
        <v>0</v>
      </c>
      <c r="J23" s="17">
        <f t="shared" si="4"/>
        <v>0</v>
      </c>
      <c r="K23" s="9"/>
      <c r="L23" s="9"/>
      <c r="M23" s="9"/>
      <c r="N23" s="9"/>
      <c r="O23" s="9"/>
      <c r="P23" s="9"/>
    </row>
    <row r="24" spans="1:16" ht="15.75" x14ac:dyDescent="0.25">
      <c r="A24" s="15">
        <v>16</v>
      </c>
      <c r="B24" s="16" t="s">
        <v>32</v>
      </c>
      <c r="C24" s="17"/>
      <c r="D24" s="17"/>
      <c r="E24" s="17"/>
      <c r="F24" s="17"/>
      <c r="G24" s="17"/>
      <c r="H24" s="17"/>
      <c r="I24" s="17">
        <f t="shared" si="3"/>
        <v>0</v>
      </c>
      <c r="J24" s="17">
        <f t="shared" si="4"/>
        <v>0</v>
      </c>
      <c r="K24" s="9"/>
      <c r="L24" s="9"/>
      <c r="M24" s="9"/>
      <c r="N24" s="9"/>
      <c r="O24" s="9"/>
      <c r="P24" s="9"/>
    </row>
    <row r="25" spans="1:16" ht="15.75" x14ac:dyDescent="0.25">
      <c r="A25" s="15">
        <v>17</v>
      </c>
      <c r="B25" s="16" t="s">
        <v>33</v>
      </c>
      <c r="C25" s="17"/>
      <c r="D25" s="17"/>
      <c r="E25" s="17"/>
      <c r="F25" s="17"/>
      <c r="G25" s="17"/>
      <c r="H25" s="17"/>
      <c r="I25" s="17">
        <f t="shared" si="3"/>
        <v>0</v>
      </c>
      <c r="J25" s="17">
        <f t="shared" si="4"/>
        <v>0</v>
      </c>
      <c r="K25" s="9"/>
      <c r="L25" s="9"/>
      <c r="M25" s="9"/>
      <c r="N25" s="9"/>
      <c r="O25" s="9"/>
      <c r="P25" s="9"/>
    </row>
    <row r="26" spans="1:16" ht="15.75" x14ac:dyDescent="0.25">
      <c r="A26" s="15">
        <v>18</v>
      </c>
      <c r="B26" s="16" t="s">
        <v>34</v>
      </c>
      <c r="C26" s="17"/>
      <c r="D26" s="17"/>
      <c r="E26" s="17"/>
      <c r="F26" s="17"/>
      <c r="G26" s="17"/>
      <c r="H26" s="17"/>
      <c r="I26" s="17">
        <f t="shared" si="3"/>
        <v>0</v>
      </c>
      <c r="J26" s="17">
        <f t="shared" si="4"/>
        <v>0</v>
      </c>
      <c r="K26" s="9"/>
      <c r="L26" s="9"/>
      <c r="M26" s="9"/>
      <c r="N26" s="9"/>
      <c r="O26" s="9"/>
      <c r="P26" s="9"/>
    </row>
    <row r="27" spans="1:16" ht="15.75" x14ac:dyDescent="0.25">
      <c r="A27" s="15">
        <v>19</v>
      </c>
      <c r="B27" s="16" t="s">
        <v>35</v>
      </c>
      <c r="C27" s="17"/>
      <c r="D27" s="17"/>
      <c r="E27" s="17"/>
      <c r="F27" s="17"/>
      <c r="G27" s="17"/>
      <c r="H27" s="17"/>
      <c r="I27" s="17">
        <f t="shared" si="3"/>
        <v>0</v>
      </c>
      <c r="J27" s="17">
        <f t="shared" si="4"/>
        <v>0</v>
      </c>
      <c r="K27" s="9"/>
      <c r="L27" s="9"/>
      <c r="M27" s="9"/>
      <c r="N27" s="9"/>
      <c r="O27" s="9"/>
      <c r="P27" s="9"/>
    </row>
    <row r="28" spans="1:16" ht="15.75" x14ac:dyDescent="0.25">
      <c r="A28" s="15">
        <v>20</v>
      </c>
      <c r="B28" s="16" t="s">
        <v>36</v>
      </c>
      <c r="C28" s="17"/>
      <c r="D28" s="17"/>
      <c r="E28" s="17"/>
      <c r="F28" s="17"/>
      <c r="G28" s="17"/>
      <c r="H28" s="17"/>
      <c r="I28" s="17">
        <f t="shared" si="3"/>
        <v>0</v>
      </c>
      <c r="J28" s="17">
        <f t="shared" si="4"/>
        <v>0</v>
      </c>
      <c r="K28" s="9"/>
      <c r="L28" s="9"/>
      <c r="M28" s="9"/>
      <c r="N28" s="9"/>
      <c r="O28" s="9"/>
      <c r="P28" s="9"/>
    </row>
    <row r="29" spans="1:16" ht="15.75" x14ac:dyDescent="0.25">
      <c r="A29" s="18">
        <v>21</v>
      </c>
      <c r="B29" s="19" t="s">
        <v>37</v>
      </c>
      <c r="C29" s="17"/>
      <c r="D29" s="17"/>
      <c r="E29" s="17"/>
      <c r="F29" s="17"/>
      <c r="G29" s="17"/>
      <c r="H29" s="17"/>
      <c r="I29" s="17">
        <f t="shared" si="3"/>
        <v>0</v>
      </c>
      <c r="J29" s="17">
        <f t="shared" si="4"/>
        <v>0</v>
      </c>
      <c r="K29" s="21"/>
      <c r="L29" s="21"/>
      <c r="M29" s="21"/>
      <c r="N29" s="21"/>
      <c r="O29" s="21"/>
      <c r="P29" s="21"/>
    </row>
    <row r="30" spans="1:16" ht="15.75" x14ac:dyDescent="0.25">
      <c r="A30" s="15">
        <v>22</v>
      </c>
      <c r="B30" s="16" t="s">
        <v>38</v>
      </c>
      <c r="C30" s="17"/>
      <c r="D30" s="17"/>
      <c r="E30" s="17"/>
      <c r="F30" s="17"/>
      <c r="G30" s="17"/>
      <c r="H30" s="17"/>
      <c r="I30" s="17">
        <f t="shared" si="3"/>
        <v>0</v>
      </c>
      <c r="J30" s="17">
        <f t="shared" si="4"/>
        <v>0</v>
      </c>
      <c r="K30" s="9"/>
      <c r="L30" s="9"/>
      <c r="M30" s="9"/>
      <c r="N30" s="9"/>
      <c r="O30" s="9"/>
      <c r="P30" s="9"/>
    </row>
    <row r="31" spans="1:16" ht="15.75" x14ac:dyDescent="0.25">
      <c r="A31" s="15">
        <v>23</v>
      </c>
      <c r="B31" s="16" t="s">
        <v>39</v>
      </c>
      <c r="C31" s="17"/>
      <c r="D31" s="17"/>
      <c r="E31" s="17"/>
      <c r="F31" s="17"/>
      <c r="G31" s="17"/>
      <c r="H31" s="17"/>
      <c r="I31" s="17">
        <f t="shared" si="3"/>
        <v>0</v>
      </c>
      <c r="J31" s="17">
        <f t="shared" si="4"/>
        <v>0</v>
      </c>
      <c r="K31" s="9"/>
      <c r="L31" s="9"/>
      <c r="M31" s="9"/>
      <c r="N31" s="9"/>
      <c r="O31" s="9"/>
      <c r="P31" s="9"/>
    </row>
    <row r="32" spans="1:16" ht="15.75" x14ac:dyDescent="0.25">
      <c r="A32" s="15">
        <v>24</v>
      </c>
      <c r="B32" s="16" t="s">
        <v>40</v>
      </c>
      <c r="C32" s="17"/>
      <c r="D32" s="17"/>
      <c r="E32" s="17"/>
      <c r="F32" s="17"/>
      <c r="G32" s="17"/>
      <c r="H32" s="17"/>
      <c r="I32" s="17">
        <f t="shared" si="3"/>
        <v>0</v>
      </c>
      <c r="J32" s="17">
        <f t="shared" si="4"/>
        <v>0</v>
      </c>
      <c r="K32" s="9"/>
      <c r="L32" s="9"/>
      <c r="M32" s="9"/>
      <c r="N32" s="9"/>
      <c r="O32" s="9"/>
      <c r="P32" s="9"/>
    </row>
    <row r="33" spans="1:16" ht="15.75" x14ac:dyDescent="0.25">
      <c r="A33" s="15">
        <v>25</v>
      </c>
      <c r="B33" s="16" t="s">
        <v>41</v>
      </c>
      <c r="C33" s="17"/>
      <c r="D33" s="17"/>
      <c r="E33" s="17"/>
      <c r="F33" s="17"/>
      <c r="G33" s="17"/>
      <c r="H33" s="17"/>
      <c r="I33" s="17">
        <f t="shared" si="3"/>
        <v>0</v>
      </c>
      <c r="J33" s="17">
        <f t="shared" si="4"/>
        <v>0</v>
      </c>
      <c r="K33" s="9"/>
      <c r="L33" s="9"/>
      <c r="M33" s="9"/>
      <c r="N33" s="9"/>
      <c r="O33" s="9"/>
      <c r="P33" s="9"/>
    </row>
    <row r="34" spans="1:16" x14ac:dyDescent="0.25">
      <c r="A34" s="10">
        <v>26</v>
      </c>
      <c r="B34" s="14" t="s">
        <v>42</v>
      </c>
      <c r="C34" s="36">
        <f>C35+C36+C38+C40+C41+C42</f>
        <v>0</v>
      </c>
      <c r="D34" s="36">
        <f t="shared" ref="D34:P34" si="5">D35+D36+D38+D40+D41+D42</f>
        <v>0</v>
      </c>
      <c r="E34" s="36">
        <f t="shared" si="5"/>
        <v>0</v>
      </c>
      <c r="F34" s="36">
        <f t="shared" si="5"/>
        <v>0</v>
      </c>
      <c r="G34" s="36">
        <f t="shared" si="5"/>
        <v>0</v>
      </c>
      <c r="H34" s="36">
        <f t="shared" si="5"/>
        <v>0</v>
      </c>
      <c r="I34" s="36">
        <f t="shared" si="5"/>
        <v>0</v>
      </c>
      <c r="J34" s="36">
        <f t="shared" si="5"/>
        <v>0</v>
      </c>
      <c r="K34" s="36">
        <f t="shared" si="5"/>
        <v>0</v>
      </c>
      <c r="L34" s="36">
        <f t="shared" si="5"/>
        <v>0</v>
      </c>
      <c r="M34" s="36">
        <f t="shared" si="5"/>
        <v>0</v>
      </c>
      <c r="N34" s="36">
        <f t="shared" si="5"/>
        <v>0</v>
      </c>
      <c r="O34" s="36">
        <f t="shared" si="5"/>
        <v>0</v>
      </c>
      <c r="P34" s="36">
        <f t="shared" si="5"/>
        <v>0</v>
      </c>
    </row>
    <row r="35" spans="1:16" ht="15.75" x14ac:dyDescent="0.25">
      <c r="A35" s="15">
        <v>27</v>
      </c>
      <c r="B35" s="16" t="s">
        <v>43</v>
      </c>
      <c r="C35" s="17"/>
      <c r="D35" s="17"/>
      <c r="E35" s="17"/>
      <c r="F35" s="17"/>
      <c r="G35" s="17"/>
      <c r="H35" s="17"/>
      <c r="I35" s="17">
        <f t="shared" si="3"/>
        <v>0</v>
      </c>
      <c r="J35" s="17">
        <f t="shared" si="4"/>
        <v>0</v>
      </c>
      <c r="K35" s="9"/>
      <c r="L35" s="9"/>
      <c r="M35" s="9"/>
      <c r="N35" s="9"/>
      <c r="O35" s="9"/>
      <c r="P35" s="9"/>
    </row>
    <row r="36" spans="1:16" ht="15.75" x14ac:dyDescent="0.25">
      <c r="A36" s="15">
        <v>28</v>
      </c>
      <c r="B36" s="16" t="s">
        <v>44</v>
      </c>
      <c r="C36" s="17"/>
      <c r="D36" s="17"/>
      <c r="E36" s="17"/>
      <c r="F36" s="17"/>
      <c r="G36" s="17"/>
      <c r="H36" s="17"/>
      <c r="I36" s="17">
        <f t="shared" si="3"/>
        <v>0</v>
      </c>
      <c r="J36" s="17">
        <f t="shared" si="4"/>
        <v>0</v>
      </c>
      <c r="K36" s="9"/>
      <c r="L36" s="9"/>
      <c r="M36" s="9"/>
      <c r="N36" s="9"/>
      <c r="O36" s="9"/>
      <c r="P36" s="9"/>
    </row>
    <row r="37" spans="1:16" ht="15.75" x14ac:dyDescent="0.25">
      <c r="A37" s="18">
        <v>29</v>
      </c>
      <c r="B37" s="19" t="s">
        <v>45</v>
      </c>
      <c r="C37" s="17"/>
      <c r="D37" s="17"/>
      <c r="E37" s="17"/>
      <c r="F37" s="17"/>
      <c r="G37" s="17"/>
      <c r="H37" s="17"/>
      <c r="I37" s="17">
        <f t="shared" si="3"/>
        <v>0</v>
      </c>
      <c r="J37" s="17">
        <f t="shared" si="4"/>
        <v>0</v>
      </c>
      <c r="K37" s="20"/>
      <c r="L37" s="20"/>
      <c r="M37" s="20"/>
      <c r="N37" s="20"/>
      <c r="O37" s="20"/>
      <c r="P37" s="20"/>
    </row>
    <row r="38" spans="1:16" ht="15.75" x14ac:dyDescent="0.25">
      <c r="A38" s="15">
        <v>30</v>
      </c>
      <c r="B38" s="16" t="s">
        <v>46</v>
      </c>
      <c r="C38" s="17"/>
      <c r="D38" s="17"/>
      <c r="E38" s="17"/>
      <c r="F38" s="17"/>
      <c r="G38" s="17"/>
      <c r="H38" s="17"/>
      <c r="I38" s="17">
        <f t="shared" si="3"/>
        <v>0</v>
      </c>
      <c r="J38" s="17">
        <f t="shared" si="4"/>
        <v>0</v>
      </c>
      <c r="K38" s="9"/>
      <c r="L38" s="9"/>
      <c r="M38" s="9"/>
      <c r="N38" s="9"/>
      <c r="O38" s="9"/>
      <c r="P38" s="9"/>
    </row>
    <row r="39" spans="1:16" ht="15.75" x14ac:dyDescent="0.25">
      <c r="A39" s="18">
        <v>31</v>
      </c>
      <c r="B39" s="19" t="s">
        <v>45</v>
      </c>
      <c r="C39" s="17"/>
      <c r="D39" s="17"/>
      <c r="E39" s="17"/>
      <c r="F39" s="17"/>
      <c r="G39" s="17"/>
      <c r="H39" s="17"/>
      <c r="I39" s="17">
        <f t="shared" si="3"/>
        <v>0</v>
      </c>
      <c r="J39" s="17">
        <f t="shared" si="4"/>
        <v>0</v>
      </c>
      <c r="K39" s="20"/>
      <c r="L39" s="20"/>
      <c r="M39" s="20"/>
      <c r="N39" s="20"/>
      <c r="O39" s="20"/>
      <c r="P39" s="20"/>
    </row>
    <row r="40" spans="1:16" ht="15.75" x14ac:dyDescent="0.25">
      <c r="A40" s="15">
        <v>32</v>
      </c>
      <c r="B40" s="16" t="s">
        <v>47</v>
      </c>
      <c r="C40" s="17"/>
      <c r="D40" s="17"/>
      <c r="E40" s="17"/>
      <c r="F40" s="17"/>
      <c r="G40" s="17"/>
      <c r="H40" s="17"/>
      <c r="I40" s="17">
        <f t="shared" si="3"/>
        <v>0</v>
      </c>
      <c r="J40" s="17">
        <f t="shared" si="4"/>
        <v>0</v>
      </c>
      <c r="K40" s="9"/>
      <c r="L40" s="9"/>
      <c r="M40" s="9"/>
      <c r="N40" s="9"/>
      <c r="O40" s="9"/>
      <c r="P40" s="9"/>
    </row>
    <row r="41" spans="1:16" ht="15.75" x14ac:dyDescent="0.25">
      <c r="A41" s="15">
        <v>33</v>
      </c>
      <c r="B41" s="16" t="s">
        <v>48</v>
      </c>
      <c r="C41" s="17"/>
      <c r="D41" s="17"/>
      <c r="E41" s="17"/>
      <c r="F41" s="17"/>
      <c r="G41" s="17"/>
      <c r="H41" s="17"/>
      <c r="I41" s="17">
        <f t="shared" si="3"/>
        <v>0</v>
      </c>
      <c r="J41" s="17">
        <f t="shared" si="4"/>
        <v>0</v>
      </c>
      <c r="K41" s="9"/>
      <c r="L41" s="9"/>
      <c r="M41" s="9"/>
      <c r="N41" s="9"/>
      <c r="O41" s="9"/>
      <c r="P41" s="9"/>
    </row>
    <row r="42" spans="1:16" ht="15.75" x14ac:dyDescent="0.25">
      <c r="A42" s="15">
        <v>34</v>
      </c>
      <c r="B42" s="16" t="s">
        <v>41</v>
      </c>
      <c r="C42" s="17"/>
      <c r="D42" s="17"/>
      <c r="E42" s="17"/>
      <c r="F42" s="17"/>
      <c r="G42" s="17"/>
      <c r="H42" s="17"/>
      <c r="I42" s="17">
        <f t="shared" si="3"/>
        <v>0</v>
      </c>
      <c r="J42" s="17">
        <f t="shared" si="4"/>
        <v>0</v>
      </c>
      <c r="K42" s="9"/>
      <c r="L42" s="9"/>
      <c r="M42" s="9"/>
      <c r="N42" s="9"/>
      <c r="O42" s="9"/>
      <c r="P42" s="9"/>
    </row>
    <row r="43" spans="1:16" x14ac:dyDescent="0.25">
      <c r="A43" s="10">
        <v>35</v>
      </c>
      <c r="B43" s="14" t="s">
        <v>49</v>
      </c>
      <c r="C43" s="6">
        <f t="shared" ref="C43:H43" si="6">SUM(C44:C49)</f>
        <v>0</v>
      </c>
      <c r="D43" s="6">
        <f t="shared" si="6"/>
        <v>0</v>
      </c>
      <c r="E43" s="6">
        <f t="shared" si="6"/>
        <v>0</v>
      </c>
      <c r="F43" s="6">
        <f t="shared" si="6"/>
        <v>0</v>
      </c>
      <c r="G43" s="6">
        <f t="shared" si="6"/>
        <v>0</v>
      </c>
      <c r="H43" s="6">
        <f t="shared" si="6"/>
        <v>0</v>
      </c>
      <c r="I43" s="6">
        <f>SUM(I44:I49)</f>
        <v>0</v>
      </c>
      <c r="J43" s="6">
        <f>SUM(J44:J49)</f>
        <v>0</v>
      </c>
      <c r="K43" s="6">
        <f t="shared" ref="K43:P43" si="7">SUM(K44:K49)</f>
        <v>0</v>
      </c>
      <c r="L43" s="6">
        <f t="shared" si="7"/>
        <v>0</v>
      </c>
      <c r="M43" s="6">
        <f t="shared" si="7"/>
        <v>0</v>
      </c>
      <c r="N43" s="6">
        <f t="shared" si="7"/>
        <v>0</v>
      </c>
      <c r="O43" s="6">
        <f t="shared" si="7"/>
        <v>0</v>
      </c>
      <c r="P43" s="6">
        <f t="shared" si="7"/>
        <v>0</v>
      </c>
    </row>
    <row r="44" spans="1:16" ht="15.75" x14ac:dyDescent="0.25">
      <c r="A44" s="15">
        <v>36</v>
      </c>
      <c r="B44" s="16" t="s">
        <v>50</v>
      </c>
      <c r="C44" s="17"/>
      <c r="D44" s="17"/>
      <c r="E44" s="17"/>
      <c r="F44" s="17"/>
      <c r="G44" s="17"/>
      <c r="H44" s="17"/>
      <c r="I44" s="17">
        <f t="shared" ref="I44:I49" si="8">C44-E44-G44-K44-L44-M44-N44-O44+P44</f>
        <v>0</v>
      </c>
      <c r="J44" s="17">
        <f t="shared" si="4"/>
        <v>0</v>
      </c>
      <c r="K44" s="9"/>
      <c r="L44" s="9"/>
      <c r="M44" s="9"/>
      <c r="N44" s="9"/>
      <c r="O44" s="9"/>
      <c r="P44" s="9"/>
    </row>
    <row r="45" spans="1:16" ht="15.75" x14ac:dyDescent="0.25">
      <c r="A45" s="15">
        <v>37</v>
      </c>
      <c r="B45" s="16" t="s">
        <v>51</v>
      </c>
      <c r="C45" s="17"/>
      <c r="D45" s="17"/>
      <c r="E45" s="17"/>
      <c r="F45" s="17"/>
      <c r="G45" s="17"/>
      <c r="H45" s="17"/>
      <c r="I45" s="17">
        <f t="shared" si="8"/>
        <v>0</v>
      </c>
      <c r="J45" s="17">
        <f t="shared" si="4"/>
        <v>0</v>
      </c>
      <c r="K45" s="9"/>
      <c r="L45" s="9"/>
      <c r="M45" s="9"/>
      <c r="N45" s="9"/>
      <c r="O45" s="9"/>
      <c r="P45" s="9"/>
    </row>
    <row r="46" spans="1:16" ht="15.75" x14ac:dyDescent="0.25">
      <c r="A46" s="15">
        <v>38</v>
      </c>
      <c r="B46" s="16" t="s">
        <v>52</v>
      </c>
      <c r="C46" s="17"/>
      <c r="D46" s="17"/>
      <c r="E46" s="17"/>
      <c r="F46" s="17"/>
      <c r="G46" s="17"/>
      <c r="H46" s="17"/>
      <c r="I46" s="17">
        <f t="shared" si="8"/>
        <v>0</v>
      </c>
      <c r="J46" s="17">
        <f t="shared" si="4"/>
        <v>0</v>
      </c>
      <c r="K46" s="9"/>
      <c r="L46" s="9"/>
      <c r="M46" s="9"/>
      <c r="N46" s="9"/>
      <c r="O46" s="9"/>
      <c r="P46" s="9"/>
    </row>
    <row r="47" spans="1:16" ht="15.75" x14ac:dyDescent="0.25">
      <c r="A47" s="15">
        <v>39</v>
      </c>
      <c r="B47" s="16" t="s">
        <v>53</v>
      </c>
      <c r="C47" s="17"/>
      <c r="D47" s="17"/>
      <c r="E47" s="17"/>
      <c r="F47" s="17"/>
      <c r="G47" s="17"/>
      <c r="H47" s="17"/>
      <c r="I47" s="17">
        <f t="shared" si="8"/>
        <v>0</v>
      </c>
      <c r="J47" s="17">
        <f t="shared" si="4"/>
        <v>0</v>
      </c>
      <c r="K47" s="9"/>
      <c r="L47" s="9"/>
      <c r="M47" s="9"/>
      <c r="N47" s="9"/>
      <c r="O47" s="9"/>
      <c r="P47" s="9"/>
    </row>
    <row r="48" spans="1:16" ht="15.75" x14ac:dyDescent="0.25">
      <c r="A48" s="15">
        <v>40</v>
      </c>
      <c r="B48" s="16" t="s">
        <v>54</v>
      </c>
      <c r="C48" s="17"/>
      <c r="D48" s="17"/>
      <c r="E48" s="17"/>
      <c r="F48" s="17"/>
      <c r="G48" s="17"/>
      <c r="H48" s="17"/>
      <c r="I48" s="17">
        <f t="shared" si="8"/>
        <v>0</v>
      </c>
      <c r="J48" s="17">
        <f t="shared" si="4"/>
        <v>0</v>
      </c>
      <c r="K48" s="9"/>
      <c r="L48" s="9"/>
      <c r="M48" s="9"/>
      <c r="N48" s="9"/>
      <c r="O48" s="9"/>
      <c r="P48" s="9"/>
    </row>
    <row r="49" spans="1:16" ht="15.75" x14ac:dyDescent="0.25">
      <c r="A49" s="15">
        <v>41</v>
      </c>
      <c r="B49" s="16" t="s">
        <v>41</v>
      </c>
      <c r="C49" s="17"/>
      <c r="D49" s="17"/>
      <c r="E49" s="17"/>
      <c r="F49" s="17"/>
      <c r="G49" s="17"/>
      <c r="H49" s="17"/>
      <c r="I49" s="17">
        <f t="shared" si="8"/>
        <v>0</v>
      </c>
      <c r="J49" s="17">
        <f t="shared" si="4"/>
        <v>0</v>
      </c>
      <c r="K49" s="9"/>
      <c r="L49" s="9"/>
      <c r="M49" s="9"/>
      <c r="N49" s="9"/>
      <c r="O49" s="9"/>
      <c r="P49" s="9"/>
    </row>
    <row r="50" spans="1:16" x14ac:dyDescent="0.25">
      <c r="A50" s="10">
        <v>42</v>
      </c>
      <c r="B50" s="14" t="s">
        <v>55</v>
      </c>
      <c r="C50" s="6">
        <f t="shared" ref="C50:H50" si="9">SUM(C51:C55)</f>
        <v>0</v>
      </c>
      <c r="D50" s="6">
        <f t="shared" si="9"/>
        <v>0</v>
      </c>
      <c r="E50" s="6">
        <f t="shared" si="9"/>
        <v>0</v>
      </c>
      <c r="F50" s="6">
        <f t="shared" si="9"/>
        <v>0</v>
      </c>
      <c r="G50" s="6">
        <f t="shared" si="9"/>
        <v>0</v>
      </c>
      <c r="H50" s="6">
        <f t="shared" si="9"/>
        <v>0</v>
      </c>
      <c r="I50" s="6">
        <f>SUM(I51:I55)</f>
        <v>0</v>
      </c>
      <c r="J50" s="6">
        <f>SUM(J51:J55)</f>
        <v>0</v>
      </c>
      <c r="K50" s="6">
        <f t="shared" ref="K50:P50" si="10">SUM(K51:K55)</f>
        <v>0</v>
      </c>
      <c r="L50" s="6">
        <f t="shared" si="10"/>
        <v>0</v>
      </c>
      <c r="M50" s="6">
        <f t="shared" si="10"/>
        <v>0</v>
      </c>
      <c r="N50" s="6">
        <f t="shared" si="10"/>
        <v>0</v>
      </c>
      <c r="O50" s="6">
        <f t="shared" si="10"/>
        <v>0</v>
      </c>
      <c r="P50" s="6">
        <f t="shared" si="10"/>
        <v>0</v>
      </c>
    </row>
    <row r="51" spans="1:16" ht="15.75" x14ac:dyDescent="0.25">
      <c r="A51" s="15">
        <v>43</v>
      </c>
      <c r="B51" s="16" t="s">
        <v>56</v>
      </c>
      <c r="C51" s="17"/>
      <c r="D51" s="17"/>
      <c r="E51" s="17"/>
      <c r="F51" s="17"/>
      <c r="G51" s="17"/>
      <c r="H51" s="17"/>
      <c r="I51" s="17">
        <f>C51-E51-G51-K51-L51-M51-N51-O51+P51</f>
        <v>0</v>
      </c>
      <c r="J51" s="17">
        <f t="shared" si="4"/>
        <v>0</v>
      </c>
      <c r="K51" s="9"/>
      <c r="L51" s="9"/>
      <c r="M51" s="9"/>
      <c r="N51" s="9"/>
      <c r="O51" s="9"/>
      <c r="P51" s="9"/>
    </row>
    <row r="52" spans="1:16" ht="15.75" x14ac:dyDescent="0.25">
      <c r="A52" s="15">
        <v>44</v>
      </c>
      <c r="B52" s="16" t="s">
        <v>57</v>
      </c>
      <c r="C52" s="17"/>
      <c r="D52" s="17"/>
      <c r="E52" s="17"/>
      <c r="F52" s="17"/>
      <c r="G52" s="17"/>
      <c r="H52" s="17"/>
      <c r="I52" s="17">
        <f t="shared" ref="I52:I55" si="11">C52-E52-G52-K52-L52-M52-N52-O52+P52</f>
        <v>0</v>
      </c>
      <c r="J52" s="17">
        <f t="shared" si="4"/>
        <v>0</v>
      </c>
      <c r="K52" s="9"/>
      <c r="L52" s="9"/>
      <c r="M52" s="9"/>
      <c r="N52" s="9"/>
      <c r="O52" s="9"/>
      <c r="P52" s="9"/>
    </row>
    <row r="53" spans="1:16" ht="15.75" x14ac:dyDescent="0.25">
      <c r="A53" s="15">
        <v>45</v>
      </c>
      <c r="B53" s="16" t="s">
        <v>58</v>
      </c>
      <c r="C53" s="17"/>
      <c r="D53" s="17"/>
      <c r="E53" s="17"/>
      <c r="F53" s="17"/>
      <c r="G53" s="17"/>
      <c r="H53" s="17"/>
      <c r="I53" s="17">
        <f t="shared" si="11"/>
        <v>0</v>
      </c>
      <c r="J53" s="17">
        <f t="shared" si="4"/>
        <v>0</v>
      </c>
      <c r="K53" s="9"/>
      <c r="L53" s="9"/>
      <c r="M53" s="9"/>
      <c r="N53" s="9"/>
      <c r="O53" s="9"/>
      <c r="P53" s="9"/>
    </row>
    <row r="54" spans="1:16" ht="15.75" x14ac:dyDescent="0.25">
      <c r="A54" s="15">
        <v>46</v>
      </c>
      <c r="B54" s="16" t="s">
        <v>59</v>
      </c>
      <c r="C54" s="17"/>
      <c r="D54" s="17"/>
      <c r="E54" s="17"/>
      <c r="F54" s="17"/>
      <c r="G54" s="17"/>
      <c r="H54" s="17"/>
      <c r="I54" s="17">
        <f t="shared" si="11"/>
        <v>0</v>
      </c>
      <c r="J54" s="17">
        <f t="shared" si="4"/>
        <v>0</v>
      </c>
      <c r="K54" s="9"/>
      <c r="L54" s="9"/>
      <c r="M54" s="9"/>
      <c r="N54" s="9"/>
      <c r="O54" s="9"/>
      <c r="P54" s="9"/>
    </row>
    <row r="55" spans="1:16" ht="15.75" x14ac:dyDescent="0.25">
      <c r="A55" s="15">
        <v>47</v>
      </c>
      <c r="B55" s="16" t="s">
        <v>41</v>
      </c>
      <c r="C55" s="17"/>
      <c r="D55" s="17"/>
      <c r="E55" s="17"/>
      <c r="F55" s="17"/>
      <c r="G55" s="17"/>
      <c r="H55" s="17"/>
      <c r="I55" s="17">
        <f t="shared" si="11"/>
        <v>0</v>
      </c>
      <c r="J55" s="17">
        <f t="shared" si="4"/>
        <v>0</v>
      </c>
      <c r="K55" s="9"/>
      <c r="L55" s="9"/>
      <c r="M55" s="9"/>
      <c r="N55" s="9"/>
      <c r="O55" s="9"/>
      <c r="P55" s="9"/>
    </row>
    <row r="56" spans="1:16" x14ac:dyDescent="0.25">
      <c r="A56" s="10">
        <v>48</v>
      </c>
      <c r="B56" s="14" t="s">
        <v>60</v>
      </c>
      <c r="C56" s="6">
        <f t="shared" ref="C56:P56" si="12">SUM(C57:C62)</f>
        <v>0</v>
      </c>
      <c r="D56" s="6">
        <f t="shared" si="12"/>
        <v>0</v>
      </c>
      <c r="E56" s="6">
        <f t="shared" si="12"/>
        <v>0</v>
      </c>
      <c r="F56" s="6">
        <f t="shared" si="12"/>
        <v>0</v>
      </c>
      <c r="G56" s="6">
        <f t="shared" si="12"/>
        <v>0</v>
      </c>
      <c r="H56" s="6">
        <f t="shared" si="12"/>
        <v>0</v>
      </c>
      <c r="I56" s="6">
        <f t="shared" si="12"/>
        <v>0</v>
      </c>
      <c r="J56" s="6">
        <f t="shared" si="12"/>
        <v>0</v>
      </c>
      <c r="K56" s="6">
        <f t="shared" si="12"/>
        <v>0</v>
      </c>
      <c r="L56" s="6">
        <f t="shared" si="12"/>
        <v>0</v>
      </c>
      <c r="M56" s="6">
        <f t="shared" si="12"/>
        <v>0</v>
      </c>
      <c r="N56" s="6">
        <f t="shared" si="12"/>
        <v>0</v>
      </c>
      <c r="O56" s="6">
        <f t="shared" si="12"/>
        <v>0</v>
      </c>
      <c r="P56" s="6">
        <f t="shared" si="12"/>
        <v>0</v>
      </c>
    </row>
    <row r="57" spans="1:16" ht="15.75" x14ac:dyDescent="0.25">
      <c r="A57" s="15">
        <v>49</v>
      </c>
      <c r="B57" s="16" t="s">
        <v>61</v>
      </c>
      <c r="C57" s="17"/>
      <c r="D57" s="17"/>
      <c r="E57" s="17"/>
      <c r="F57" s="17"/>
      <c r="G57" s="17"/>
      <c r="H57" s="17"/>
      <c r="I57" s="17">
        <f t="shared" ref="I57:I62" si="13">C57-E57-G57-K57-L57-M57-N57-O57+P57</f>
        <v>0</v>
      </c>
      <c r="J57" s="17">
        <f t="shared" si="4"/>
        <v>0</v>
      </c>
      <c r="K57" s="9"/>
      <c r="L57" s="9"/>
      <c r="M57" s="9"/>
      <c r="N57" s="9"/>
      <c r="O57" s="9"/>
      <c r="P57" s="9"/>
    </row>
    <row r="58" spans="1:16" ht="15.75" x14ac:dyDescent="0.25">
      <c r="A58" s="15">
        <v>50</v>
      </c>
      <c r="B58" s="16" t="s">
        <v>62</v>
      </c>
      <c r="C58" s="17"/>
      <c r="D58" s="17"/>
      <c r="E58" s="17"/>
      <c r="F58" s="17"/>
      <c r="G58" s="17"/>
      <c r="H58" s="17"/>
      <c r="I58" s="17">
        <f t="shared" si="13"/>
        <v>0</v>
      </c>
      <c r="J58" s="17">
        <f t="shared" si="4"/>
        <v>0</v>
      </c>
      <c r="K58" s="9"/>
      <c r="L58" s="9"/>
      <c r="M58" s="9"/>
      <c r="N58" s="9"/>
      <c r="O58" s="9"/>
      <c r="P58" s="9"/>
    </row>
    <row r="59" spans="1:16" ht="15.75" x14ac:dyDescent="0.25">
      <c r="A59" s="15">
        <v>51</v>
      </c>
      <c r="B59" s="16" t="s">
        <v>63</v>
      </c>
      <c r="C59" s="17"/>
      <c r="D59" s="17"/>
      <c r="E59" s="17"/>
      <c r="F59" s="17"/>
      <c r="G59" s="17"/>
      <c r="H59" s="17"/>
      <c r="I59" s="17">
        <f t="shared" si="13"/>
        <v>0</v>
      </c>
      <c r="J59" s="17">
        <f t="shared" si="4"/>
        <v>0</v>
      </c>
      <c r="K59" s="9"/>
      <c r="L59" s="9"/>
      <c r="M59" s="9"/>
      <c r="N59" s="9"/>
      <c r="O59" s="9"/>
      <c r="P59" s="9"/>
    </row>
    <row r="60" spans="1:16" ht="15.75" x14ac:dyDescent="0.25">
      <c r="A60" s="15">
        <v>52</v>
      </c>
      <c r="B60" s="16" t="s">
        <v>64</v>
      </c>
      <c r="C60" s="17"/>
      <c r="D60" s="17"/>
      <c r="E60" s="17"/>
      <c r="F60" s="17"/>
      <c r="G60" s="17"/>
      <c r="H60" s="17"/>
      <c r="I60" s="17">
        <f t="shared" si="13"/>
        <v>0</v>
      </c>
      <c r="J60" s="17">
        <f t="shared" si="4"/>
        <v>0</v>
      </c>
      <c r="K60" s="9"/>
      <c r="L60" s="9"/>
      <c r="M60" s="9"/>
      <c r="N60" s="9"/>
      <c r="O60" s="9"/>
      <c r="P60" s="9"/>
    </row>
    <row r="61" spans="1:16" ht="15.75" x14ac:dyDescent="0.25">
      <c r="A61" s="15">
        <v>53</v>
      </c>
      <c r="B61" s="22" t="s">
        <v>65</v>
      </c>
      <c r="C61" s="17"/>
      <c r="D61" s="17"/>
      <c r="E61" s="17"/>
      <c r="F61" s="17"/>
      <c r="G61" s="17"/>
      <c r="H61" s="17"/>
      <c r="I61" s="17">
        <f t="shared" si="13"/>
        <v>0</v>
      </c>
      <c r="J61" s="17">
        <f t="shared" si="4"/>
        <v>0</v>
      </c>
      <c r="K61" s="9"/>
      <c r="L61" s="9"/>
      <c r="M61" s="9"/>
      <c r="N61" s="9"/>
      <c r="O61" s="9"/>
      <c r="P61" s="9"/>
    </row>
    <row r="62" spans="1:16" ht="15.75" x14ac:dyDescent="0.25">
      <c r="A62" s="15">
        <v>54</v>
      </c>
      <c r="B62" s="22" t="s">
        <v>41</v>
      </c>
      <c r="C62" s="17"/>
      <c r="D62" s="17"/>
      <c r="E62" s="17"/>
      <c r="F62" s="17"/>
      <c r="G62" s="17"/>
      <c r="H62" s="17"/>
      <c r="I62" s="17">
        <f t="shared" si="13"/>
        <v>0</v>
      </c>
      <c r="J62" s="17">
        <f t="shared" si="4"/>
        <v>0</v>
      </c>
      <c r="K62" s="9"/>
      <c r="L62" s="9"/>
      <c r="M62" s="9"/>
      <c r="N62" s="9"/>
      <c r="O62" s="9"/>
      <c r="P62" s="9"/>
    </row>
    <row r="63" spans="1:16" x14ac:dyDescent="0.25">
      <c r="A63" s="10">
        <v>55</v>
      </c>
      <c r="B63" s="34" t="s">
        <v>66</v>
      </c>
      <c r="C63" s="6">
        <f t="shared" ref="C63:P63" si="14">SUM(C64:C68)</f>
        <v>0</v>
      </c>
      <c r="D63" s="6">
        <f t="shared" si="14"/>
        <v>0</v>
      </c>
      <c r="E63" s="6">
        <f t="shared" si="14"/>
        <v>0</v>
      </c>
      <c r="F63" s="6">
        <f t="shared" si="14"/>
        <v>0</v>
      </c>
      <c r="G63" s="6">
        <f t="shared" si="14"/>
        <v>0</v>
      </c>
      <c r="H63" s="6">
        <f t="shared" si="14"/>
        <v>0</v>
      </c>
      <c r="I63" s="6">
        <f t="shared" si="14"/>
        <v>0</v>
      </c>
      <c r="J63" s="6">
        <f t="shared" si="14"/>
        <v>0</v>
      </c>
      <c r="K63" s="6">
        <f t="shared" si="14"/>
        <v>0</v>
      </c>
      <c r="L63" s="6">
        <f t="shared" si="14"/>
        <v>0</v>
      </c>
      <c r="M63" s="6">
        <f t="shared" si="14"/>
        <v>0</v>
      </c>
      <c r="N63" s="6">
        <f t="shared" si="14"/>
        <v>0</v>
      </c>
      <c r="O63" s="6">
        <f t="shared" si="14"/>
        <v>0</v>
      </c>
      <c r="P63" s="6">
        <f t="shared" si="14"/>
        <v>0</v>
      </c>
    </row>
    <row r="64" spans="1:16" ht="25.5" x14ac:dyDescent="0.25">
      <c r="A64" s="15">
        <v>56</v>
      </c>
      <c r="B64" s="23" t="s">
        <v>67</v>
      </c>
      <c r="C64" s="17"/>
      <c r="D64" s="17"/>
      <c r="E64" s="17"/>
      <c r="F64" s="17"/>
      <c r="G64" s="17"/>
      <c r="H64" s="17"/>
      <c r="I64" s="17">
        <f t="shared" ref="I64:I68" si="15">C64-E64-G64-K64-L64-M64-N64-O64+P64</f>
        <v>0</v>
      </c>
      <c r="J64" s="17">
        <f t="shared" si="4"/>
        <v>0</v>
      </c>
      <c r="K64" s="9"/>
      <c r="L64" s="9"/>
      <c r="M64" s="9"/>
      <c r="N64" s="9"/>
      <c r="O64" s="9"/>
      <c r="P64" s="9"/>
    </row>
    <row r="65" spans="1:16" ht="25.5" x14ac:dyDescent="0.25">
      <c r="A65" s="15">
        <v>57</v>
      </c>
      <c r="B65" s="22" t="s">
        <v>68</v>
      </c>
      <c r="C65" s="17"/>
      <c r="D65" s="17"/>
      <c r="E65" s="17"/>
      <c r="F65" s="17"/>
      <c r="G65" s="17"/>
      <c r="H65" s="17"/>
      <c r="I65" s="17">
        <f t="shared" si="15"/>
        <v>0</v>
      </c>
      <c r="J65" s="17">
        <f t="shared" si="4"/>
        <v>0</v>
      </c>
      <c r="K65" s="9"/>
      <c r="L65" s="9"/>
      <c r="M65" s="9"/>
      <c r="N65" s="9"/>
      <c r="O65" s="9"/>
      <c r="P65" s="9"/>
    </row>
    <row r="66" spans="1:16" ht="25.5" x14ac:dyDescent="0.25">
      <c r="A66" s="15">
        <v>58</v>
      </c>
      <c r="B66" s="22" t="s">
        <v>69</v>
      </c>
      <c r="C66" s="17"/>
      <c r="D66" s="17"/>
      <c r="E66" s="17"/>
      <c r="F66" s="17"/>
      <c r="G66" s="17"/>
      <c r="H66" s="17"/>
      <c r="I66" s="17">
        <f t="shared" si="15"/>
        <v>0</v>
      </c>
      <c r="J66" s="17">
        <f t="shared" si="4"/>
        <v>0</v>
      </c>
      <c r="K66" s="9"/>
      <c r="L66" s="9"/>
      <c r="M66" s="9"/>
      <c r="N66" s="9"/>
      <c r="O66" s="9"/>
      <c r="P66" s="9"/>
    </row>
    <row r="67" spans="1:16" ht="25.5" x14ac:dyDescent="0.25">
      <c r="A67" s="15">
        <v>59</v>
      </c>
      <c r="B67" s="22" t="s">
        <v>70</v>
      </c>
      <c r="C67" s="17"/>
      <c r="D67" s="17"/>
      <c r="E67" s="17"/>
      <c r="F67" s="17"/>
      <c r="G67" s="17"/>
      <c r="H67" s="17"/>
      <c r="I67" s="17">
        <f t="shared" si="15"/>
        <v>0</v>
      </c>
      <c r="J67" s="17">
        <f t="shared" si="4"/>
        <v>0</v>
      </c>
      <c r="K67" s="9"/>
      <c r="L67" s="9"/>
      <c r="M67" s="9"/>
      <c r="N67" s="9"/>
      <c r="O67" s="9"/>
      <c r="P67" s="9"/>
    </row>
    <row r="68" spans="1:16" ht="15.75" x14ac:dyDescent="0.25">
      <c r="A68" s="15">
        <v>60</v>
      </c>
      <c r="B68" s="24" t="s">
        <v>41</v>
      </c>
      <c r="C68" s="17"/>
      <c r="D68" s="17"/>
      <c r="E68" s="17"/>
      <c r="F68" s="17"/>
      <c r="G68" s="17"/>
      <c r="H68" s="17"/>
      <c r="I68" s="17">
        <f t="shared" si="15"/>
        <v>0</v>
      </c>
      <c r="J68" s="17">
        <f t="shared" si="4"/>
        <v>0</v>
      </c>
      <c r="K68" s="9"/>
      <c r="L68" s="9"/>
      <c r="M68" s="9"/>
      <c r="N68" s="9"/>
      <c r="O68" s="9"/>
      <c r="P68" s="9"/>
    </row>
    <row r="69" spans="1:16" x14ac:dyDescent="0.25">
      <c r="A69" s="10">
        <v>61</v>
      </c>
      <c r="B69" s="25" t="s">
        <v>71</v>
      </c>
      <c r="C69" s="26">
        <f>SUM(C70:C74)</f>
        <v>0</v>
      </c>
      <c r="D69" s="26">
        <f t="shared" ref="D69:P69" si="16">SUM(D70:D74)</f>
        <v>0</v>
      </c>
      <c r="E69" s="26">
        <f t="shared" si="16"/>
        <v>0</v>
      </c>
      <c r="F69" s="26">
        <f t="shared" si="16"/>
        <v>0</v>
      </c>
      <c r="G69" s="26">
        <f t="shared" si="16"/>
        <v>0</v>
      </c>
      <c r="H69" s="26">
        <f t="shared" si="16"/>
        <v>0</v>
      </c>
      <c r="I69" s="26">
        <f t="shared" si="16"/>
        <v>0</v>
      </c>
      <c r="J69" s="26">
        <f t="shared" si="16"/>
        <v>0</v>
      </c>
      <c r="K69" s="26">
        <f t="shared" si="16"/>
        <v>0</v>
      </c>
      <c r="L69" s="26">
        <f t="shared" si="16"/>
        <v>0</v>
      </c>
      <c r="M69" s="26">
        <f t="shared" si="16"/>
        <v>0</v>
      </c>
      <c r="N69" s="26">
        <f t="shared" si="16"/>
        <v>0</v>
      </c>
      <c r="O69" s="26">
        <f t="shared" si="16"/>
        <v>0</v>
      </c>
      <c r="P69" s="26">
        <f t="shared" si="16"/>
        <v>0</v>
      </c>
    </row>
    <row r="70" spans="1:16" ht="15.75" x14ac:dyDescent="0.25">
      <c r="A70" s="15">
        <v>62</v>
      </c>
      <c r="B70" s="16" t="s">
        <v>72</v>
      </c>
      <c r="C70" s="17"/>
      <c r="D70" s="17"/>
      <c r="E70" s="17"/>
      <c r="F70" s="17"/>
      <c r="G70" s="17"/>
      <c r="H70" s="17"/>
      <c r="I70" s="17">
        <f t="shared" ref="I70:I74" si="17">C70-E70-G70-K70-L70-M70-N70-O70+P70</f>
        <v>0</v>
      </c>
      <c r="J70" s="17">
        <f t="shared" si="4"/>
        <v>0</v>
      </c>
      <c r="K70" s="9"/>
      <c r="L70" s="9"/>
      <c r="M70" s="9"/>
      <c r="N70" s="9"/>
      <c r="O70" s="9"/>
      <c r="P70" s="9"/>
    </row>
    <row r="71" spans="1:16" ht="15.75" x14ac:dyDescent="0.25">
      <c r="A71" s="15">
        <v>63</v>
      </c>
      <c r="B71" s="16" t="s">
        <v>73</v>
      </c>
      <c r="C71" s="17"/>
      <c r="D71" s="17"/>
      <c r="E71" s="17"/>
      <c r="F71" s="17"/>
      <c r="G71" s="17"/>
      <c r="H71" s="17"/>
      <c r="I71" s="17">
        <f t="shared" si="17"/>
        <v>0</v>
      </c>
      <c r="J71" s="17">
        <f t="shared" si="4"/>
        <v>0</v>
      </c>
      <c r="K71" s="9"/>
      <c r="L71" s="9"/>
      <c r="M71" s="9"/>
      <c r="N71" s="9"/>
      <c r="O71" s="9"/>
      <c r="P71" s="9"/>
    </row>
    <row r="72" spans="1:16" ht="25.5" x14ac:dyDescent="0.25">
      <c r="A72" s="15">
        <v>64</v>
      </c>
      <c r="B72" s="16" t="s">
        <v>74</v>
      </c>
      <c r="C72" s="17"/>
      <c r="D72" s="17"/>
      <c r="E72" s="17"/>
      <c r="F72" s="17"/>
      <c r="G72" s="17"/>
      <c r="H72" s="17"/>
      <c r="I72" s="17">
        <f t="shared" si="17"/>
        <v>0</v>
      </c>
      <c r="J72" s="17">
        <f t="shared" si="4"/>
        <v>0</v>
      </c>
      <c r="K72" s="9"/>
      <c r="L72" s="9"/>
      <c r="M72" s="9"/>
      <c r="N72" s="9"/>
      <c r="O72" s="9"/>
      <c r="P72" s="9"/>
    </row>
    <row r="73" spans="1:16" ht="15.75" x14ac:dyDescent="0.25">
      <c r="A73" s="15">
        <v>65</v>
      </c>
      <c r="B73" s="24" t="s">
        <v>75</v>
      </c>
      <c r="C73" s="17"/>
      <c r="D73" s="17"/>
      <c r="E73" s="17"/>
      <c r="F73" s="17"/>
      <c r="G73" s="17"/>
      <c r="H73" s="17"/>
      <c r="I73" s="17">
        <f t="shared" si="17"/>
        <v>0</v>
      </c>
      <c r="J73" s="17">
        <f t="shared" si="4"/>
        <v>0</v>
      </c>
      <c r="K73" s="9"/>
      <c r="L73" s="9"/>
      <c r="M73" s="9"/>
      <c r="N73" s="9"/>
      <c r="O73" s="9"/>
      <c r="P73" s="9"/>
    </row>
    <row r="74" spans="1:16" ht="15.75" x14ac:dyDescent="0.25">
      <c r="A74" s="15">
        <v>66</v>
      </c>
      <c r="B74" s="24" t="s">
        <v>41</v>
      </c>
      <c r="C74" s="17"/>
      <c r="D74" s="17"/>
      <c r="E74" s="17"/>
      <c r="F74" s="17"/>
      <c r="G74" s="17"/>
      <c r="H74" s="17"/>
      <c r="I74" s="17">
        <f t="shared" si="17"/>
        <v>0</v>
      </c>
      <c r="J74" s="17">
        <f t="shared" si="4"/>
        <v>0</v>
      </c>
      <c r="K74" s="9"/>
      <c r="L74" s="9"/>
      <c r="M74" s="9"/>
      <c r="N74" s="9"/>
      <c r="O74" s="9"/>
      <c r="P74" s="9"/>
    </row>
    <row r="75" spans="1:16" ht="15.75" x14ac:dyDescent="0.25">
      <c r="A75" s="15">
        <v>67</v>
      </c>
      <c r="B75" s="35" t="s">
        <v>76</v>
      </c>
      <c r="C75" s="27"/>
      <c r="D75" s="28" t="s">
        <v>89</v>
      </c>
      <c r="E75" s="28" t="s">
        <v>89</v>
      </c>
      <c r="F75" s="28" t="s">
        <v>89</v>
      </c>
      <c r="G75" s="28" t="s">
        <v>89</v>
      </c>
      <c r="H75" s="28" t="s">
        <v>89</v>
      </c>
      <c r="I75" s="28" t="s">
        <v>89</v>
      </c>
      <c r="J75" s="28" t="s">
        <v>89</v>
      </c>
      <c r="K75" s="28" t="s">
        <v>89</v>
      </c>
      <c r="L75" s="28" t="s">
        <v>89</v>
      </c>
      <c r="M75" s="28" t="s">
        <v>89</v>
      </c>
      <c r="N75" s="28" t="s">
        <v>89</v>
      </c>
      <c r="O75" s="28" t="s">
        <v>89</v>
      </c>
      <c r="P75" s="28" t="s">
        <v>89</v>
      </c>
    </row>
    <row r="76" spans="1:16" ht="15.75" x14ac:dyDescent="0.25">
      <c r="A76" s="15">
        <v>68</v>
      </c>
      <c r="B76" s="35" t="s">
        <v>77</v>
      </c>
      <c r="C76" s="29" t="s">
        <v>90</v>
      </c>
      <c r="D76" s="28" t="s">
        <v>89</v>
      </c>
      <c r="E76" s="28" t="s">
        <v>89</v>
      </c>
      <c r="F76" s="28" t="s">
        <v>89</v>
      </c>
      <c r="G76" s="28" t="s">
        <v>89</v>
      </c>
      <c r="H76" s="28" t="s">
        <v>89</v>
      </c>
      <c r="I76" s="28" t="s">
        <v>89</v>
      </c>
      <c r="J76" s="28" t="s">
        <v>89</v>
      </c>
      <c r="K76" s="28" t="s">
        <v>89</v>
      </c>
      <c r="L76" s="28" t="s">
        <v>89</v>
      </c>
      <c r="M76" s="28" t="s">
        <v>89</v>
      </c>
      <c r="N76" s="28" t="s">
        <v>89</v>
      </c>
      <c r="O76" s="28" t="s">
        <v>89</v>
      </c>
      <c r="P76" s="28" t="s">
        <v>89</v>
      </c>
    </row>
    <row r="77" spans="1:16" ht="15.75" x14ac:dyDescent="0.25">
      <c r="A77" s="15">
        <v>69</v>
      </c>
      <c r="B77" s="30" t="s">
        <v>78</v>
      </c>
      <c r="C77" s="31"/>
      <c r="D77" s="28" t="s">
        <v>89</v>
      </c>
      <c r="E77" s="28" t="s">
        <v>89</v>
      </c>
      <c r="F77" s="28" t="s">
        <v>89</v>
      </c>
      <c r="G77" s="28" t="s">
        <v>89</v>
      </c>
      <c r="H77" s="28" t="s">
        <v>89</v>
      </c>
      <c r="I77" s="28" t="s">
        <v>89</v>
      </c>
      <c r="J77" s="28" t="s">
        <v>89</v>
      </c>
      <c r="K77" s="28" t="s">
        <v>89</v>
      </c>
      <c r="L77" s="28" t="s">
        <v>89</v>
      </c>
      <c r="M77" s="28" t="s">
        <v>89</v>
      </c>
      <c r="N77" s="28" t="s">
        <v>89</v>
      </c>
      <c r="O77" s="28" t="s">
        <v>89</v>
      </c>
      <c r="P77" s="28" t="s">
        <v>89</v>
      </c>
    </row>
    <row r="78" spans="1:16" ht="15.75" x14ac:dyDescent="0.25">
      <c r="A78" s="15">
        <v>70</v>
      </c>
      <c r="B78" s="30" t="s">
        <v>79</v>
      </c>
      <c r="C78" s="31"/>
      <c r="D78" s="28" t="s">
        <v>89</v>
      </c>
      <c r="E78" s="28" t="s">
        <v>89</v>
      </c>
      <c r="F78" s="28" t="s">
        <v>89</v>
      </c>
      <c r="G78" s="28" t="s">
        <v>89</v>
      </c>
      <c r="H78" s="28" t="s">
        <v>89</v>
      </c>
      <c r="I78" s="28" t="s">
        <v>89</v>
      </c>
      <c r="J78" s="28" t="s">
        <v>89</v>
      </c>
      <c r="K78" s="28" t="s">
        <v>89</v>
      </c>
      <c r="L78" s="28" t="s">
        <v>89</v>
      </c>
      <c r="M78" s="28" t="s">
        <v>89</v>
      </c>
      <c r="N78" s="28" t="s">
        <v>89</v>
      </c>
      <c r="O78" s="28" t="s">
        <v>89</v>
      </c>
      <c r="P78" s="28" t="s">
        <v>89</v>
      </c>
    </row>
    <row r="79" spans="1:16" ht="15.75" x14ac:dyDescent="0.25">
      <c r="A79" s="15">
        <v>71</v>
      </c>
      <c r="B79" s="30" t="s">
        <v>80</v>
      </c>
      <c r="C79" s="6">
        <f>C77-C78</f>
        <v>0</v>
      </c>
      <c r="D79" s="28" t="s">
        <v>89</v>
      </c>
      <c r="E79" s="28" t="s">
        <v>89</v>
      </c>
      <c r="F79" s="28" t="s">
        <v>89</v>
      </c>
      <c r="G79" s="28" t="s">
        <v>89</v>
      </c>
      <c r="H79" s="28" t="s">
        <v>89</v>
      </c>
      <c r="I79" s="28" t="s">
        <v>89</v>
      </c>
      <c r="J79" s="28" t="s">
        <v>89</v>
      </c>
      <c r="K79" s="28" t="s">
        <v>89</v>
      </c>
      <c r="L79" s="28" t="s">
        <v>89</v>
      </c>
      <c r="M79" s="28" t="s">
        <v>89</v>
      </c>
      <c r="N79" s="28" t="s">
        <v>89</v>
      </c>
      <c r="O79" s="28" t="s">
        <v>89</v>
      </c>
      <c r="P79" s="28" t="s">
        <v>89</v>
      </c>
    </row>
    <row r="80" spans="1:16" ht="18.75" x14ac:dyDescent="0.25">
      <c r="A80" s="28"/>
      <c r="B80" s="32"/>
      <c r="C80" s="37" t="s">
        <v>81</v>
      </c>
      <c r="D80" s="37"/>
      <c r="E80" s="37"/>
      <c r="F80" s="37"/>
      <c r="G80" s="37"/>
      <c r="H80" s="37"/>
      <c r="I80" s="37"/>
      <c r="J80" s="37"/>
      <c r="K80" s="2"/>
      <c r="L80" s="2"/>
      <c r="M80" s="2"/>
      <c r="N80" s="2"/>
      <c r="O80" s="2"/>
      <c r="P80" s="2"/>
    </row>
    <row r="81" spans="1:16" ht="94.5" x14ac:dyDescent="0.25">
      <c r="A81" s="28"/>
      <c r="B81" s="33" t="s">
        <v>82</v>
      </c>
      <c r="C81" s="28"/>
      <c r="D81" s="38" t="s">
        <v>83</v>
      </c>
      <c r="E81" s="38"/>
      <c r="F81" s="38"/>
      <c r="G81" s="38"/>
      <c r="H81" s="38"/>
      <c r="I81" s="38"/>
      <c r="J81" s="38"/>
      <c r="K81" s="2"/>
      <c r="L81" s="2"/>
      <c r="M81" s="2"/>
      <c r="N81" s="2"/>
      <c r="O81" s="2"/>
      <c r="P81" s="2"/>
    </row>
  </sheetData>
  <mergeCells count="23">
    <mergeCell ref="A1:B1"/>
    <mergeCell ref="A2:B2"/>
    <mergeCell ref="C1:J1"/>
    <mergeCell ref="P5:P6"/>
    <mergeCell ref="C2:J2"/>
    <mergeCell ref="A4:H4"/>
    <mergeCell ref="A5:A7"/>
    <mergeCell ref="B5:B7"/>
    <mergeCell ref="C5:D5"/>
    <mergeCell ref="E5:H5"/>
    <mergeCell ref="I5:J6"/>
    <mergeCell ref="C6:C7"/>
    <mergeCell ref="D6:D7"/>
    <mergeCell ref="K5:K6"/>
    <mergeCell ref="L5:L6"/>
    <mergeCell ref="M5:M6"/>
    <mergeCell ref="C80:J80"/>
    <mergeCell ref="D81:J81"/>
    <mergeCell ref="N5:N6"/>
    <mergeCell ref="O5:O6"/>
    <mergeCell ref="C3:J3"/>
    <mergeCell ref="E6:F6"/>
    <mergeCell ref="G6:H6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Tuan Anh</dc:creator>
  <cp:lastModifiedBy>Nguyen Huy</cp:lastModifiedBy>
  <dcterms:created xsi:type="dcterms:W3CDTF">2015-06-05T18:17:20Z</dcterms:created>
  <dcterms:modified xsi:type="dcterms:W3CDTF">2025-05-28T04:04:40Z</dcterms:modified>
</cp:coreProperties>
</file>